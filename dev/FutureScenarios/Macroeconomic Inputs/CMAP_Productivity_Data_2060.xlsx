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jects\Clients\CMAP\cmap_freight_model\dev\FutureScenarios\2024_11_20 Macro Inputs from EBP\"/>
    </mc:Choice>
  </mc:AlternateContent>
  <bookViews>
    <workbookView xWindow="-105" yWindow="-105" windowWidth="23250" windowHeight="13890" activeTab="3"/>
  </bookViews>
  <sheets>
    <sheet name="Metadata" sheetId="5" r:id="rId1"/>
    <sheet name="MoodysData(Raw)" sheetId="3" r:id="rId2"/>
    <sheet name="Implied Productivity Ratios" sheetId="2" r:id="rId3"/>
    <sheet name="Implied Productivity Scal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93" i="2" l="1"/>
  <c r="BE93" i="2" s="1"/>
  <c r="BF93" i="2" s="1"/>
  <c r="BG93" i="2" s="1"/>
  <c r="BH93" i="2" s="1"/>
  <c r="BD92" i="2"/>
  <c r="BE92" i="2" s="1"/>
  <c r="BF92" i="2" s="1"/>
  <c r="BG92" i="2" s="1"/>
  <c r="BH92" i="2" s="1"/>
  <c r="BD91" i="2"/>
  <c r="BE91" i="2" s="1"/>
  <c r="BF91" i="2" s="1"/>
  <c r="BG91" i="2" s="1"/>
  <c r="BH91" i="2" s="1"/>
  <c r="BD90" i="2"/>
  <c r="BE90" i="2" s="1"/>
  <c r="BF90" i="2" s="1"/>
  <c r="BG90" i="2" s="1"/>
  <c r="BH90" i="2" s="1"/>
  <c r="BF89" i="2"/>
  <c r="BG89" i="2" s="1"/>
  <c r="BH89" i="2" s="1"/>
  <c r="BE89" i="2"/>
  <c r="BD89" i="2"/>
  <c r="BD88" i="2"/>
  <c r="BC88" i="4" s="1"/>
  <c r="BD87" i="2"/>
  <c r="BE87" i="2" s="1"/>
  <c r="BF87" i="2" s="1"/>
  <c r="BG87" i="2" s="1"/>
  <c r="BH87" i="2" s="1"/>
  <c r="BH86" i="2"/>
  <c r="BE86" i="2"/>
  <c r="BF86" i="2" s="1"/>
  <c r="BG86" i="2" s="1"/>
  <c r="BD86" i="2"/>
  <c r="BD85" i="2"/>
  <c r="BE85" i="2" s="1"/>
  <c r="BF85" i="2" s="1"/>
  <c r="BG85" i="2" s="1"/>
  <c r="BH85" i="2" s="1"/>
  <c r="BF84" i="2"/>
  <c r="BE84" i="4" s="1"/>
  <c r="BE84" i="2"/>
  <c r="BD84" i="2"/>
  <c r="BD83" i="2"/>
  <c r="BE83" i="2" s="1"/>
  <c r="BD82" i="2"/>
  <c r="BC82" i="4" s="1"/>
  <c r="BD81" i="2"/>
  <c r="BE81" i="2" s="1"/>
  <c r="BF81" i="2" s="1"/>
  <c r="BG81" i="2" s="1"/>
  <c r="BH81" i="2" s="1"/>
  <c r="BD80" i="2"/>
  <c r="BC80" i="4" s="1"/>
  <c r="BD79" i="2"/>
  <c r="BE79" i="2" s="1"/>
  <c r="BD78" i="2"/>
  <c r="BE78" i="2" s="1"/>
  <c r="BF78" i="2" s="1"/>
  <c r="BG78" i="2" s="1"/>
  <c r="BH78" i="2" s="1"/>
  <c r="BE77" i="2"/>
  <c r="BD77" i="4" s="1"/>
  <c r="BD77" i="2"/>
  <c r="BD76" i="2"/>
  <c r="BE76" i="2" s="1"/>
  <c r="BD75" i="2"/>
  <c r="BE75" i="2" s="1"/>
  <c r="BF75" i="2" s="1"/>
  <c r="BG75" i="2" s="1"/>
  <c r="BH75" i="2" s="1"/>
  <c r="BD74" i="2"/>
  <c r="BE74" i="2" s="1"/>
  <c r="BF74" i="2" s="1"/>
  <c r="BG74" i="2" s="1"/>
  <c r="BH74" i="2" s="1"/>
  <c r="BD73" i="2"/>
  <c r="BE73" i="2" s="1"/>
  <c r="BF73" i="2" s="1"/>
  <c r="BG73" i="2" s="1"/>
  <c r="BH73" i="2" s="1"/>
  <c r="BF72" i="2"/>
  <c r="BE72" i="4" s="1"/>
  <c r="BE72" i="2"/>
  <c r="BD72" i="2"/>
  <c r="BD71" i="2"/>
  <c r="BC71" i="4" s="1"/>
  <c r="BE70" i="2"/>
  <c r="BF70" i="2" s="1"/>
  <c r="BG70" i="2" s="1"/>
  <c r="BH70" i="2" s="1"/>
  <c r="BD70" i="2"/>
  <c r="BC70" i="4" s="1"/>
  <c r="BD69" i="2"/>
  <c r="BE69" i="2" s="1"/>
  <c r="BF69" i="2" s="1"/>
  <c r="BG69" i="2" s="1"/>
  <c r="BH69" i="2" s="1"/>
  <c r="BD68" i="2"/>
  <c r="BC68" i="4" s="1"/>
  <c r="BD67" i="2"/>
  <c r="BE67" i="2" s="1"/>
  <c r="BD66" i="2"/>
  <c r="BE66" i="2" s="1"/>
  <c r="BF66" i="2" s="1"/>
  <c r="BG66" i="2" s="1"/>
  <c r="BH66" i="2" s="1"/>
  <c r="BE65" i="2"/>
  <c r="BF65" i="2" s="1"/>
  <c r="BG65" i="2" s="1"/>
  <c r="BH65" i="2" s="1"/>
  <c r="BD65" i="2"/>
  <c r="BD64" i="2"/>
  <c r="BE64" i="2" s="1"/>
  <c r="BD63" i="2"/>
  <c r="BE63" i="2" s="1"/>
  <c r="BF63" i="2" s="1"/>
  <c r="BG63" i="2" s="1"/>
  <c r="BH63" i="2" s="1"/>
  <c r="BD62" i="2"/>
  <c r="BE62" i="2" s="1"/>
  <c r="BF62" i="2" s="1"/>
  <c r="BG62" i="2" s="1"/>
  <c r="BH62" i="2" s="1"/>
  <c r="BD61" i="2"/>
  <c r="BE61" i="2" s="1"/>
  <c r="BF61" i="2" s="1"/>
  <c r="BG61" i="2" s="1"/>
  <c r="BH61" i="2" s="1"/>
  <c r="BF60" i="2"/>
  <c r="BG60" i="2" s="1"/>
  <c r="BH60" i="2" s="1"/>
  <c r="BE60" i="2"/>
  <c r="BD60" i="2"/>
  <c r="BD59" i="2"/>
  <c r="BE59" i="2" s="1"/>
  <c r="BF59" i="2" s="1"/>
  <c r="BG59" i="2" s="1"/>
  <c r="BH59" i="2" s="1"/>
  <c r="BD58" i="2"/>
  <c r="BE58" i="2" s="1"/>
  <c r="BD57" i="2"/>
  <c r="BE57" i="2" s="1"/>
  <c r="BF57" i="2" s="1"/>
  <c r="BG57" i="2" s="1"/>
  <c r="BH57" i="2" s="1"/>
  <c r="BD56" i="2"/>
  <c r="BC56" i="4" s="1"/>
  <c r="BD55" i="2"/>
  <c r="BE55" i="2" s="1"/>
  <c r="BD54" i="2"/>
  <c r="BE54" i="2" s="1"/>
  <c r="BF54" i="2" s="1"/>
  <c r="BG54" i="2" s="1"/>
  <c r="BH54" i="2" s="1"/>
  <c r="BF53" i="2"/>
  <c r="BG53" i="2" s="1"/>
  <c r="BH53" i="2" s="1"/>
  <c r="BG53" i="4" s="1"/>
  <c r="BE53" i="2"/>
  <c r="BD53" i="2"/>
  <c r="BD52" i="2"/>
  <c r="BE52" i="2" s="1"/>
  <c r="BF52" i="2" s="1"/>
  <c r="BG52" i="2" s="1"/>
  <c r="BH52" i="2" s="1"/>
  <c r="BD51" i="2"/>
  <c r="BD50" i="2"/>
  <c r="BE50" i="2" s="1"/>
  <c r="BF50" i="2" s="1"/>
  <c r="BG50" i="2" s="1"/>
  <c r="BH50" i="2" s="1"/>
  <c r="BD49" i="2"/>
  <c r="BE49" i="2" s="1"/>
  <c r="BF49" i="2" s="1"/>
  <c r="BG49" i="2" s="1"/>
  <c r="BH49" i="2" s="1"/>
  <c r="BF48" i="2"/>
  <c r="BG48" i="2" s="1"/>
  <c r="BH48" i="2" s="1"/>
  <c r="BE48" i="2"/>
  <c r="BD48" i="2"/>
  <c r="BD47" i="2"/>
  <c r="BE47" i="2" s="1"/>
  <c r="BE46" i="2"/>
  <c r="BF46" i="2" s="1"/>
  <c r="BG46" i="2" s="1"/>
  <c r="BH46" i="2" s="1"/>
  <c r="BD46" i="2"/>
  <c r="BD45" i="2"/>
  <c r="BE45" i="2" s="1"/>
  <c r="BF45" i="2" s="1"/>
  <c r="BG45" i="2" s="1"/>
  <c r="BH45" i="2" s="1"/>
  <c r="BD44" i="2"/>
  <c r="BE44" i="2" s="1"/>
  <c r="BF44" i="2" s="1"/>
  <c r="BG44" i="2" s="1"/>
  <c r="BH44" i="2" s="1"/>
  <c r="BD43" i="2"/>
  <c r="BE43" i="2" s="1"/>
  <c r="BF43" i="2" s="1"/>
  <c r="BE43" i="4" s="1"/>
  <c r="BD42" i="2"/>
  <c r="BE42" i="2" s="1"/>
  <c r="BF42" i="2" s="1"/>
  <c r="BG42" i="2" s="1"/>
  <c r="BH42" i="2" s="1"/>
  <c r="BE41" i="2"/>
  <c r="BD41" i="4" s="1"/>
  <c r="BD41" i="2"/>
  <c r="BD40" i="2"/>
  <c r="BC40" i="4" s="1"/>
  <c r="BD39" i="2"/>
  <c r="BE39" i="2" s="1"/>
  <c r="BF39" i="2" s="1"/>
  <c r="BD38" i="2"/>
  <c r="BE38" i="2" s="1"/>
  <c r="BF38" i="2" s="1"/>
  <c r="BG38" i="2" s="1"/>
  <c r="BH38" i="2" s="1"/>
  <c r="BD37" i="2"/>
  <c r="BE37" i="2" s="1"/>
  <c r="BF37" i="2" s="1"/>
  <c r="BG37" i="2" s="1"/>
  <c r="BH37" i="2" s="1"/>
  <c r="BF36" i="2"/>
  <c r="BG36" i="2" s="1"/>
  <c r="BH36" i="2" s="1"/>
  <c r="BE36" i="2"/>
  <c r="BD36" i="2"/>
  <c r="BD35" i="2"/>
  <c r="BE35" i="2" s="1"/>
  <c r="BD34" i="2"/>
  <c r="BC34" i="4" s="1"/>
  <c r="BD33" i="2"/>
  <c r="BE33" i="2" s="1"/>
  <c r="BF33" i="2" s="1"/>
  <c r="BG33" i="2" s="1"/>
  <c r="BH33" i="2" s="1"/>
  <c r="BD32" i="2"/>
  <c r="BC32" i="4" s="1"/>
  <c r="BD31" i="2"/>
  <c r="BE31" i="2" s="1"/>
  <c r="BF31" i="2" s="1"/>
  <c r="BG31" i="2" s="1"/>
  <c r="BH31" i="2" s="1"/>
  <c r="BD30" i="2"/>
  <c r="BE30" i="2" s="1"/>
  <c r="BF30" i="2" s="1"/>
  <c r="BG30" i="2" s="1"/>
  <c r="BH30" i="2" s="1"/>
  <c r="BF29" i="2"/>
  <c r="BE29" i="2"/>
  <c r="BD29" i="4" s="1"/>
  <c r="BD29" i="2"/>
  <c r="BD28" i="2"/>
  <c r="BE28" i="2" s="1"/>
  <c r="BF28" i="2" s="1"/>
  <c r="BG28" i="2" s="1"/>
  <c r="BH28" i="2" s="1"/>
  <c r="BD27" i="2"/>
  <c r="BE27" i="2" s="1"/>
  <c r="BF27" i="2" s="1"/>
  <c r="BG27" i="2" s="1"/>
  <c r="BH27" i="2" s="1"/>
  <c r="BH26" i="2"/>
  <c r="BD26" i="2"/>
  <c r="BE26" i="2" s="1"/>
  <c r="BF26" i="2" s="1"/>
  <c r="BG26" i="2" s="1"/>
  <c r="BD25" i="2"/>
  <c r="BC25" i="4" s="1"/>
  <c r="BF24" i="2"/>
  <c r="BG24" i="2" s="1"/>
  <c r="BH24" i="2" s="1"/>
  <c r="BG24" i="4" s="1"/>
  <c r="BE24" i="2"/>
  <c r="BD24" i="2"/>
  <c r="BD23" i="2"/>
  <c r="BC23" i="4" s="1"/>
  <c r="BD22" i="2"/>
  <c r="BC22" i="4" s="1"/>
  <c r="BD21" i="2"/>
  <c r="BE21" i="2" s="1"/>
  <c r="BF21" i="2" s="1"/>
  <c r="BG21" i="2" s="1"/>
  <c r="BH21" i="2" s="1"/>
  <c r="BD20" i="2"/>
  <c r="BD19" i="2"/>
  <c r="BE19" i="2" s="1"/>
  <c r="BD18" i="2"/>
  <c r="BE18" i="2" s="1"/>
  <c r="BF18" i="2" s="1"/>
  <c r="BG18" i="2" s="1"/>
  <c r="BH18" i="2" s="1"/>
  <c r="BE17" i="2"/>
  <c r="BD17" i="4" s="1"/>
  <c r="BD17" i="2"/>
  <c r="BD16" i="2"/>
  <c r="BE16" i="2" s="1"/>
  <c r="BD15" i="2"/>
  <c r="BE15" i="2" s="1"/>
  <c r="BH14" i="2"/>
  <c r="BD14" i="2"/>
  <c r="BE14" i="2" s="1"/>
  <c r="BF14" i="2" s="1"/>
  <c r="BG14" i="2" s="1"/>
  <c r="BD13" i="2"/>
  <c r="BC13" i="4" s="1"/>
  <c r="BF12" i="2"/>
  <c r="BE12" i="4" s="1"/>
  <c r="BE12" i="2"/>
  <c r="BD12" i="2"/>
  <c r="BD11" i="2"/>
  <c r="BE11" i="2" s="1"/>
  <c r="BD10" i="2"/>
  <c r="BC10" i="4" s="1"/>
  <c r="BD9" i="2"/>
  <c r="BE9" i="2" s="1"/>
  <c r="BF9" i="2" s="1"/>
  <c r="BG9" i="2" s="1"/>
  <c r="BH9" i="2" s="1"/>
  <c r="BD8" i="2"/>
  <c r="BD7" i="2"/>
  <c r="BE7" i="2" s="1"/>
  <c r="BF7" i="2" s="1"/>
  <c r="BG7" i="2" s="1"/>
  <c r="BH7" i="2" s="1"/>
  <c r="BE6" i="2"/>
  <c r="BF6" i="2" s="1"/>
  <c r="BG6" i="2" s="1"/>
  <c r="BH6" i="2" s="1"/>
  <c r="BD6" i="2"/>
  <c r="BC69" i="4"/>
  <c r="BD65" i="4"/>
  <c r="BD48" i="4"/>
  <c r="BC37" i="4"/>
  <c r="BD89" i="4"/>
  <c r="BD84" i="4"/>
  <c r="BD72" i="4"/>
  <c r="BD60" i="4"/>
  <c r="BD53" i="4"/>
  <c r="BD52" i="4"/>
  <c r="BD36" i="4"/>
  <c r="BD24" i="4"/>
  <c r="BD12" i="4"/>
  <c r="BC93" i="4"/>
  <c r="BC92" i="4"/>
  <c r="BC91" i="4"/>
  <c r="BC89" i="4"/>
  <c r="BC86" i="4"/>
  <c r="BC84" i="4"/>
  <c r="BC81" i="4"/>
  <c r="BC79" i="4"/>
  <c r="BC77" i="4"/>
  <c r="BC76" i="4"/>
  <c r="BC74" i="4"/>
  <c r="BC72" i="4"/>
  <c r="BC67" i="4"/>
  <c r="BC65" i="4"/>
  <c r="BC64" i="4"/>
  <c r="BC62" i="4"/>
  <c r="BC61" i="4"/>
  <c r="BC60" i="4"/>
  <c r="BC59" i="4"/>
  <c r="BC58" i="4"/>
  <c r="BC57" i="4"/>
  <c r="BC55" i="4"/>
  <c r="BC53" i="4"/>
  <c r="BC50" i="4"/>
  <c r="BC48" i="4"/>
  <c r="BC47" i="4"/>
  <c r="BC46" i="4"/>
  <c r="BC45" i="4"/>
  <c r="BC43" i="4"/>
  <c r="BC41" i="4"/>
  <c r="BC38" i="4"/>
  <c r="BC36" i="4"/>
  <c r="BC33" i="4"/>
  <c r="BC31" i="4"/>
  <c r="BC29" i="4"/>
  <c r="BC28" i="4"/>
  <c r="BC26" i="4"/>
  <c r="BC24" i="4"/>
  <c r="BC21" i="4"/>
  <c r="BC19" i="4"/>
  <c r="BC17" i="4"/>
  <c r="BC16" i="4"/>
  <c r="BC14" i="4"/>
  <c r="BC12" i="4"/>
  <c r="BC11" i="4"/>
  <c r="BC9" i="4"/>
  <c r="BC7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4" s="1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4" s="1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BC11" i="2"/>
  <c r="BB11" i="2"/>
  <c r="BA11" i="2"/>
  <c r="AZ11" i="2"/>
  <c r="AY11" i="2"/>
  <c r="AX11" i="2"/>
  <c r="AW11" i="4" s="1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4" s="1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4" s="1"/>
  <c r="Y11" i="2"/>
  <c r="X11" i="2"/>
  <c r="W11" i="2"/>
  <c r="V11" i="2"/>
  <c r="U11" i="2"/>
  <c r="T11" i="2"/>
  <c r="S11" i="2"/>
  <c r="R11" i="2"/>
  <c r="Q11" i="2"/>
  <c r="P11" i="2"/>
  <c r="O11" i="2"/>
  <c r="N11" i="2"/>
  <c r="M11" i="4" s="1"/>
  <c r="M11" i="2"/>
  <c r="L11" i="2"/>
  <c r="K11" i="2"/>
  <c r="J11" i="2"/>
  <c r="I11" i="2"/>
  <c r="H11" i="2"/>
  <c r="G11" i="2"/>
  <c r="F11" i="2"/>
  <c r="E11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U92" i="4"/>
  <c r="S92" i="4"/>
  <c r="I92" i="4"/>
  <c r="G92" i="4"/>
  <c r="U91" i="4"/>
  <c r="I91" i="4"/>
  <c r="U90" i="4"/>
  <c r="I90" i="4"/>
  <c r="U89" i="4"/>
  <c r="K89" i="4"/>
  <c r="J89" i="4"/>
  <c r="I89" i="4"/>
  <c r="H89" i="4"/>
  <c r="G89" i="4"/>
  <c r="U88" i="4"/>
  <c r="I88" i="4"/>
  <c r="U87" i="4"/>
  <c r="R87" i="4"/>
  <c r="Q87" i="4"/>
  <c r="I87" i="4"/>
  <c r="H87" i="4"/>
  <c r="G87" i="4"/>
  <c r="F87" i="4"/>
  <c r="E87" i="4"/>
  <c r="U86" i="4"/>
  <c r="I86" i="4"/>
  <c r="G86" i="4"/>
  <c r="U85" i="4"/>
  <c r="I85" i="4"/>
  <c r="U84" i="4"/>
  <c r="I84" i="4"/>
  <c r="W83" i="4"/>
  <c r="U83" i="4"/>
  <c r="O83" i="4"/>
  <c r="K83" i="4"/>
  <c r="I83" i="4"/>
  <c r="H83" i="4"/>
  <c r="G83" i="4"/>
  <c r="U82" i="4"/>
  <c r="I82" i="4"/>
  <c r="AA81" i="4"/>
  <c r="U81" i="4"/>
  <c r="R81" i="4"/>
  <c r="Q81" i="4"/>
  <c r="O81" i="4"/>
  <c r="I81" i="4"/>
  <c r="H81" i="4"/>
  <c r="G81" i="4"/>
  <c r="F81" i="4"/>
  <c r="E81" i="4"/>
  <c r="U80" i="4"/>
  <c r="I80" i="4"/>
  <c r="G80" i="4"/>
  <c r="U79" i="4"/>
  <c r="I79" i="4"/>
  <c r="U78" i="4"/>
  <c r="I78" i="4"/>
  <c r="AI77" i="4"/>
  <c r="W77" i="4"/>
  <c r="U77" i="4"/>
  <c r="O77" i="4"/>
  <c r="K77" i="4"/>
  <c r="I77" i="4"/>
  <c r="H77" i="4"/>
  <c r="G77" i="4"/>
  <c r="U76" i="4"/>
  <c r="I76" i="4"/>
  <c r="AM75" i="4"/>
  <c r="AA75" i="4"/>
  <c r="U75" i="4"/>
  <c r="O75" i="4"/>
  <c r="I75" i="4"/>
  <c r="U74" i="4"/>
  <c r="I74" i="4"/>
  <c r="U73" i="4"/>
  <c r="I73" i="4"/>
  <c r="U72" i="4"/>
  <c r="AU71" i="4"/>
  <c r="AI71" i="4"/>
  <c r="W71" i="4"/>
  <c r="U71" i="4"/>
  <c r="S71" i="4"/>
  <c r="O71" i="4"/>
  <c r="N71" i="4"/>
  <c r="K71" i="4"/>
  <c r="I71" i="4"/>
  <c r="G71" i="4"/>
  <c r="E71" i="4"/>
  <c r="U70" i="4"/>
  <c r="I70" i="4"/>
  <c r="U69" i="4"/>
  <c r="I69" i="4"/>
  <c r="AO68" i="4"/>
  <c r="AC68" i="4"/>
  <c r="U68" i="4"/>
  <c r="Q68" i="4"/>
  <c r="I68" i="4"/>
  <c r="G68" i="4"/>
  <c r="E68" i="4"/>
  <c r="U67" i="4"/>
  <c r="I67" i="4"/>
  <c r="U66" i="4"/>
  <c r="I66" i="4"/>
  <c r="AU65" i="4"/>
  <c r="AI65" i="4"/>
  <c r="AB65" i="4"/>
  <c r="W65" i="4"/>
  <c r="U65" i="4"/>
  <c r="S65" i="4"/>
  <c r="P65" i="4"/>
  <c r="N65" i="4"/>
  <c r="K65" i="4"/>
  <c r="I65" i="4"/>
  <c r="G65" i="4"/>
  <c r="E65" i="4"/>
  <c r="U64" i="4"/>
  <c r="I64" i="4"/>
  <c r="U63" i="4"/>
  <c r="I63" i="4"/>
  <c r="BA62" i="4"/>
  <c r="AO62" i="4"/>
  <c r="AC62" i="4"/>
  <c r="U62" i="4"/>
  <c r="S62" i="4"/>
  <c r="Q62" i="4"/>
  <c r="I62" i="4"/>
  <c r="G62" i="4"/>
  <c r="E62" i="4"/>
  <c r="U61" i="4"/>
  <c r="I61" i="4"/>
  <c r="U60" i="4"/>
  <c r="I60" i="4"/>
  <c r="AU59" i="4"/>
  <c r="AI59" i="4"/>
  <c r="AB59" i="4"/>
  <c r="W59" i="4"/>
  <c r="U59" i="4"/>
  <c r="S59" i="4"/>
  <c r="Q59" i="4"/>
  <c r="P59" i="4"/>
  <c r="N59" i="4"/>
  <c r="K59" i="4"/>
  <c r="I59" i="4"/>
  <c r="G59" i="4"/>
  <c r="E59" i="4"/>
  <c r="U58" i="4"/>
  <c r="I58" i="4"/>
  <c r="U57" i="4"/>
  <c r="I57" i="4"/>
  <c r="BA56" i="4"/>
  <c r="AO56" i="4"/>
  <c r="AC56" i="4"/>
  <c r="U56" i="4"/>
  <c r="S56" i="4"/>
  <c r="Q56" i="4"/>
  <c r="I56" i="4"/>
  <c r="G56" i="4"/>
  <c r="E56" i="4"/>
  <c r="U55" i="4"/>
  <c r="I55" i="4"/>
  <c r="U54" i="4"/>
  <c r="I54" i="4"/>
  <c r="AU53" i="4"/>
  <c r="AI53" i="4"/>
  <c r="AB53" i="4"/>
  <c r="W53" i="4"/>
  <c r="U53" i="4"/>
  <c r="S53" i="4"/>
  <c r="Q53" i="4"/>
  <c r="P53" i="4"/>
  <c r="N53" i="4"/>
  <c r="K53" i="4"/>
  <c r="I53" i="4"/>
  <c r="G53" i="4"/>
  <c r="E53" i="4"/>
  <c r="U52" i="4"/>
  <c r="I52" i="4"/>
  <c r="U51" i="4"/>
  <c r="I51" i="4"/>
  <c r="U50" i="4"/>
  <c r="I50" i="4"/>
  <c r="G50" i="4"/>
  <c r="U49" i="4"/>
  <c r="I49" i="4"/>
  <c r="U48" i="4"/>
  <c r="I48" i="4"/>
  <c r="AN47" i="4"/>
  <c r="AI47" i="4"/>
  <c r="AB47" i="4"/>
  <c r="W47" i="4"/>
  <c r="U47" i="4"/>
  <c r="S47" i="4"/>
  <c r="Q47" i="4"/>
  <c r="P47" i="4"/>
  <c r="N47" i="4"/>
  <c r="K47" i="4"/>
  <c r="I47" i="4"/>
  <c r="G47" i="4"/>
  <c r="E47" i="4"/>
  <c r="U46" i="4"/>
  <c r="I46" i="4"/>
  <c r="U45" i="4"/>
  <c r="I45" i="4"/>
  <c r="U44" i="4"/>
  <c r="I44" i="4"/>
  <c r="G44" i="4"/>
  <c r="U43" i="4"/>
  <c r="I43" i="4"/>
  <c r="U42" i="4"/>
  <c r="I42" i="4"/>
  <c r="AN41" i="4"/>
  <c r="AB41" i="4"/>
  <c r="U41" i="4"/>
  <c r="P41" i="4"/>
  <c r="N41" i="4"/>
  <c r="I41" i="4"/>
  <c r="U40" i="4"/>
  <c r="I40" i="4"/>
  <c r="U39" i="4"/>
  <c r="I39" i="4"/>
  <c r="U38" i="4"/>
  <c r="I38" i="4"/>
  <c r="G38" i="4"/>
  <c r="U37" i="4"/>
  <c r="I37" i="4"/>
  <c r="U36" i="4"/>
  <c r="I36" i="4"/>
  <c r="AB35" i="4"/>
  <c r="U35" i="4"/>
  <c r="P35" i="4"/>
  <c r="N35" i="4"/>
  <c r="I35" i="4"/>
  <c r="U34" i="4"/>
  <c r="I34" i="4"/>
  <c r="U33" i="4"/>
  <c r="I33" i="4"/>
  <c r="U32" i="4"/>
  <c r="T32" i="4"/>
  <c r="S32" i="4"/>
  <c r="I32" i="4"/>
  <c r="H32" i="4"/>
  <c r="G32" i="4"/>
  <c r="U31" i="4"/>
  <c r="I31" i="4"/>
  <c r="U30" i="4"/>
  <c r="I30" i="4"/>
  <c r="AN29" i="4"/>
  <c r="AB29" i="4"/>
  <c r="Z29" i="4"/>
  <c r="U29" i="4"/>
  <c r="P29" i="4"/>
  <c r="N29" i="4"/>
  <c r="I29" i="4"/>
  <c r="U28" i="4"/>
  <c r="I28" i="4"/>
  <c r="U27" i="4"/>
  <c r="I27" i="4"/>
  <c r="U26" i="4"/>
  <c r="S26" i="4"/>
  <c r="I26" i="4"/>
  <c r="H26" i="4"/>
  <c r="G26" i="4"/>
  <c r="U25" i="4"/>
  <c r="I25" i="4"/>
  <c r="U24" i="4"/>
  <c r="AB23" i="4"/>
  <c r="U23" i="4"/>
  <c r="P23" i="4"/>
  <c r="I23" i="4"/>
  <c r="U22" i="4"/>
  <c r="I22" i="4"/>
  <c r="U21" i="4"/>
  <c r="I21" i="4"/>
  <c r="U20" i="4"/>
  <c r="I20" i="4"/>
  <c r="U19" i="4"/>
  <c r="I19" i="4"/>
  <c r="U18" i="4"/>
  <c r="I18" i="4"/>
  <c r="AW17" i="4"/>
  <c r="AK17" i="4"/>
  <c r="Y17" i="4"/>
  <c r="U17" i="4"/>
  <c r="P17" i="4"/>
  <c r="M17" i="4"/>
  <c r="I17" i="4"/>
  <c r="U16" i="4"/>
  <c r="I16" i="4"/>
  <c r="U15" i="4"/>
  <c r="I15" i="4"/>
  <c r="U14" i="4"/>
  <c r="U13" i="4"/>
  <c r="I13" i="4"/>
  <c r="U12" i="4"/>
  <c r="I12" i="4"/>
  <c r="U11" i="4"/>
  <c r="P11" i="4"/>
  <c r="I11" i="4"/>
  <c r="U10" i="4"/>
  <c r="I10" i="4"/>
  <c r="U9" i="4"/>
  <c r="I9" i="4"/>
  <c r="U8" i="4"/>
  <c r="I8" i="4"/>
  <c r="U7" i="4"/>
  <c r="I7" i="4"/>
  <c r="U6" i="4"/>
  <c r="I6" i="4"/>
  <c r="D92" i="4"/>
  <c r="D89" i="4"/>
  <c r="D88" i="4"/>
  <c r="D87" i="4"/>
  <c r="D86" i="4"/>
  <c r="D85" i="4"/>
  <c r="D83" i="4"/>
  <c r="D82" i="4"/>
  <c r="D81" i="4"/>
  <c r="D80" i="4"/>
  <c r="D77" i="4"/>
  <c r="D76" i="4"/>
  <c r="D75" i="4"/>
  <c r="D74" i="4"/>
  <c r="D71" i="4"/>
  <c r="D70" i="4"/>
  <c r="D69" i="4"/>
  <c r="D65" i="4"/>
  <c r="D64" i="4"/>
  <c r="D63" i="4"/>
  <c r="D59" i="4"/>
  <c r="D58" i="4"/>
  <c r="D57" i="4"/>
  <c r="D53" i="4"/>
  <c r="D52" i="4"/>
  <c r="D51" i="4"/>
  <c r="D47" i="4"/>
  <c r="D45" i="4"/>
  <c r="D41" i="4"/>
  <c r="D40" i="4"/>
  <c r="D39" i="4"/>
  <c r="D35" i="4"/>
  <c r="D33" i="4"/>
  <c r="D29" i="4"/>
  <c r="D28" i="4"/>
  <c r="D23" i="4"/>
  <c r="D21" i="4"/>
  <c r="D17" i="4"/>
  <c r="D11" i="4"/>
  <c r="BD15" i="4" l="1"/>
  <c r="BF15" i="2"/>
  <c r="BD58" i="4"/>
  <c r="BF58" i="2"/>
  <c r="BG58" i="2" s="1"/>
  <c r="BH58" i="2" s="1"/>
  <c r="BD47" i="4"/>
  <c r="BF47" i="2"/>
  <c r="BG47" i="2" s="1"/>
  <c r="BH47" i="2" s="1"/>
  <c r="BE34" i="2"/>
  <c r="BF34" i="2" s="1"/>
  <c r="BG34" i="2" s="1"/>
  <c r="BH34" i="2" s="1"/>
  <c r="BE10" i="2"/>
  <c r="BF10" i="2" s="1"/>
  <c r="BG10" i="2" s="1"/>
  <c r="BH10" i="2" s="1"/>
  <c r="BF55" i="2"/>
  <c r="BD55" i="4"/>
  <c r="BE82" i="2"/>
  <c r="BF82" i="2" s="1"/>
  <c r="BG82" i="2" s="1"/>
  <c r="BH82" i="2" s="1"/>
  <c r="BD9" i="4"/>
  <c r="BC87" i="4"/>
  <c r="BF16" i="2"/>
  <c r="BG16" i="2" s="1"/>
  <c r="BH16" i="2" s="1"/>
  <c r="BD16" i="4"/>
  <c r="BE22" i="2"/>
  <c r="BD35" i="4"/>
  <c r="BF35" i="2"/>
  <c r="BG35" i="2" s="1"/>
  <c r="BH35" i="2" s="1"/>
  <c r="BF41" i="2"/>
  <c r="BG41" i="2" s="1"/>
  <c r="BH41" i="2" s="1"/>
  <c r="BF76" i="2"/>
  <c r="BG76" i="2" s="1"/>
  <c r="BH76" i="2" s="1"/>
  <c r="BG76" i="4" s="1"/>
  <c r="BD76" i="4"/>
  <c r="BC75" i="4"/>
  <c r="BD11" i="4"/>
  <c r="BF11" i="2"/>
  <c r="BG11" i="2" s="1"/>
  <c r="BH11" i="2" s="1"/>
  <c r="BD83" i="4"/>
  <c r="BF83" i="2"/>
  <c r="BG83" i="2" s="1"/>
  <c r="BH83" i="2" s="1"/>
  <c r="BE29" i="4"/>
  <c r="BG29" i="2"/>
  <c r="BH29" i="2" s="1"/>
  <c r="BF17" i="2"/>
  <c r="BG17" i="2" s="1"/>
  <c r="BH17" i="2" s="1"/>
  <c r="BG43" i="2"/>
  <c r="BE36" i="4"/>
  <c r="BG12" i="2"/>
  <c r="BH12" i="2" s="1"/>
  <c r="BC51" i="4"/>
  <c r="BE51" i="2"/>
  <c r="BF79" i="2"/>
  <c r="BD79" i="4"/>
  <c r="BG84" i="2"/>
  <c r="BC20" i="4"/>
  <c r="BE20" i="2"/>
  <c r="BF20" i="2" s="1"/>
  <c r="BG20" i="2" s="1"/>
  <c r="BH20" i="2" s="1"/>
  <c r="BF77" i="2"/>
  <c r="BG77" i="2" s="1"/>
  <c r="BF19" i="2"/>
  <c r="BD19" i="4"/>
  <c r="BE63" i="4"/>
  <c r="BG72" i="2"/>
  <c r="BH72" i="2" s="1"/>
  <c r="BG72" i="4" s="1"/>
  <c r="BD43" i="4"/>
  <c r="BF64" i="2"/>
  <c r="BD64" i="4"/>
  <c r="BC8" i="4"/>
  <c r="BE8" i="2"/>
  <c r="BF8" i="2" s="1"/>
  <c r="BG8" i="2" s="1"/>
  <c r="BH8" i="2" s="1"/>
  <c r="BE39" i="4"/>
  <c r="BG39" i="2"/>
  <c r="BH39" i="2" s="1"/>
  <c r="BF67" i="2"/>
  <c r="BD67" i="4"/>
  <c r="BE32" i="2"/>
  <c r="BE56" i="2"/>
  <c r="BE68" i="2"/>
  <c r="BC44" i="4"/>
  <c r="BE71" i="2"/>
  <c r="BF71" i="2" s="1"/>
  <c r="BG71" i="2" s="1"/>
  <c r="BH71" i="2" s="1"/>
  <c r="BC35" i="4"/>
  <c r="BC52" i="4"/>
  <c r="BC73" i="4"/>
  <c r="BE40" i="2"/>
  <c r="BE88" i="2"/>
  <c r="BE13" i="2"/>
  <c r="BE25" i="2"/>
  <c r="BF25" i="2" s="1"/>
  <c r="BG25" i="2" s="1"/>
  <c r="BH25" i="2" s="1"/>
  <c r="BE23" i="2"/>
  <c r="BC49" i="4"/>
  <c r="BC83" i="4"/>
  <c r="BE80" i="2"/>
  <c r="BF80" i="2" s="1"/>
  <c r="BG80" i="2" s="1"/>
  <c r="BH80" i="2" s="1"/>
  <c r="BC6" i="4"/>
  <c r="BD8" i="4"/>
  <c r="BD33" i="4"/>
  <c r="BE60" i="4"/>
  <c r="BG17" i="4"/>
  <c r="BF17" i="4"/>
  <c r="BE20" i="4"/>
  <c r="BD46" i="4"/>
  <c r="BE83" i="4"/>
  <c r="BD92" i="4"/>
  <c r="BF29" i="4"/>
  <c r="BG29" i="4"/>
  <c r="BD27" i="4"/>
  <c r="BC63" i="4"/>
  <c r="BE17" i="4"/>
  <c r="BE89" i="4"/>
  <c r="BE76" i="4"/>
  <c r="BG28" i="4"/>
  <c r="BF28" i="4"/>
  <c r="BD59" i="4"/>
  <c r="BD75" i="4"/>
  <c r="BC85" i="4"/>
  <c r="BD7" i="4"/>
  <c r="BE24" i="4"/>
  <c r="BE77" i="4"/>
  <c r="BF39" i="4"/>
  <c r="BG39" i="4"/>
  <c r="BC90" i="4"/>
  <c r="BC39" i="4"/>
  <c r="BD39" i="4"/>
  <c r="BD63" i="4"/>
  <c r="BE28" i="4"/>
  <c r="BD81" i="4"/>
  <c r="BC42" i="4"/>
  <c r="BC27" i="4"/>
  <c r="BC15" i="4"/>
  <c r="BF53" i="4"/>
  <c r="BD20" i="4"/>
  <c r="BE7" i="4"/>
  <c r="BC30" i="4"/>
  <c r="BD57" i="4"/>
  <c r="BD62" i="4"/>
  <c r="BD18" i="4"/>
  <c r="BC54" i="4"/>
  <c r="BE53" i="4"/>
  <c r="BD45" i="4"/>
  <c r="BD61" i="4"/>
  <c r="BD91" i="4"/>
  <c r="BF24" i="4"/>
  <c r="BF7" i="4"/>
  <c r="BG7" i="4"/>
  <c r="BC66" i="4"/>
  <c r="BD71" i="4"/>
  <c r="BD21" i="4"/>
  <c r="BD26" i="4"/>
  <c r="BD31" i="4"/>
  <c r="BE52" i="4"/>
  <c r="BC78" i="4"/>
  <c r="BD93" i="4"/>
  <c r="BD28" i="4"/>
  <c r="BD14" i="4"/>
  <c r="BD38" i="4"/>
  <c r="BD74" i="4"/>
  <c r="BD50" i="4"/>
  <c r="BC18" i="4"/>
  <c r="BD86" i="4"/>
  <c r="BD6" i="4"/>
  <c r="L11" i="4"/>
  <c r="X11" i="4"/>
  <c r="AJ11" i="4"/>
  <c r="AV11" i="4"/>
  <c r="L17" i="4"/>
  <c r="X17" i="4"/>
  <c r="AJ17" i="4"/>
  <c r="AV17" i="4"/>
  <c r="L23" i="4"/>
  <c r="X23" i="4"/>
  <c r="AJ23" i="4"/>
  <c r="AV23" i="4"/>
  <c r="L29" i="4"/>
  <c r="X29" i="4"/>
  <c r="AJ29" i="4"/>
  <c r="AV29" i="4"/>
  <c r="L35" i="4"/>
  <c r="X35" i="4"/>
  <c r="AJ35" i="4"/>
  <c r="AV35" i="4"/>
  <c r="L41" i="4"/>
  <c r="X41" i="4"/>
  <c r="AJ41" i="4"/>
  <c r="AV41" i="4"/>
  <c r="L47" i="4"/>
  <c r="X47" i="4"/>
  <c r="AJ47" i="4"/>
  <c r="AV47" i="4"/>
  <c r="L53" i="4"/>
  <c r="X53" i="4"/>
  <c r="AJ53" i="4"/>
  <c r="AV53" i="4"/>
  <c r="L59" i="4"/>
  <c r="X59" i="4"/>
  <c r="AJ59" i="4"/>
  <c r="AV59" i="4"/>
  <c r="L65" i="4"/>
  <c r="L71" i="4"/>
  <c r="L77" i="4"/>
  <c r="L83" i="4"/>
  <c r="P87" i="4"/>
  <c r="L89" i="4"/>
  <c r="G9" i="4"/>
  <c r="S9" i="4"/>
  <c r="AE9" i="4"/>
  <c r="AQ9" i="4"/>
  <c r="E10" i="4"/>
  <c r="Q10" i="4"/>
  <c r="AC10" i="4"/>
  <c r="AO10" i="4"/>
  <c r="BA10" i="4"/>
  <c r="O11" i="4"/>
  <c r="AA11" i="4"/>
  <c r="AM11" i="4"/>
  <c r="AY11" i="4"/>
  <c r="G15" i="4"/>
  <c r="S15" i="4"/>
  <c r="AE15" i="4"/>
  <c r="AQ15" i="4"/>
  <c r="E16" i="4"/>
  <c r="Q16" i="4"/>
  <c r="AC16" i="4"/>
  <c r="AO16" i="4"/>
  <c r="BA16" i="4"/>
  <c r="O17" i="4"/>
  <c r="AA17" i="4"/>
  <c r="AM17" i="4"/>
  <c r="AY17" i="4"/>
  <c r="G21" i="4"/>
  <c r="S21" i="4"/>
  <c r="S45" i="4"/>
  <c r="AB11" i="4"/>
  <c r="AB17" i="4"/>
  <c r="AN23" i="4"/>
  <c r="AZ29" i="4"/>
  <c r="AN35" i="4"/>
  <c r="AZ35" i="4"/>
  <c r="F40" i="4"/>
  <c r="F46" i="4"/>
  <c r="R46" i="4"/>
  <c r="F52" i="4"/>
  <c r="R52" i="4"/>
  <c r="F58" i="4"/>
  <c r="R58" i="4"/>
  <c r="F64" i="4"/>
  <c r="R64" i="4"/>
  <c r="G28" i="4"/>
  <c r="S28" i="4"/>
  <c r="I24" i="4"/>
  <c r="K84" i="4"/>
  <c r="W84" i="4"/>
  <c r="N11" i="4"/>
  <c r="N17" i="4"/>
  <c r="Z17" i="4"/>
  <c r="AF32" i="4"/>
  <c r="AG8" i="4"/>
  <c r="D78" i="4"/>
  <c r="D90" i="4"/>
  <c r="G10" i="4"/>
  <c r="S10" i="4"/>
  <c r="AE10" i="4"/>
  <c r="AQ10" i="4"/>
  <c r="G16" i="4"/>
  <c r="S16" i="4"/>
  <c r="AE16" i="4"/>
  <c r="AQ16" i="4"/>
  <c r="G22" i="4"/>
  <c r="S22" i="4"/>
  <c r="AE22" i="4"/>
  <c r="AQ22" i="4"/>
  <c r="E23" i="4"/>
  <c r="Q23" i="4"/>
  <c r="AC53" i="4"/>
  <c r="AO53" i="4"/>
  <c r="AC59" i="4"/>
  <c r="Q65" i="4"/>
  <c r="AC65" i="4"/>
  <c r="Q71" i="4"/>
  <c r="AC71" i="4"/>
  <c r="E83" i="4"/>
  <c r="E89" i="4"/>
  <c r="AE47" i="4"/>
  <c r="AE53" i="4"/>
  <c r="I72" i="4"/>
  <c r="D72" i="4"/>
  <c r="D84" i="4"/>
  <c r="D50" i="4"/>
  <c r="D62" i="4"/>
  <c r="Y18" i="4"/>
  <c r="M6" i="4"/>
  <c r="AW18" i="4"/>
  <c r="D6" i="4"/>
  <c r="D18" i="4"/>
  <c r="D30" i="4"/>
  <c r="D42" i="4"/>
  <c r="D54" i="4"/>
  <c r="D66" i="4"/>
  <c r="N6" i="4"/>
  <c r="Z6" i="4"/>
  <c r="AL6" i="4"/>
  <c r="AX6" i="4"/>
  <c r="H9" i="4"/>
  <c r="T9" i="4"/>
  <c r="AF9" i="4"/>
  <c r="AR9" i="4"/>
  <c r="F10" i="4"/>
  <c r="R10" i="4"/>
  <c r="AD10" i="4"/>
  <c r="AP10" i="4"/>
  <c r="BB10" i="4"/>
  <c r="AN11" i="4"/>
  <c r="AZ11" i="4"/>
  <c r="N12" i="4"/>
  <c r="Z12" i="4"/>
  <c r="AL12" i="4"/>
  <c r="AX12" i="4"/>
  <c r="H15" i="4"/>
  <c r="T15" i="4"/>
  <c r="AF15" i="4"/>
  <c r="AR15" i="4"/>
  <c r="F16" i="4"/>
  <c r="R16" i="4"/>
  <c r="AD16" i="4"/>
  <c r="AP16" i="4"/>
  <c r="BB16" i="4"/>
  <c r="AN17" i="4"/>
  <c r="AZ17" i="4"/>
  <c r="N18" i="4"/>
  <c r="Z18" i="4"/>
  <c r="AL18" i="4"/>
  <c r="AX18" i="4"/>
  <c r="H21" i="4"/>
  <c r="T21" i="4"/>
  <c r="AF21" i="4"/>
  <c r="AR21" i="4"/>
  <c r="F22" i="4"/>
  <c r="R22" i="4"/>
  <c r="AD22" i="4"/>
  <c r="AP22" i="4"/>
  <c r="BB22" i="4"/>
  <c r="AZ23" i="4"/>
  <c r="N24" i="4"/>
  <c r="Z24" i="4"/>
  <c r="AL24" i="4"/>
  <c r="AX24" i="4"/>
  <c r="H27" i="4"/>
  <c r="T27" i="4"/>
  <c r="AF27" i="4"/>
  <c r="AR27" i="4"/>
  <c r="F28" i="4"/>
  <c r="R28" i="4"/>
  <c r="AD28" i="4"/>
  <c r="AP28" i="4"/>
  <c r="BB28" i="4"/>
  <c r="N30" i="4"/>
  <c r="AK18" i="4"/>
  <c r="D79" i="4"/>
  <c r="O6" i="4"/>
  <c r="AY6" i="4"/>
  <c r="O12" i="4"/>
  <c r="AA12" i="4"/>
  <c r="AM12" i="4"/>
  <c r="AY12" i="4"/>
  <c r="O18" i="4"/>
  <c r="AA18" i="4"/>
  <c r="AM18" i="4"/>
  <c r="AY18" i="4"/>
  <c r="AK6" i="4"/>
  <c r="Y12" i="4"/>
  <c r="D91" i="4"/>
  <c r="AA6" i="4"/>
  <c r="D56" i="4"/>
  <c r="D68" i="4"/>
  <c r="AW12" i="4"/>
  <c r="E6" i="4"/>
  <c r="Q6" i="4"/>
  <c r="E12" i="4"/>
  <c r="E18" i="4"/>
  <c r="E30" i="4"/>
  <c r="M18" i="4"/>
  <c r="Y6" i="4"/>
  <c r="M12" i="4"/>
  <c r="AW6" i="4"/>
  <c r="AK12" i="4"/>
  <c r="AW30" i="4"/>
  <c r="AM6" i="4"/>
  <c r="D24" i="4"/>
  <c r="D36" i="4"/>
  <c r="D48" i="4"/>
  <c r="D60" i="4"/>
  <c r="E74" i="4"/>
  <c r="Q74" i="4"/>
  <c r="AC74" i="4"/>
  <c r="AO74" i="4"/>
  <c r="E80" i="4"/>
  <c r="Q80" i="4"/>
  <c r="AC80" i="4"/>
  <c r="AO80" i="4"/>
  <c r="E86" i="4"/>
  <c r="E92" i="4"/>
  <c r="Q92" i="4"/>
  <c r="AC92" i="4"/>
  <c r="F56" i="4"/>
  <c r="R56" i="4"/>
  <c r="AD56" i="4"/>
  <c r="AP56" i="4"/>
  <c r="BB56" i="4"/>
  <c r="F62" i="4"/>
  <c r="R62" i="4"/>
  <c r="AD62" i="4"/>
  <c r="AP62" i="4"/>
  <c r="BB62" i="4"/>
  <c r="X65" i="4"/>
  <c r="AJ65" i="4"/>
  <c r="AV65" i="4"/>
  <c r="F68" i="4"/>
  <c r="R68" i="4"/>
  <c r="AD68" i="4"/>
  <c r="AP68" i="4"/>
  <c r="X71" i="4"/>
  <c r="AJ71" i="4"/>
  <c r="F74" i="4"/>
  <c r="R74" i="4"/>
  <c r="AD74" i="4"/>
  <c r="AP74" i="4"/>
  <c r="P75" i="4"/>
  <c r="AB75" i="4"/>
  <c r="X77" i="4"/>
  <c r="AJ77" i="4"/>
  <c r="F80" i="4"/>
  <c r="R80" i="4"/>
  <c r="AD80" i="4"/>
  <c r="AP80" i="4"/>
  <c r="P81" i="4"/>
  <c r="AB81" i="4"/>
  <c r="X83" i="4"/>
  <c r="AJ83" i="4"/>
  <c r="J84" i="4"/>
  <c r="V84" i="4"/>
  <c r="F86" i="4"/>
  <c r="R86" i="4"/>
  <c r="AD86" i="4"/>
  <c r="AP86" i="4"/>
  <c r="AB87" i="4"/>
  <c r="X89" i="4"/>
  <c r="AJ89" i="4"/>
  <c r="J90" i="4"/>
  <c r="F92" i="4"/>
  <c r="R92" i="4"/>
  <c r="AD92" i="4"/>
  <c r="H56" i="4"/>
  <c r="T56" i="4"/>
  <c r="AF56" i="4"/>
  <c r="H62" i="4"/>
  <c r="T62" i="4"/>
  <c r="AF62" i="4"/>
  <c r="H68" i="4"/>
  <c r="T68" i="4"/>
  <c r="AF68" i="4"/>
  <c r="H74" i="4"/>
  <c r="H80" i="4"/>
  <c r="L84" i="4"/>
  <c r="X84" i="4"/>
  <c r="H86" i="4"/>
  <c r="H92" i="4"/>
  <c r="T92" i="4"/>
  <c r="Z30" i="4"/>
  <c r="AL30" i="4"/>
  <c r="AX30" i="4"/>
  <c r="H33" i="4"/>
  <c r="T33" i="4"/>
  <c r="AF33" i="4"/>
  <c r="AR33" i="4"/>
  <c r="F34" i="4"/>
  <c r="R34" i="4"/>
  <c r="AD34" i="4"/>
  <c r="AP34" i="4"/>
  <c r="BB34" i="4"/>
  <c r="N36" i="4"/>
  <c r="Z36" i="4"/>
  <c r="AL36" i="4"/>
  <c r="AX36" i="4"/>
  <c r="H39" i="4"/>
  <c r="T39" i="4"/>
  <c r="AF39" i="4"/>
  <c r="AR39" i="4"/>
  <c r="R40" i="4"/>
  <c r="AD40" i="4"/>
  <c r="AP40" i="4"/>
  <c r="BB40" i="4"/>
  <c r="AZ41" i="4"/>
  <c r="N42" i="4"/>
  <c r="Z42" i="4"/>
  <c r="AL42" i="4"/>
  <c r="AX42" i="4"/>
  <c r="H45" i="4"/>
  <c r="T45" i="4"/>
  <c r="AF45" i="4"/>
  <c r="AR45" i="4"/>
  <c r="AD46" i="4"/>
  <c r="AP46" i="4"/>
  <c r="BB46" i="4"/>
  <c r="AZ47" i="4"/>
  <c r="N48" i="4"/>
  <c r="Z48" i="4"/>
  <c r="AL48" i="4"/>
  <c r="AX48" i="4"/>
  <c r="H51" i="4"/>
  <c r="T51" i="4"/>
  <c r="AF51" i="4"/>
  <c r="AR51" i="4"/>
  <c r="AD52" i="4"/>
  <c r="AP52" i="4"/>
  <c r="AN53" i="4"/>
  <c r="AZ53" i="4"/>
  <c r="N54" i="4"/>
  <c r="Z54" i="4"/>
  <c r="AL54" i="4"/>
  <c r="J56" i="4"/>
  <c r="V56" i="4"/>
  <c r="AH56" i="4"/>
  <c r="AT56" i="4"/>
  <c r="H57" i="4"/>
  <c r="T57" i="4"/>
  <c r="AF57" i="4"/>
  <c r="AR57" i="4"/>
  <c r="AD58" i="4"/>
  <c r="AN59" i="4"/>
  <c r="AZ59" i="4"/>
  <c r="N60" i="4"/>
  <c r="Z60" i="4"/>
  <c r="J62" i="4"/>
  <c r="V62" i="4"/>
  <c r="AH62" i="4"/>
  <c r="AT62" i="4"/>
  <c r="H63" i="4"/>
  <c r="T63" i="4"/>
  <c r="AF63" i="4"/>
  <c r="AR63" i="4"/>
  <c r="AD64" i="4"/>
  <c r="AN65" i="4"/>
  <c r="N66" i="4"/>
  <c r="J68" i="4"/>
  <c r="V68" i="4"/>
  <c r="AH68" i="4"/>
  <c r="AT68" i="4"/>
  <c r="J80" i="4"/>
  <c r="T81" i="4"/>
  <c r="J86" i="4"/>
  <c r="J92" i="4"/>
  <c r="V92" i="4"/>
  <c r="K56" i="4"/>
  <c r="W56" i="4"/>
  <c r="AI56" i="4"/>
  <c r="K62" i="4"/>
  <c r="W62" i="4"/>
  <c r="AI62" i="4"/>
  <c r="K68" i="4"/>
  <c r="W68" i="4"/>
  <c r="AI68" i="4"/>
  <c r="K74" i="4"/>
  <c r="W74" i="4"/>
  <c r="K86" i="4"/>
  <c r="K92" i="4"/>
  <c r="W92" i="4"/>
  <c r="L56" i="4"/>
  <c r="X56" i="4"/>
  <c r="F59" i="4"/>
  <c r="L62" i="4"/>
  <c r="X62" i="4"/>
  <c r="L68" i="4"/>
  <c r="F71" i="4"/>
  <c r="L74" i="4"/>
  <c r="F77" i="4"/>
  <c r="L80" i="4"/>
  <c r="J81" i="4"/>
  <c r="F83" i="4"/>
  <c r="L86" i="4"/>
  <c r="J87" i="4"/>
  <c r="F89" i="4"/>
  <c r="L92" i="4"/>
  <c r="X92" i="4"/>
  <c r="E36" i="4"/>
  <c r="K39" i="4"/>
  <c r="W39" i="4"/>
  <c r="E42" i="4"/>
  <c r="K45" i="4"/>
  <c r="W45" i="4"/>
  <c r="E48" i="4"/>
  <c r="K51" i="4"/>
  <c r="W51" i="4"/>
  <c r="AQ53" i="4"/>
  <c r="E54" i="4"/>
  <c r="M56" i="4"/>
  <c r="Y56" i="4"/>
  <c r="AK56" i="4"/>
  <c r="AW56" i="4"/>
  <c r="K57" i="4"/>
  <c r="W57" i="4"/>
  <c r="AE59" i="4"/>
  <c r="AQ59" i="4"/>
  <c r="E60" i="4"/>
  <c r="M62" i="4"/>
  <c r="Y62" i="4"/>
  <c r="AK62" i="4"/>
  <c r="AW62" i="4"/>
  <c r="K63" i="4"/>
  <c r="W63" i="4"/>
  <c r="AE65" i="4"/>
  <c r="AQ65" i="4"/>
  <c r="E66" i="4"/>
  <c r="M68" i="4"/>
  <c r="Y68" i="4"/>
  <c r="AK68" i="4"/>
  <c r="AW68" i="4"/>
  <c r="K69" i="4"/>
  <c r="W69" i="4"/>
  <c r="AI69" i="4"/>
  <c r="AE71" i="4"/>
  <c r="AQ71" i="4"/>
  <c r="E72" i="4"/>
  <c r="Q72" i="4"/>
  <c r="M74" i="4"/>
  <c r="Y74" i="4"/>
  <c r="AK74" i="4"/>
  <c r="K75" i="4"/>
  <c r="W75" i="4"/>
  <c r="S77" i="4"/>
  <c r="AE77" i="4"/>
  <c r="E78" i="4"/>
  <c r="M80" i="4"/>
  <c r="Y80" i="4"/>
  <c r="K81" i="4"/>
  <c r="M92" i="4"/>
  <c r="H53" i="4"/>
  <c r="N56" i="4"/>
  <c r="H59" i="4"/>
  <c r="T59" i="4"/>
  <c r="N62" i="4"/>
  <c r="Z62" i="4"/>
  <c r="H65" i="4"/>
  <c r="T65" i="4"/>
  <c r="N68" i="4"/>
  <c r="Z68" i="4"/>
  <c r="H71" i="4"/>
  <c r="T71" i="4"/>
  <c r="N74" i="4"/>
  <c r="Z74" i="4"/>
  <c r="L75" i="4"/>
  <c r="T77" i="4"/>
  <c r="N80" i="4"/>
  <c r="Z80" i="4"/>
  <c r="L81" i="4"/>
  <c r="T83" i="4"/>
  <c r="N86" i="4"/>
  <c r="T89" i="4"/>
  <c r="N92" i="4"/>
  <c r="AE36" i="4"/>
  <c r="O56" i="4"/>
  <c r="AA56" i="4"/>
  <c r="O62" i="4"/>
  <c r="AA62" i="4"/>
  <c r="O68" i="4"/>
  <c r="AA68" i="4"/>
  <c r="O74" i="4"/>
  <c r="AA74" i="4"/>
  <c r="O80" i="4"/>
  <c r="M81" i="4"/>
  <c r="O86" i="4"/>
  <c r="O92" i="4"/>
  <c r="AA92" i="4"/>
  <c r="J41" i="4"/>
  <c r="V41" i="4"/>
  <c r="AH41" i="4"/>
  <c r="J53" i="4"/>
  <c r="P56" i="4"/>
  <c r="J59" i="4"/>
  <c r="V59" i="4"/>
  <c r="P62" i="4"/>
  <c r="AB62" i="4"/>
  <c r="J65" i="4"/>
  <c r="V65" i="4"/>
  <c r="P68" i="4"/>
  <c r="AB68" i="4"/>
  <c r="J71" i="4"/>
  <c r="V71" i="4"/>
  <c r="P74" i="4"/>
  <c r="AB74" i="4"/>
  <c r="N75" i="4"/>
  <c r="J77" i="4"/>
  <c r="V77" i="4"/>
  <c r="P80" i="4"/>
  <c r="AB80" i="4"/>
  <c r="N81" i="4"/>
  <c r="J83" i="4"/>
  <c r="V83" i="4"/>
  <c r="P86" i="4"/>
  <c r="V89" i="4"/>
  <c r="P92" i="4"/>
  <c r="AB92" i="4"/>
  <c r="J25" i="4"/>
  <c r="J31" i="4"/>
  <c r="V31" i="4"/>
  <c r="AH31" i="4"/>
  <c r="AT31" i="4"/>
  <c r="J37" i="4"/>
  <c r="V37" i="4"/>
  <c r="AH37" i="4"/>
  <c r="H38" i="4"/>
  <c r="T38" i="4"/>
  <c r="AF38" i="4"/>
  <c r="J43" i="4"/>
  <c r="V43" i="4"/>
  <c r="AH43" i="4"/>
  <c r="H44" i="4"/>
  <c r="T44" i="4"/>
  <c r="AF44" i="4"/>
  <c r="J49" i="4"/>
  <c r="V49" i="4"/>
  <c r="AH49" i="4"/>
  <c r="H50" i="4"/>
  <c r="T50" i="4"/>
  <c r="AF50" i="4"/>
  <c r="J55" i="4"/>
  <c r="V55" i="4"/>
  <c r="AH55" i="4"/>
  <c r="J61" i="4"/>
  <c r="V61" i="4"/>
  <c r="AH61" i="4"/>
  <c r="J67" i="4"/>
  <c r="V67" i="4"/>
  <c r="AH67" i="4"/>
  <c r="L13" i="4"/>
  <c r="L19" i="4"/>
  <c r="X19" i="4"/>
  <c r="AJ19" i="4"/>
  <c r="AV19" i="4"/>
  <c r="L25" i="4"/>
  <c r="X25" i="4"/>
  <c r="AJ25" i="4"/>
  <c r="AV25" i="4"/>
  <c r="J26" i="4"/>
  <c r="V26" i="4"/>
  <c r="AH26" i="4"/>
  <c r="AT26" i="4"/>
  <c r="L31" i="4"/>
  <c r="X31" i="4"/>
  <c r="AJ31" i="4"/>
  <c r="AV31" i="4"/>
  <c r="J32" i="4"/>
  <c r="V32" i="4"/>
  <c r="AH32" i="4"/>
  <c r="AT32" i="4"/>
  <c r="L37" i="4"/>
  <c r="X37" i="4"/>
  <c r="AJ37" i="4"/>
  <c r="AV37" i="4"/>
  <c r="J38" i="4"/>
  <c r="V38" i="4"/>
  <c r="AH38" i="4"/>
  <c r="AT38" i="4"/>
  <c r="AI7" i="4"/>
  <c r="K13" i="4"/>
  <c r="AG14" i="4"/>
  <c r="W43" i="4"/>
  <c r="AV13" i="4"/>
  <c r="D7" i="4"/>
  <c r="D19" i="4"/>
  <c r="D31" i="4"/>
  <c r="D43" i="4"/>
  <c r="D55" i="4"/>
  <c r="D67" i="4"/>
  <c r="M7" i="4"/>
  <c r="Y7" i="4"/>
  <c r="AK7" i="4"/>
  <c r="AW7" i="4"/>
  <c r="E11" i="4"/>
  <c r="Q11" i="4"/>
  <c r="AC11" i="4"/>
  <c r="AO11" i="4"/>
  <c r="BA11" i="4"/>
  <c r="M13" i="4"/>
  <c r="Y13" i="4"/>
  <c r="AK13" i="4"/>
  <c r="AW13" i="4"/>
  <c r="E17" i="4"/>
  <c r="Q17" i="4"/>
  <c r="AC17" i="4"/>
  <c r="AO17" i="4"/>
  <c r="BA17" i="4"/>
  <c r="M19" i="4"/>
  <c r="Y19" i="4"/>
  <c r="AK19" i="4"/>
  <c r="AW19" i="4"/>
  <c r="J19" i="4"/>
  <c r="AI13" i="4"/>
  <c r="AS20" i="4"/>
  <c r="K31" i="4"/>
  <c r="K37" i="4"/>
  <c r="AJ7" i="4"/>
  <c r="AJ13" i="4"/>
  <c r="D32" i="4"/>
  <c r="D44" i="4"/>
  <c r="F11" i="4"/>
  <c r="R11" i="4"/>
  <c r="AD11" i="4"/>
  <c r="AP11" i="4"/>
  <c r="BB11" i="4"/>
  <c r="F17" i="4"/>
  <c r="R17" i="4"/>
  <c r="AD17" i="4"/>
  <c r="AP17" i="4"/>
  <c r="BB17" i="4"/>
  <c r="N19" i="4"/>
  <c r="Z19" i="4"/>
  <c r="AL19" i="4"/>
  <c r="AX19" i="4"/>
  <c r="AU7" i="4"/>
  <c r="AU13" i="4"/>
  <c r="W19" i="4"/>
  <c r="K25" i="4"/>
  <c r="AV7" i="4"/>
  <c r="AC6" i="4"/>
  <c r="AO6" i="4"/>
  <c r="BA6" i="4"/>
  <c r="O7" i="4"/>
  <c r="AA7" i="4"/>
  <c r="AM7" i="4"/>
  <c r="AY7" i="4"/>
  <c r="AG10" i="4"/>
  <c r="G11" i="4"/>
  <c r="S11" i="4"/>
  <c r="AE11" i="4"/>
  <c r="AQ11" i="4"/>
  <c r="Q12" i="4"/>
  <c r="AC12" i="4"/>
  <c r="AO12" i="4"/>
  <c r="BA12" i="4"/>
  <c r="O13" i="4"/>
  <c r="AA13" i="4"/>
  <c r="AM13" i="4"/>
  <c r="AY13" i="4"/>
  <c r="G17" i="4"/>
  <c r="S17" i="4"/>
  <c r="AE17" i="4"/>
  <c r="AQ17" i="4"/>
  <c r="Q18" i="4"/>
  <c r="AC18" i="4"/>
  <c r="AO18" i="4"/>
  <c r="BA18" i="4"/>
  <c r="O19" i="4"/>
  <c r="AA19" i="4"/>
  <c r="AM19" i="4"/>
  <c r="AY19" i="4"/>
  <c r="G23" i="4"/>
  <c r="S23" i="4"/>
  <c r="AH19" i="4"/>
  <c r="I14" i="4"/>
  <c r="AI19" i="4"/>
  <c r="K43" i="4"/>
  <c r="X7" i="4"/>
  <c r="X13" i="4"/>
  <c r="P7" i="4"/>
  <c r="AB7" i="4"/>
  <c r="AN7" i="4"/>
  <c r="AZ7" i="4"/>
  <c r="H11" i="4"/>
  <c r="T11" i="4"/>
  <c r="AF11" i="4"/>
  <c r="AR11" i="4"/>
  <c r="P13" i="4"/>
  <c r="AB13" i="4"/>
  <c r="AN13" i="4"/>
  <c r="AZ13" i="4"/>
  <c r="H17" i="4"/>
  <c r="T17" i="4"/>
  <c r="AF17" i="4"/>
  <c r="AR17" i="4"/>
  <c r="P19" i="4"/>
  <c r="AB19" i="4"/>
  <c r="AN19" i="4"/>
  <c r="AZ19" i="4"/>
  <c r="AU19" i="4"/>
  <c r="E19" i="4"/>
  <c r="Q19" i="4"/>
  <c r="AC19" i="4"/>
  <c r="AO19" i="4"/>
  <c r="E25" i="4"/>
  <c r="Q25" i="4"/>
  <c r="AC25" i="4"/>
  <c r="AO25" i="4"/>
  <c r="AT19" i="4"/>
  <c r="W7" i="4"/>
  <c r="AG20" i="4"/>
  <c r="W49" i="4"/>
  <c r="L7" i="4"/>
  <c r="F7" i="4"/>
  <c r="R7" i="4"/>
  <c r="AD7" i="4"/>
  <c r="AP7" i="4"/>
  <c r="J11" i="4"/>
  <c r="V11" i="4"/>
  <c r="AH11" i="4"/>
  <c r="AT11" i="4"/>
  <c r="F13" i="4"/>
  <c r="R13" i="4"/>
  <c r="AD13" i="4"/>
  <c r="AP13" i="4"/>
  <c r="J17" i="4"/>
  <c r="V17" i="4"/>
  <c r="AH17" i="4"/>
  <c r="AT17" i="4"/>
  <c r="F19" i="4"/>
  <c r="R19" i="4"/>
  <c r="AD19" i="4"/>
  <c r="AP19" i="4"/>
  <c r="BB19" i="4"/>
  <c r="J23" i="4"/>
  <c r="V23" i="4"/>
  <c r="AH23" i="4"/>
  <c r="AT23" i="4"/>
  <c r="K7" i="4"/>
  <c r="W13" i="4"/>
  <c r="K19" i="4"/>
  <c r="W25" i="4"/>
  <c r="W31" i="4"/>
  <c r="W37" i="4"/>
  <c r="K49" i="4"/>
  <c r="D13" i="4"/>
  <c r="D25" i="4"/>
  <c r="D37" i="4"/>
  <c r="D49" i="4"/>
  <c r="D61" i="4"/>
  <c r="D73" i="4"/>
  <c r="G7" i="4"/>
  <c r="S7" i="4"/>
  <c r="AE7" i="4"/>
  <c r="AQ7" i="4"/>
  <c r="K11" i="4"/>
  <c r="W11" i="4"/>
  <c r="AI11" i="4"/>
  <c r="AU11" i="4"/>
  <c r="G13" i="4"/>
  <c r="S13" i="4"/>
  <c r="AE13" i="4"/>
  <c r="AQ13" i="4"/>
  <c r="K17" i="4"/>
  <c r="W17" i="4"/>
  <c r="AI17" i="4"/>
  <c r="AU17" i="4"/>
  <c r="G19" i="4"/>
  <c r="S19" i="4"/>
  <c r="AE19" i="4"/>
  <c r="AQ19" i="4"/>
  <c r="K23" i="4"/>
  <c r="W23" i="4"/>
  <c r="AI23" i="4"/>
  <c r="V19" i="4"/>
  <c r="D26" i="4"/>
  <c r="D38" i="4"/>
  <c r="H19" i="4"/>
  <c r="T19" i="4"/>
  <c r="AF19" i="4"/>
  <c r="AR19" i="4"/>
  <c r="H25" i="4"/>
  <c r="T25" i="4"/>
  <c r="AF25" i="4"/>
  <c r="AR25" i="4"/>
  <c r="F26" i="4"/>
  <c r="R26" i="4"/>
  <c r="AD26" i="4"/>
  <c r="AP26" i="4"/>
  <c r="BB26" i="4"/>
  <c r="H31" i="4"/>
  <c r="T31" i="4"/>
  <c r="AF31" i="4"/>
  <c r="AR31" i="4"/>
  <c r="F32" i="4"/>
  <c r="R32" i="4"/>
  <c r="AD32" i="4"/>
  <c r="AP32" i="4"/>
  <c r="BB32" i="4"/>
  <c r="H37" i="4"/>
  <c r="T37" i="4"/>
  <c r="J73" i="4"/>
  <c r="V73" i="4"/>
  <c r="J79" i="4"/>
  <c r="V79" i="4"/>
  <c r="L43" i="4"/>
  <c r="X43" i="4"/>
  <c r="AJ43" i="4"/>
  <c r="AV43" i="4"/>
  <c r="J44" i="4"/>
  <c r="V44" i="4"/>
  <c r="AH44" i="4"/>
  <c r="AT44" i="4"/>
  <c r="L49" i="4"/>
  <c r="X49" i="4"/>
  <c r="AJ49" i="4"/>
  <c r="AV49" i="4"/>
  <c r="J50" i="4"/>
  <c r="V50" i="4"/>
  <c r="AH50" i="4"/>
  <c r="AT50" i="4"/>
  <c r="AC23" i="4"/>
  <c r="AO23" i="4"/>
  <c r="BA23" i="4"/>
  <c r="O24" i="4"/>
  <c r="AA24" i="4"/>
  <c r="AM24" i="4"/>
  <c r="AY24" i="4"/>
  <c r="M25" i="4"/>
  <c r="Y25" i="4"/>
  <c r="AK25" i="4"/>
  <c r="AW25" i="4"/>
  <c r="K26" i="4"/>
  <c r="W26" i="4"/>
  <c r="AI26" i="4"/>
  <c r="AU26" i="4"/>
  <c r="AG27" i="4"/>
  <c r="AE28" i="4"/>
  <c r="AQ28" i="4"/>
  <c r="E29" i="4"/>
  <c r="Q29" i="4"/>
  <c r="AC29" i="4"/>
  <c r="AO29" i="4"/>
  <c r="BA29" i="4"/>
  <c r="O30" i="4"/>
  <c r="AA30" i="4"/>
  <c r="AM30" i="4"/>
  <c r="AY30" i="4"/>
  <c r="M31" i="4"/>
  <c r="Y31" i="4"/>
  <c r="AK31" i="4"/>
  <c r="AW31" i="4"/>
  <c r="K32" i="4"/>
  <c r="W32" i="4"/>
  <c r="AI32" i="4"/>
  <c r="AU32" i="4"/>
  <c r="E35" i="4"/>
  <c r="Q35" i="4"/>
  <c r="AC35" i="4"/>
  <c r="AO35" i="4"/>
  <c r="BA35" i="4"/>
  <c r="O36" i="4"/>
  <c r="AA36" i="4"/>
  <c r="AM36" i="4"/>
  <c r="AY36" i="4"/>
  <c r="M37" i="4"/>
  <c r="Y37" i="4"/>
  <c r="AK37" i="4"/>
  <c r="AW37" i="4"/>
  <c r="K38" i="4"/>
  <c r="W38" i="4"/>
  <c r="AI38" i="4"/>
  <c r="AU38" i="4"/>
  <c r="AQ40" i="4"/>
  <c r="E41" i="4"/>
  <c r="Q41" i="4"/>
  <c r="AC41" i="4"/>
  <c r="AO41" i="4"/>
  <c r="BA41" i="4"/>
  <c r="O42" i="4"/>
  <c r="AA42" i="4"/>
  <c r="AM42" i="4"/>
  <c r="AY42" i="4"/>
  <c r="M43" i="4"/>
  <c r="Y43" i="4"/>
  <c r="AK43" i="4"/>
  <c r="AW43" i="4"/>
  <c r="K44" i="4"/>
  <c r="W44" i="4"/>
  <c r="AI44" i="4"/>
  <c r="AU44" i="4"/>
  <c r="AC47" i="4"/>
  <c r="AO47" i="4"/>
  <c r="BA47" i="4"/>
  <c r="O48" i="4"/>
  <c r="AA48" i="4"/>
  <c r="AM48" i="4"/>
  <c r="AY48" i="4"/>
  <c r="M49" i="4"/>
  <c r="Y49" i="4"/>
  <c r="AK49" i="4"/>
  <c r="AW49" i="4"/>
  <c r="K50" i="4"/>
  <c r="W50" i="4"/>
  <c r="AI50" i="4"/>
  <c r="AU50" i="4"/>
  <c r="F23" i="4"/>
  <c r="R23" i="4"/>
  <c r="AD23" i="4"/>
  <c r="AP23" i="4"/>
  <c r="BB23" i="4"/>
  <c r="N25" i="4"/>
  <c r="Z25" i="4"/>
  <c r="AL25" i="4"/>
  <c r="AX25" i="4"/>
  <c r="L26" i="4"/>
  <c r="X26" i="4"/>
  <c r="AJ26" i="4"/>
  <c r="AV26" i="4"/>
  <c r="F29" i="4"/>
  <c r="R29" i="4"/>
  <c r="AD29" i="4"/>
  <c r="AP29" i="4"/>
  <c r="BB29" i="4"/>
  <c r="N31" i="4"/>
  <c r="Z31" i="4"/>
  <c r="AL31" i="4"/>
  <c r="AX31" i="4"/>
  <c r="L32" i="4"/>
  <c r="X32" i="4"/>
  <c r="AJ32" i="4"/>
  <c r="AV32" i="4"/>
  <c r="F35" i="4"/>
  <c r="R35" i="4"/>
  <c r="AD35" i="4"/>
  <c r="N37" i="4"/>
  <c r="Z37" i="4"/>
  <c r="AL37" i="4"/>
  <c r="AX37" i="4"/>
  <c r="L38" i="4"/>
  <c r="X38" i="4"/>
  <c r="AJ38" i="4"/>
  <c r="AV38" i="4"/>
  <c r="V39" i="4"/>
  <c r="F41" i="4"/>
  <c r="R41" i="4"/>
  <c r="AD41" i="4"/>
  <c r="N43" i="4"/>
  <c r="Z43" i="4"/>
  <c r="AL43" i="4"/>
  <c r="AX43" i="4"/>
  <c r="L44" i="4"/>
  <c r="X44" i="4"/>
  <c r="AJ44" i="4"/>
  <c r="AV44" i="4"/>
  <c r="F47" i="4"/>
  <c r="R47" i="4"/>
  <c r="AD47" i="4"/>
  <c r="N49" i="4"/>
  <c r="Z49" i="4"/>
  <c r="AL49" i="4"/>
  <c r="AX49" i="4"/>
  <c r="L50" i="4"/>
  <c r="X50" i="4"/>
  <c r="AE23" i="4"/>
  <c r="AQ23" i="4"/>
  <c r="E24" i="4"/>
  <c r="Q24" i="4"/>
  <c r="AC24" i="4"/>
  <c r="AO24" i="4"/>
  <c r="BA24" i="4"/>
  <c r="O25" i="4"/>
  <c r="AA25" i="4"/>
  <c r="AM25" i="4"/>
  <c r="AY25" i="4"/>
  <c r="M26" i="4"/>
  <c r="Y26" i="4"/>
  <c r="AK26" i="4"/>
  <c r="AW26" i="4"/>
  <c r="G29" i="4"/>
  <c r="S29" i="4"/>
  <c r="AE29" i="4"/>
  <c r="AQ29" i="4"/>
  <c r="Q30" i="4"/>
  <c r="AC30" i="4"/>
  <c r="AO30" i="4"/>
  <c r="BA30" i="4"/>
  <c r="O31" i="4"/>
  <c r="AA31" i="4"/>
  <c r="AM31" i="4"/>
  <c r="AY31" i="4"/>
  <c r="M32" i="4"/>
  <c r="Y32" i="4"/>
  <c r="AK32" i="4"/>
  <c r="AW32" i="4"/>
  <c r="G35" i="4"/>
  <c r="S35" i="4"/>
  <c r="AE35" i="4"/>
  <c r="AQ35" i="4"/>
  <c r="Q36" i="4"/>
  <c r="AC36" i="4"/>
  <c r="AO36" i="4"/>
  <c r="BA36" i="4"/>
  <c r="O37" i="4"/>
  <c r="AA37" i="4"/>
  <c r="AM37" i="4"/>
  <c r="AY37" i="4"/>
  <c r="M38" i="4"/>
  <c r="Y38" i="4"/>
  <c r="AK38" i="4"/>
  <c r="AW38" i="4"/>
  <c r="AI39" i="4"/>
  <c r="AU39" i="4"/>
  <c r="G41" i="4"/>
  <c r="S41" i="4"/>
  <c r="AE41" i="4"/>
  <c r="AQ41" i="4"/>
  <c r="Q42" i="4"/>
  <c r="AC42" i="4"/>
  <c r="AO42" i="4"/>
  <c r="BA42" i="4"/>
  <c r="O43" i="4"/>
  <c r="AA43" i="4"/>
  <c r="AM43" i="4"/>
  <c r="AY43" i="4"/>
  <c r="M44" i="4"/>
  <c r="Y44" i="4"/>
  <c r="AK44" i="4"/>
  <c r="AW44" i="4"/>
  <c r="AI45" i="4"/>
  <c r="AU45" i="4"/>
  <c r="AQ47" i="4"/>
  <c r="Q48" i="4"/>
  <c r="AC48" i="4"/>
  <c r="AO48" i="4"/>
  <c r="BA48" i="4"/>
  <c r="O49" i="4"/>
  <c r="AA49" i="4"/>
  <c r="AM49" i="4"/>
  <c r="AY49" i="4"/>
  <c r="M50" i="4"/>
  <c r="Y50" i="4"/>
  <c r="AK50" i="4"/>
  <c r="AW50" i="4"/>
  <c r="AI51" i="4"/>
  <c r="H23" i="4"/>
  <c r="T23" i="4"/>
  <c r="AF23" i="4"/>
  <c r="AR23" i="4"/>
  <c r="P25" i="4"/>
  <c r="AB25" i="4"/>
  <c r="AN25" i="4"/>
  <c r="AZ25" i="4"/>
  <c r="N26" i="4"/>
  <c r="Z26" i="4"/>
  <c r="AL26" i="4"/>
  <c r="AX26" i="4"/>
  <c r="H29" i="4"/>
  <c r="T29" i="4"/>
  <c r="AF29" i="4"/>
  <c r="AR29" i="4"/>
  <c r="P31" i="4"/>
  <c r="AB31" i="4"/>
  <c r="AN31" i="4"/>
  <c r="AZ31" i="4"/>
  <c r="N32" i="4"/>
  <c r="Z32" i="4"/>
  <c r="AL32" i="4"/>
  <c r="AX32" i="4"/>
  <c r="H35" i="4"/>
  <c r="T35" i="4"/>
  <c r="AF35" i="4"/>
  <c r="AR35" i="4"/>
  <c r="P37" i="4"/>
  <c r="AB37" i="4"/>
  <c r="AN37" i="4"/>
  <c r="AZ37" i="4"/>
  <c r="N38" i="4"/>
  <c r="Z38" i="4"/>
  <c r="AL38" i="4"/>
  <c r="AX38" i="4"/>
  <c r="H41" i="4"/>
  <c r="T41" i="4"/>
  <c r="AF41" i="4"/>
  <c r="AR41" i="4"/>
  <c r="P43" i="4"/>
  <c r="AB43" i="4"/>
  <c r="AN43" i="4"/>
  <c r="AZ43" i="4"/>
  <c r="N44" i="4"/>
  <c r="Z44" i="4"/>
  <c r="AL44" i="4"/>
  <c r="AX44" i="4"/>
  <c r="H47" i="4"/>
  <c r="T47" i="4"/>
  <c r="AF47" i="4"/>
  <c r="AR47" i="4"/>
  <c r="P49" i="4"/>
  <c r="AB49" i="4"/>
  <c r="AN49" i="4"/>
  <c r="AZ49" i="4"/>
  <c r="N50" i="4"/>
  <c r="Z50" i="4"/>
  <c r="AL50" i="4"/>
  <c r="AX50" i="4"/>
  <c r="O26" i="4"/>
  <c r="AA26" i="4"/>
  <c r="AM26" i="4"/>
  <c r="E31" i="4"/>
  <c r="Q31" i="4"/>
  <c r="AC31" i="4"/>
  <c r="AO31" i="4"/>
  <c r="O32" i="4"/>
  <c r="AA32" i="4"/>
  <c r="AM32" i="4"/>
  <c r="E37" i="4"/>
  <c r="Q37" i="4"/>
  <c r="AC37" i="4"/>
  <c r="AO37" i="4"/>
  <c r="O38" i="4"/>
  <c r="AA38" i="4"/>
  <c r="AM38" i="4"/>
  <c r="E43" i="4"/>
  <c r="Q43" i="4"/>
  <c r="AC43" i="4"/>
  <c r="AO43" i="4"/>
  <c r="O44" i="4"/>
  <c r="AA44" i="4"/>
  <c r="AM44" i="4"/>
  <c r="E49" i="4"/>
  <c r="Q49" i="4"/>
  <c r="AC49" i="4"/>
  <c r="AO49" i="4"/>
  <c r="O50" i="4"/>
  <c r="AA50" i="4"/>
  <c r="AM50" i="4"/>
  <c r="F25" i="4"/>
  <c r="R25" i="4"/>
  <c r="AD25" i="4"/>
  <c r="AP25" i="4"/>
  <c r="BB25" i="4"/>
  <c r="P26" i="4"/>
  <c r="AB26" i="4"/>
  <c r="AN26" i="4"/>
  <c r="AZ26" i="4"/>
  <c r="J29" i="4"/>
  <c r="V29" i="4"/>
  <c r="AH29" i="4"/>
  <c r="AT29" i="4"/>
  <c r="F31" i="4"/>
  <c r="R31" i="4"/>
  <c r="AD31" i="4"/>
  <c r="AP31" i="4"/>
  <c r="BB31" i="4"/>
  <c r="P32" i="4"/>
  <c r="AB32" i="4"/>
  <c r="AN32" i="4"/>
  <c r="AZ32" i="4"/>
  <c r="J35" i="4"/>
  <c r="V35" i="4"/>
  <c r="AH35" i="4"/>
  <c r="AT35" i="4"/>
  <c r="F37" i="4"/>
  <c r="R37" i="4"/>
  <c r="AD37" i="4"/>
  <c r="AP37" i="4"/>
  <c r="BB37" i="4"/>
  <c r="P38" i="4"/>
  <c r="AB38" i="4"/>
  <c r="AN38" i="4"/>
  <c r="AZ38" i="4"/>
  <c r="AT41" i="4"/>
  <c r="F43" i="4"/>
  <c r="R43" i="4"/>
  <c r="AD43" i="4"/>
  <c r="AP43" i="4"/>
  <c r="BB43" i="4"/>
  <c r="P44" i="4"/>
  <c r="AB44" i="4"/>
  <c r="AN44" i="4"/>
  <c r="AZ44" i="4"/>
  <c r="J47" i="4"/>
  <c r="V47" i="4"/>
  <c r="AH47" i="4"/>
  <c r="AT47" i="4"/>
  <c r="F49" i="4"/>
  <c r="R49" i="4"/>
  <c r="AD49" i="4"/>
  <c r="AP49" i="4"/>
  <c r="BB49" i="4"/>
  <c r="P50" i="4"/>
  <c r="AB50" i="4"/>
  <c r="AN50" i="4"/>
  <c r="AZ50" i="4"/>
  <c r="AU23" i="4"/>
  <c r="G25" i="4"/>
  <c r="S25" i="4"/>
  <c r="AE25" i="4"/>
  <c r="AQ25" i="4"/>
  <c r="E26" i="4"/>
  <c r="Q26" i="4"/>
  <c r="AC26" i="4"/>
  <c r="AO26" i="4"/>
  <c r="BA26" i="4"/>
  <c r="K29" i="4"/>
  <c r="W29" i="4"/>
  <c r="AI29" i="4"/>
  <c r="AU29" i="4"/>
  <c r="G31" i="4"/>
  <c r="S31" i="4"/>
  <c r="AE31" i="4"/>
  <c r="AQ31" i="4"/>
  <c r="E32" i="4"/>
  <c r="Q32" i="4"/>
  <c r="AC32" i="4"/>
  <c r="AO32" i="4"/>
  <c r="BA32" i="4"/>
  <c r="K35" i="4"/>
  <c r="W35" i="4"/>
  <c r="AI35" i="4"/>
  <c r="AU35" i="4"/>
  <c r="G37" i="4"/>
  <c r="S37" i="4"/>
  <c r="AE37" i="4"/>
  <c r="AQ37" i="4"/>
  <c r="E38" i="4"/>
  <c r="Q38" i="4"/>
  <c r="AC38" i="4"/>
  <c r="AO38" i="4"/>
  <c r="BA38" i="4"/>
  <c r="K41" i="4"/>
  <c r="W41" i="4"/>
  <c r="AI41" i="4"/>
  <c r="AU41" i="4"/>
  <c r="G43" i="4"/>
  <c r="S43" i="4"/>
  <c r="AE43" i="4"/>
  <c r="AQ43" i="4"/>
  <c r="E44" i="4"/>
  <c r="Q44" i="4"/>
  <c r="AC44" i="4"/>
  <c r="AO44" i="4"/>
  <c r="BA44" i="4"/>
  <c r="AU47" i="4"/>
  <c r="G49" i="4"/>
  <c r="S49" i="4"/>
  <c r="AE49" i="4"/>
  <c r="AQ49" i="4"/>
  <c r="E50" i="4"/>
  <c r="Q50" i="4"/>
  <c r="AC50" i="4"/>
  <c r="AO50" i="4"/>
  <c r="BA50" i="4"/>
  <c r="AF37" i="4"/>
  <c r="AR37" i="4"/>
  <c r="F38" i="4"/>
  <c r="R38" i="4"/>
  <c r="AD38" i="4"/>
  <c r="AP38" i="4"/>
  <c r="BB38" i="4"/>
  <c r="H43" i="4"/>
  <c r="T43" i="4"/>
  <c r="AF43" i="4"/>
  <c r="AR43" i="4"/>
  <c r="F44" i="4"/>
  <c r="R44" i="4"/>
  <c r="AD44" i="4"/>
  <c r="AP44" i="4"/>
  <c r="BB44" i="4"/>
  <c r="H49" i="4"/>
  <c r="T49" i="4"/>
  <c r="AF49" i="4"/>
  <c r="AR49" i="4"/>
  <c r="F50" i="4"/>
  <c r="R50" i="4"/>
  <c r="AD50" i="4"/>
  <c r="AP50" i="4"/>
  <c r="BB50" i="4"/>
  <c r="H55" i="4"/>
  <c r="T55" i="4"/>
  <c r="AF55" i="4"/>
  <c r="AR55" i="4"/>
  <c r="H61" i="4"/>
  <c r="T61" i="4"/>
  <c r="AF61" i="4"/>
  <c r="AR61" i="4"/>
  <c r="J85" i="4"/>
  <c r="V85" i="4"/>
  <c r="J91" i="4"/>
  <c r="V91" i="4"/>
  <c r="K55" i="4"/>
  <c r="W55" i="4"/>
  <c r="K61" i="4"/>
  <c r="K67" i="4"/>
  <c r="W67" i="4"/>
  <c r="K73" i="4"/>
  <c r="W73" i="4"/>
  <c r="AI73" i="4"/>
  <c r="K79" i="4"/>
  <c r="W79" i="4"/>
  <c r="S81" i="4"/>
  <c r="M84" i="4"/>
  <c r="Y84" i="4"/>
  <c r="K85" i="4"/>
  <c r="W85" i="4"/>
  <c r="S87" i="4"/>
  <c r="K91" i="4"/>
  <c r="W91" i="4"/>
  <c r="BB52" i="4"/>
  <c r="AX54" i="4"/>
  <c r="L55" i="4"/>
  <c r="X55" i="4"/>
  <c r="AJ55" i="4"/>
  <c r="AV55" i="4"/>
  <c r="AP58" i="4"/>
  <c r="BB58" i="4"/>
  <c r="AL60" i="4"/>
  <c r="AX60" i="4"/>
  <c r="L61" i="4"/>
  <c r="X61" i="4"/>
  <c r="AJ61" i="4"/>
  <c r="AV61" i="4"/>
  <c r="AP64" i="4"/>
  <c r="BB64" i="4"/>
  <c r="AZ65" i="4"/>
  <c r="Z66" i="4"/>
  <c r="AL66" i="4"/>
  <c r="AX66" i="4"/>
  <c r="L67" i="4"/>
  <c r="X67" i="4"/>
  <c r="AJ67" i="4"/>
  <c r="AV67" i="4"/>
  <c r="L73" i="4"/>
  <c r="L79" i="4"/>
  <c r="N84" i="4"/>
  <c r="Z84" i="4"/>
  <c r="L85" i="4"/>
  <c r="X85" i="4"/>
  <c r="T87" i="4"/>
  <c r="L91" i="4"/>
  <c r="X91" i="4"/>
  <c r="BA53" i="4"/>
  <c r="O54" i="4"/>
  <c r="AA54" i="4"/>
  <c r="AM54" i="4"/>
  <c r="AY54" i="4"/>
  <c r="M55" i="4"/>
  <c r="Y55" i="4"/>
  <c r="AK55" i="4"/>
  <c r="AW55" i="4"/>
  <c r="AU56" i="4"/>
  <c r="AO59" i="4"/>
  <c r="BA59" i="4"/>
  <c r="O60" i="4"/>
  <c r="AA60" i="4"/>
  <c r="AM60" i="4"/>
  <c r="AY60" i="4"/>
  <c r="M61" i="4"/>
  <c r="Y61" i="4"/>
  <c r="AK61" i="4"/>
  <c r="AW61" i="4"/>
  <c r="AU62" i="4"/>
  <c r="AO65" i="4"/>
  <c r="BA65" i="4"/>
  <c r="O66" i="4"/>
  <c r="AA66" i="4"/>
  <c r="AM66" i="4"/>
  <c r="AY66" i="4"/>
  <c r="M67" i="4"/>
  <c r="Y67" i="4"/>
  <c r="AK67" i="4"/>
  <c r="AW67" i="4"/>
  <c r="AU68" i="4"/>
  <c r="AO71" i="4"/>
  <c r="BA71" i="4"/>
  <c r="M73" i="4"/>
  <c r="Y73" i="4"/>
  <c r="AK73" i="4"/>
  <c r="AW73" i="4"/>
  <c r="AI74" i="4"/>
  <c r="AU74" i="4"/>
  <c r="M79" i="4"/>
  <c r="O84" i="4"/>
  <c r="AA84" i="4"/>
  <c r="M85" i="4"/>
  <c r="M91" i="4"/>
  <c r="Y91" i="4"/>
  <c r="AJ50" i="4"/>
  <c r="AV50" i="4"/>
  <c r="F53" i="4"/>
  <c r="R53" i="4"/>
  <c r="AD53" i="4"/>
  <c r="N55" i="4"/>
  <c r="Z55" i="4"/>
  <c r="AL55" i="4"/>
  <c r="AX55" i="4"/>
  <c r="AJ56" i="4"/>
  <c r="N61" i="4"/>
  <c r="Z61" i="4"/>
  <c r="N67" i="4"/>
  <c r="N73" i="4"/>
  <c r="Z73" i="4"/>
  <c r="N79" i="4"/>
  <c r="V81" i="4"/>
  <c r="P84" i="4"/>
  <c r="AB84" i="4"/>
  <c r="N85" i="4"/>
  <c r="V87" i="4"/>
  <c r="N91" i="4"/>
  <c r="AU51" i="4"/>
  <c r="Q54" i="4"/>
  <c r="AC54" i="4"/>
  <c r="AO54" i="4"/>
  <c r="BA54" i="4"/>
  <c r="O55" i="4"/>
  <c r="AA55" i="4"/>
  <c r="AM55" i="4"/>
  <c r="AY55" i="4"/>
  <c r="AI57" i="4"/>
  <c r="AU57" i="4"/>
  <c r="Q60" i="4"/>
  <c r="AC60" i="4"/>
  <c r="AO60" i="4"/>
  <c r="BA60" i="4"/>
  <c r="O61" i="4"/>
  <c r="AA61" i="4"/>
  <c r="AM61" i="4"/>
  <c r="AY61" i="4"/>
  <c r="AI63" i="4"/>
  <c r="AU63" i="4"/>
  <c r="Q66" i="4"/>
  <c r="AC66" i="4"/>
  <c r="AO66" i="4"/>
  <c r="BA66" i="4"/>
  <c r="O67" i="4"/>
  <c r="AA67" i="4"/>
  <c r="AM67" i="4"/>
  <c r="AY67" i="4"/>
  <c r="AU69" i="4"/>
  <c r="AC72" i="4"/>
  <c r="AO72" i="4"/>
  <c r="BA72" i="4"/>
  <c r="O73" i="4"/>
  <c r="AA73" i="4"/>
  <c r="AM73" i="4"/>
  <c r="AY73" i="4"/>
  <c r="AW74" i="4"/>
  <c r="AI75" i="4"/>
  <c r="AU75" i="4"/>
  <c r="AQ77" i="4"/>
  <c r="Q78" i="4"/>
  <c r="AC78" i="4"/>
  <c r="AO78" i="4"/>
  <c r="BA78" i="4"/>
  <c r="O79" i="4"/>
  <c r="AA79" i="4"/>
  <c r="AM79" i="4"/>
  <c r="AY79" i="4"/>
  <c r="AK80" i="4"/>
  <c r="AW80" i="4"/>
  <c r="W81" i="4"/>
  <c r="AI81" i="4"/>
  <c r="AU81" i="4"/>
  <c r="S83" i="4"/>
  <c r="AE83" i="4"/>
  <c r="AQ83" i="4"/>
  <c r="E84" i="4"/>
  <c r="Q84" i="4"/>
  <c r="AC84" i="4"/>
  <c r="AO84" i="4"/>
  <c r="BA84" i="4"/>
  <c r="O85" i="4"/>
  <c r="AA85" i="4"/>
  <c r="AM85" i="4"/>
  <c r="AY85" i="4"/>
  <c r="M86" i="4"/>
  <c r="Y86" i="4"/>
  <c r="AK86" i="4"/>
  <c r="AW86" i="4"/>
  <c r="K87" i="4"/>
  <c r="W87" i="4"/>
  <c r="AI87" i="4"/>
  <c r="AU87" i="4"/>
  <c r="S89" i="4"/>
  <c r="AE89" i="4"/>
  <c r="AQ89" i="4"/>
  <c r="E90" i="4"/>
  <c r="Q90" i="4"/>
  <c r="AC90" i="4"/>
  <c r="AO90" i="4"/>
  <c r="BA90" i="4"/>
  <c r="O91" i="4"/>
  <c r="AA91" i="4"/>
  <c r="AM91" i="4"/>
  <c r="T53" i="4"/>
  <c r="AF53" i="4"/>
  <c r="AR53" i="4"/>
  <c r="P55" i="4"/>
  <c r="AB55" i="4"/>
  <c r="AN55" i="4"/>
  <c r="AZ55" i="4"/>
  <c r="Z56" i="4"/>
  <c r="AL56" i="4"/>
  <c r="AX56" i="4"/>
  <c r="AF59" i="4"/>
  <c r="AR59" i="4"/>
  <c r="P61" i="4"/>
  <c r="AB61" i="4"/>
  <c r="AN61" i="4"/>
  <c r="AZ61" i="4"/>
  <c r="AL62" i="4"/>
  <c r="AX62" i="4"/>
  <c r="AF65" i="4"/>
  <c r="AR65" i="4"/>
  <c r="P67" i="4"/>
  <c r="AB67" i="4"/>
  <c r="AN67" i="4"/>
  <c r="AZ67" i="4"/>
  <c r="AL68" i="4"/>
  <c r="AX68" i="4"/>
  <c r="AF71" i="4"/>
  <c r="AR71" i="4"/>
  <c r="F72" i="4"/>
  <c r="P73" i="4"/>
  <c r="AB73" i="4"/>
  <c r="AN73" i="4"/>
  <c r="AZ73" i="4"/>
  <c r="AL74" i="4"/>
  <c r="AX74" i="4"/>
  <c r="X75" i="4"/>
  <c r="AJ75" i="4"/>
  <c r="AV75" i="4"/>
  <c r="AF77" i="4"/>
  <c r="AR77" i="4"/>
  <c r="F78" i="4"/>
  <c r="R78" i="4"/>
  <c r="P79" i="4"/>
  <c r="AB79" i="4"/>
  <c r="AN79" i="4"/>
  <c r="AZ79" i="4"/>
  <c r="AL80" i="4"/>
  <c r="AX80" i="4"/>
  <c r="X81" i="4"/>
  <c r="AJ81" i="4"/>
  <c r="AV81" i="4"/>
  <c r="AF83" i="4"/>
  <c r="AR83" i="4"/>
  <c r="F84" i="4"/>
  <c r="R84" i="4"/>
  <c r="AD84" i="4"/>
  <c r="AP84" i="4"/>
  <c r="BB84" i="4"/>
  <c r="P85" i="4"/>
  <c r="AB85" i="4"/>
  <c r="AN85" i="4"/>
  <c r="AZ85" i="4"/>
  <c r="Z86" i="4"/>
  <c r="AL86" i="4"/>
  <c r="AX86" i="4"/>
  <c r="L87" i="4"/>
  <c r="X87" i="4"/>
  <c r="AJ87" i="4"/>
  <c r="AV87" i="4"/>
  <c r="AF89" i="4"/>
  <c r="AR89" i="4"/>
  <c r="F90" i="4"/>
  <c r="R90" i="4"/>
  <c r="AD90" i="4"/>
  <c r="AP90" i="4"/>
  <c r="BB90" i="4"/>
  <c r="P91" i="4"/>
  <c r="AB91" i="4"/>
  <c r="AN91" i="4"/>
  <c r="AZ91" i="4"/>
  <c r="Z92" i="4"/>
  <c r="E55" i="4"/>
  <c r="Q55" i="4"/>
  <c r="AC55" i="4"/>
  <c r="AO55" i="4"/>
  <c r="AM56" i="4"/>
  <c r="E61" i="4"/>
  <c r="Q61" i="4"/>
  <c r="AC61" i="4"/>
  <c r="AM62" i="4"/>
  <c r="E67" i="4"/>
  <c r="Q67" i="4"/>
  <c r="AC67" i="4"/>
  <c r="AO67" i="4"/>
  <c r="AM68" i="4"/>
  <c r="E73" i="4"/>
  <c r="Q73" i="4"/>
  <c r="AC73" i="4"/>
  <c r="AO73" i="4"/>
  <c r="E79" i="4"/>
  <c r="Q79" i="4"/>
  <c r="AC79" i="4"/>
  <c r="AA80" i="4"/>
  <c r="Y81" i="4"/>
  <c r="G84" i="4"/>
  <c r="S84" i="4"/>
  <c r="AE84" i="4"/>
  <c r="E85" i="4"/>
  <c r="Q85" i="4"/>
  <c r="AC85" i="4"/>
  <c r="AA86" i="4"/>
  <c r="M87" i="4"/>
  <c r="Y87" i="4"/>
  <c r="G90" i="4"/>
  <c r="S90" i="4"/>
  <c r="E91" i="4"/>
  <c r="Q91" i="4"/>
  <c r="AC91" i="4"/>
  <c r="V53" i="4"/>
  <c r="AH53" i="4"/>
  <c r="AT53" i="4"/>
  <c r="F55" i="4"/>
  <c r="R55" i="4"/>
  <c r="AD55" i="4"/>
  <c r="AP55" i="4"/>
  <c r="BB55" i="4"/>
  <c r="AB56" i="4"/>
  <c r="AN56" i="4"/>
  <c r="AZ56" i="4"/>
  <c r="AH59" i="4"/>
  <c r="AT59" i="4"/>
  <c r="F61" i="4"/>
  <c r="R61" i="4"/>
  <c r="AD61" i="4"/>
  <c r="AP61" i="4"/>
  <c r="BB61" i="4"/>
  <c r="AN62" i="4"/>
  <c r="AZ62" i="4"/>
  <c r="AH65" i="4"/>
  <c r="AT65" i="4"/>
  <c r="F67" i="4"/>
  <c r="R67" i="4"/>
  <c r="AD67" i="4"/>
  <c r="AP67" i="4"/>
  <c r="BB67" i="4"/>
  <c r="AN68" i="4"/>
  <c r="AZ68" i="4"/>
  <c r="AH71" i="4"/>
  <c r="AT71" i="4"/>
  <c r="F73" i="4"/>
  <c r="R73" i="4"/>
  <c r="AD73" i="4"/>
  <c r="AP73" i="4"/>
  <c r="BB73" i="4"/>
  <c r="AN74" i="4"/>
  <c r="AZ74" i="4"/>
  <c r="Z75" i="4"/>
  <c r="AL75" i="4"/>
  <c r="AX75" i="4"/>
  <c r="AH77" i="4"/>
  <c r="AT77" i="4"/>
  <c r="F79" i="4"/>
  <c r="R79" i="4"/>
  <c r="AD79" i="4"/>
  <c r="AP79" i="4"/>
  <c r="BB79" i="4"/>
  <c r="AN80" i="4"/>
  <c r="AZ80" i="4"/>
  <c r="Z81" i="4"/>
  <c r="AL81" i="4"/>
  <c r="AX81" i="4"/>
  <c r="AH83" i="4"/>
  <c r="AT83" i="4"/>
  <c r="H84" i="4"/>
  <c r="T84" i="4"/>
  <c r="AF84" i="4"/>
  <c r="AR84" i="4"/>
  <c r="F85" i="4"/>
  <c r="R85" i="4"/>
  <c r="AD85" i="4"/>
  <c r="AP85" i="4"/>
  <c r="BB85" i="4"/>
  <c r="AB86" i="4"/>
  <c r="AN86" i="4"/>
  <c r="AZ86" i="4"/>
  <c r="N87" i="4"/>
  <c r="Z87" i="4"/>
  <c r="AL87" i="4"/>
  <c r="AX87" i="4"/>
  <c r="AH89" i="4"/>
  <c r="AT89" i="4"/>
  <c r="H90" i="4"/>
  <c r="T90" i="4"/>
  <c r="AF90" i="4"/>
  <c r="AR90" i="4"/>
  <c r="F91" i="4"/>
  <c r="R91" i="4"/>
  <c r="AD91" i="4"/>
  <c r="AP91" i="4"/>
  <c r="BB91" i="4"/>
  <c r="AN92" i="4"/>
  <c r="AZ92" i="4"/>
  <c r="G55" i="4"/>
  <c r="S55" i="4"/>
  <c r="AE55" i="4"/>
  <c r="AQ55" i="4"/>
  <c r="G61" i="4"/>
  <c r="S61" i="4"/>
  <c r="AE61" i="4"/>
  <c r="AQ61" i="4"/>
  <c r="G67" i="4"/>
  <c r="S67" i="4"/>
  <c r="AE67" i="4"/>
  <c r="AQ67" i="4"/>
  <c r="BA68" i="4"/>
  <c r="G73" i="4"/>
  <c r="S73" i="4"/>
  <c r="AE73" i="4"/>
  <c r="AQ73" i="4"/>
  <c r="BA74" i="4"/>
  <c r="AY75" i="4"/>
  <c r="AU77" i="4"/>
  <c r="G79" i="4"/>
  <c r="S79" i="4"/>
  <c r="AE79" i="4"/>
  <c r="AQ79" i="4"/>
  <c r="BA80" i="4"/>
  <c r="AM81" i="4"/>
  <c r="AY81" i="4"/>
  <c r="G85" i="4"/>
  <c r="G91" i="4"/>
  <c r="S91" i="4"/>
  <c r="AE91" i="4"/>
  <c r="H67" i="4"/>
  <c r="T67" i="4"/>
  <c r="AF67" i="4"/>
  <c r="AR67" i="4"/>
  <c r="BB68" i="4"/>
  <c r="AV71" i="4"/>
  <c r="H73" i="4"/>
  <c r="T73" i="4"/>
  <c r="AF73" i="4"/>
  <c r="AR73" i="4"/>
  <c r="BB74" i="4"/>
  <c r="AV77" i="4"/>
  <c r="H79" i="4"/>
  <c r="T79" i="4"/>
  <c r="AF79" i="4"/>
  <c r="AR79" i="4"/>
  <c r="BB80" i="4"/>
  <c r="AN81" i="4"/>
  <c r="AZ81" i="4"/>
  <c r="AV83" i="4"/>
  <c r="AH84" i="4"/>
  <c r="AT84" i="4"/>
  <c r="H85" i="4"/>
  <c r="T85" i="4"/>
  <c r="AF85" i="4"/>
  <c r="AR85" i="4"/>
  <c r="BB86" i="4"/>
  <c r="AN87" i="4"/>
  <c r="AZ87" i="4"/>
  <c r="AV89" i="4"/>
  <c r="V90" i="4"/>
  <c r="AH90" i="4"/>
  <c r="AT90" i="4"/>
  <c r="H91" i="4"/>
  <c r="T91" i="4"/>
  <c r="AF91" i="4"/>
  <c r="AR91" i="4"/>
  <c r="AP92" i="4"/>
  <c r="BB92" i="4"/>
  <c r="AS14" i="4"/>
  <c r="AH14" i="4"/>
  <c r="V14" i="4"/>
  <c r="AG9" i="4"/>
  <c r="AG15" i="4"/>
  <c r="W20" i="4"/>
  <c r="AU20" i="4"/>
  <c r="AS21" i="4"/>
  <c r="AG33" i="4"/>
  <c r="AH20" i="4"/>
  <c r="AS9" i="4"/>
  <c r="AU14" i="4"/>
  <c r="AS15" i="4"/>
  <c r="K20" i="4"/>
  <c r="AI20" i="4"/>
  <c r="AG21" i="4"/>
  <c r="AS27" i="4"/>
  <c r="D8" i="4"/>
  <c r="D20" i="4"/>
  <c r="P6" i="4"/>
  <c r="AB6" i="4"/>
  <c r="AN6" i="4"/>
  <c r="AZ6" i="4"/>
  <c r="N7" i="4"/>
  <c r="Z7" i="4"/>
  <c r="AL7" i="4"/>
  <c r="AX7" i="4"/>
  <c r="L8" i="4"/>
  <c r="X8" i="4"/>
  <c r="AJ8" i="4"/>
  <c r="AV8" i="4"/>
  <c r="J9" i="4"/>
  <c r="V9" i="4"/>
  <c r="AH9" i="4"/>
  <c r="AT9" i="4"/>
  <c r="H10" i="4"/>
  <c r="T10" i="4"/>
  <c r="AF10" i="4"/>
  <c r="AR10" i="4"/>
  <c r="P12" i="4"/>
  <c r="AB12" i="4"/>
  <c r="AN12" i="4"/>
  <c r="AZ12" i="4"/>
  <c r="N13" i="4"/>
  <c r="Z13" i="4"/>
  <c r="AL13" i="4"/>
  <c r="AX13" i="4"/>
  <c r="L14" i="4"/>
  <c r="X14" i="4"/>
  <c r="AJ14" i="4"/>
  <c r="AV14" i="4"/>
  <c r="J15" i="4"/>
  <c r="V15" i="4"/>
  <c r="AH15" i="4"/>
  <c r="AT15" i="4"/>
  <c r="H16" i="4"/>
  <c r="T16" i="4"/>
  <c r="AF16" i="4"/>
  <c r="AR16" i="4"/>
  <c r="P18" i="4"/>
  <c r="AB18" i="4"/>
  <c r="AN18" i="4"/>
  <c r="AZ18" i="4"/>
  <c r="L20" i="4"/>
  <c r="X20" i="4"/>
  <c r="AJ20" i="4"/>
  <c r="AV20" i="4"/>
  <c r="J21" i="4"/>
  <c r="V21" i="4"/>
  <c r="AH21" i="4"/>
  <c r="AT21" i="4"/>
  <c r="H22" i="4"/>
  <c r="T22" i="4"/>
  <c r="AF22" i="4"/>
  <c r="AR22" i="4"/>
  <c r="J14" i="4"/>
  <c r="AI9" i="4"/>
  <c r="AU15" i="4"/>
  <c r="AG16" i="4"/>
  <c r="M20" i="4"/>
  <c r="Y20" i="4"/>
  <c r="AK20" i="4"/>
  <c r="AW20" i="4"/>
  <c r="K21" i="4"/>
  <c r="W21" i="4"/>
  <c r="AI21" i="4"/>
  <c r="AU21" i="4"/>
  <c r="AG22" i="4"/>
  <c r="AS22" i="4"/>
  <c r="K27" i="4"/>
  <c r="W27" i="4"/>
  <c r="AI27" i="4"/>
  <c r="AU27" i="4"/>
  <c r="AG28" i="4"/>
  <c r="AS28" i="4"/>
  <c r="K33" i="4"/>
  <c r="W33" i="4"/>
  <c r="AI33" i="4"/>
  <c r="AU33" i="4"/>
  <c r="AG34" i="4"/>
  <c r="AS34" i="4"/>
  <c r="AG40" i="4"/>
  <c r="AS40" i="4"/>
  <c r="J20" i="4"/>
  <c r="K14" i="4"/>
  <c r="W9" i="4"/>
  <c r="AS10" i="4"/>
  <c r="AI15" i="4"/>
  <c r="D10" i="4"/>
  <c r="D22" i="4"/>
  <c r="F6" i="4"/>
  <c r="R6" i="4"/>
  <c r="AD6" i="4"/>
  <c r="AP6" i="4"/>
  <c r="BB6" i="4"/>
  <c r="N8" i="4"/>
  <c r="Z8" i="4"/>
  <c r="AL8" i="4"/>
  <c r="AX8" i="4"/>
  <c r="L9" i="4"/>
  <c r="X9" i="4"/>
  <c r="AJ9" i="4"/>
  <c r="AV9" i="4"/>
  <c r="J10" i="4"/>
  <c r="V10" i="4"/>
  <c r="AH10" i="4"/>
  <c r="AT10" i="4"/>
  <c r="F12" i="4"/>
  <c r="R12" i="4"/>
  <c r="AD12" i="4"/>
  <c r="AP12" i="4"/>
  <c r="BB12" i="4"/>
  <c r="N14" i="4"/>
  <c r="Z14" i="4"/>
  <c r="AL14" i="4"/>
  <c r="AX14" i="4"/>
  <c r="L15" i="4"/>
  <c r="X15" i="4"/>
  <c r="AJ15" i="4"/>
  <c r="AV15" i="4"/>
  <c r="J16" i="4"/>
  <c r="V16" i="4"/>
  <c r="AH16" i="4"/>
  <c r="AT16" i="4"/>
  <c r="F18" i="4"/>
  <c r="R18" i="4"/>
  <c r="AD18" i="4"/>
  <c r="AP18" i="4"/>
  <c r="BB18" i="4"/>
  <c r="N20" i="4"/>
  <c r="Z20" i="4"/>
  <c r="AL20" i="4"/>
  <c r="AX20" i="4"/>
  <c r="L21" i="4"/>
  <c r="X21" i="4"/>
  <c r="AJ21" i="4"/>
  <c r="AV21" i="4"/>
  <c r="J22" i="4"/>
  <c r="V22" i="4"/>
  <c r="AH22" i="4"/>
  <c r="AT22" i="4"/>
  <c r="F24" i="4"/>
  <c r="R24" i="4"/>
  <c r="AD24" i="4"/>
  <c r="AP24" i="4"/>
  <c r="BB24" i="4"/>
  <c r="L27" i="4"/>
  <c r="X27" i="4"/>
  <c r="AH8" i="4"/>
  <c r="V20" i="4"/>
  <c r="AW8" i="4"/>
  <c r="AU9" i="4"/>
  <c r="M14" i="4"/>
  <c r="AS16" i="4"/>
  <c r="G6" i="4"/>
  <c r="S6" i="4"/>
  <c r="AE6" i="4"/>
  <c r="AQ6" i="4"/>
  <c r="E7" i="4"/>
  <c r="Q7" i="4"/>
  <c r="AC7" i="4"/>
  <c r="AO7" i="4"/>
  <c r="BA7" i="4"/>
  <c r="O8" i="4"/>
  <c r="AA8" i="4"/>
  <c r="AM8" i="4"/>
  <c r="AY8" i="4"/>
  <c r="M9" i="4"/>
  <c r="Y9" i="4"/>
  <c r="AK9" i="4"/>
  <c r="AW9" i="4"/>
  <c r="K10" i="4"/>
  <c r="W10" i="4"/>
  <c r="AI10" i="4"/>
  <c r="AU10" i="4"/>
  <c r="AG11" i="4"/>
  <c r="AS11" i="4"/>
  <c r="G12" i="4"/>
  <c r="S12" i="4"/>
  <c r="AE12" i="4"/>
  <c r="AQ12" i="4"/>
  <c r="E13" i="4"/>
  <c r="Q13" i="4"/>
  <c r="AC13" i="4"/>
  <c r="AO13" i="4"/>
  <c r="BA13" i="4"/>
  <c r="O14" i="4"/>
  <c r="AA14" i="4"/>
  <c r="AM14" i="4"/>
  <c r="AY14" i="4"/>
  <c r="M15" i="4"/>
  <c r="Y15" i="4"/>
  <c r="AK15" i="4"/>
  <c r="AW15" i="4"/>
  <c r="K16" i="4"/>
  <c r="W16" i="4"/>
  <c r="AI16" i="4"/>
  <c r="AU16" i="4"/>
  <c r="AG17" i="4"/>
  <c r="AS17" i="4"/>
  <c r="G18" i="4"/>
  <c r="S18" i="4"/>
  <c r="AE18" i="4"/>
  <c r="AQ18" i="4"/>
  <c r="BA19" i="4"/>
  <c r="O20" i="4"/>
  <c r="AA20" i="4"/>
  <c r="AM20" i="4"/>
  <c r="AY20" i="4"/>
  <c r="M21" i="4"/>
  <c r="Y21" i="4"/>
  <c r="AK21" i="4"/>
  <c r="W8" i="4"/>
  <c r="K9" i="4"/>
  <c r="Y14" i="4"/>
  <c r="D12" i="4"/>
  <c r="H6" i="4"/>
  <c r="T6" i="4"/>
  <c r="AF6" i="4"/>
  <c r="AR6" i="4"/>
  <c r="BB7" i="4"/>
  <c r="P8" i="4"/>
  <c r="AB8" i="4"/>
  <c r="AN8" i="4"/>
  <c r="AZ8" i="4"/>
  <c r="N9" i="4"/>
  <c r="Z9" i="4"/>
  <c r="AL9" i="4"/>
  <c r="AX9" i="4"/>
  <c r="L10" i="4"/>
  <c r="X10" i="4"/>
  <c r="AJ10" i="4"/>
  <c r="AV10" i="4"/>
  <c r="H12" i="4"/>
  <c r="T12" i="4"/>
  <c r="AF12" i="4"/>
  <c r="AR12" i="4"/>
  <c r="BB13" i="4"/>
  <c r="P14" i="4"/>
  <c r="AB14" i="4"/>
  <c r="AN14" i="4"/>
  <c r="AZ14" i="4"/>
  <c r="N15" i="4"/>
  <c r="Z15" i="4"/>
  <c r="AL15" i="4"/>
  <c r="AX15" i="4"/>
  <c r="L16" i="4"/>
  <c r="X16" i="4"/>
  <c r="AJ16" i="4"/>
  <c r="AV16" i="4"/>
  <c r="H18" i="4"/>
  <c r="T18" i="4"/>
  <c r="AF18" i="4"/>
  <c r="AR18" i="4"/>
  <c r="P20" i="4"/>
  <c r="AB20" i="4"/>
  <c r="AN20" i="4"/>
  <c r="AZ20" i="4"/>
  <c r="N21" i="4"/>
  <c r="Z21" i="4"/>
  <c r="AL21" i="4"/>
  <c r="AX21" i="4"/>
  <c r="L22" i="4"/>
  <c r="X22" i="4"/>
  <c r="AJ22" i="4"/>
  <c r="AV22" i="4"/>
  <c r="AS8" i="4"/>
  <c r="AT14" i="4"/>
  <c r="AU8" i="4"/>
  <c r="W14" i="4"/>
  <c r="D9" i="4"/>
  <c r="M8" i="4"/>
  <c r="AK14" i="4"/>
  <c r="AS6" i="4"/>
  <c r="E8" i="4"/>
  <c r="AC8" i="4"/>
  <c r="BA8" i="4"/>
  <c r="O9" i="4"/>
  <c r="AM9" i="4"/>
  <c r="AY9" i="4"/>
  <c r="Y10" i="4"/>
  <c r="AK10" i="4"/>
  <c r="AW10" i="4"/>
  <c r="AG12" i="4"/>
  <c r="AS12" i="4"/>
  <c r="E14" i="4"/>
  <c r="Q14" i="4"/>
  <c r="AC14" i="4"/>
  <c r="AO14" i="4"/>
  <c r="BA14" i="4"/>
  <c r="O15" i="4"/>
  <c r="AA15" i="4"/>
  <c r="AM15" i="4"/>
  <c r="AY15" i="4"/>
  <c r="M16" i="4"/>
  <c r="Y16" i="4"/>
  <c r="AK16" i="4"/>
  <c r="AW16" i="4"/>
  <c r="AG18" i="4"/>
  <c r="AS18" i="4"/>
  <c r="E20" i="4"/>
  <c r="Q20" i="4"/>
  <c r="AC20" i="4"/>
  <c r="AO20" i="4"/>
  <c r="BA20" i="4"/>
  <c r="O21" i="4"/>
  <c r="AA21" i="4"/>
  <c r="AM21" i="4"/>
  <c r="AY21" i="4"/>
  <c r="M22" i="4"/>
  <c r="Y22" i="4"/>
  <c r="AK22" i="4"/>
  <c r="AW22" i="4"/>
  <c r="AG24" i="4"/>
  <c r="AS24" i="4"/>
  <c r="O27" i="4"/>
  <c r="AA27" i="4"/>
  <c r="AM27" i="4"/>
  <c r="AY27" i="4"/>
  <c r="M28" i="4"/>
  <c r="Y28" i="4"/>
  <c r="AK28" i="4"/>
  <c r="AW28" i="4"/>
  <c r="AG30" i="4"/>
  <c r="AS30" i="4"/>
  <c r="AT8" i="4"/>
  <c r="AT20" i="4"/>
  <c r="AI14" i="4"/>
  <c r="Y8" i="4"/>
  <c r="K15" i="4"/>
  <c r="Q8" i="4"/>
  <c r="AO8" i="4"/>
  <c r="D14" i="4"/>
  <c r="J6" i="4"/>
  <c r="V6" i="4"/>
  <c r="AH6" i="4"/>
  <c r="AT6" i="4"/>
  <c r="H7" i="4"/>
  <c r="T7" i="4"/>
  <c r="AF7" i="4"/>
  <c r="AR7" i="4"/>
  <c r="F8" i="4"/>
  <c r="R8" i="4"/>
  <c r="AD8" i="4"/>
  <c r="AP8" i="4"/>
  <c r="BB8" i="4"/>
  <c r="P9" i="4"/>
  <c r="AB9" i="4"/>
  <c r="AN9" i="4"/>
  <c r="AZ9" i="4"/>
  <c r="N10" i="4"/>
  <c r="Z10" i="4"/>
  <c r="AL10" i="4"/>
  <c r="AX10" i="4"/>
  <c r="J12" i="4"/>
  <c r="V12" i="4"/>
  <c r="AH12" i="4"/>
  <c r="AT12" i="4"/>
  <c r="H13" i="4"/>
  <c r="T13" i="4"/>
  <c r="AF13" i="4"/>
  <c r="AR13" i="4"/>
  <c r="F14" i="4"/>
  <c r="R14" i="4"/>
  <c r="AD14" i="4"/>
  <c r="AP14" i="4"/>
  <c r="BB14" i="4"/>
  <c r="P15" i="4"/>
  <c r="AB15" i="4"/>
  <c r="AN15" i="4"/>
  <c r="AZ15" i="4"/>
  <c r="N16" i="4"/>
  <c r="Z16" i="4"/>
  <c r="AL16" i="4"/>
  <c r="AX16" i="4"/>
  <c r="J18" i="4"/>
  <c r="V18" i="4"/>
  <c r="AH18" i="4"/>
  <c r="AT18" i="4"/>
  <c r="F20" i="4"/>
  <c r="R20" i="4"/>
  <c r="AD20" i="4"/>
  <c r="AP20" i="4"/>
  <c r="BB20" i="4"/>
  <c r="P21" i="4"/>
  <c r="AB21" i="4"/>
  <c r="AN21" i="4"/>
  <c r="AZ21" i="4"/>
  <c r="N22" i="4"/>
  <c r="Z22" i="4"/>
  <c r="AL22" i="4"/>
  <c r="AX22" i="4"/>
  <c r="AN33" i="4"/>
  <c r="J8" i="4"/>
  <c r="AI8" i="4"/>
  <c r="W15" i="4"/>
  <c r="AG6" i="4"/>
  <c r="M10" i="4"/>
  <c r="D15" i="4"/>
  <c r="D27" i="4"/>
  <c r="K6" i="4"/>
  <c r="W6" i="4"/>
  <c r="AI6" i="4"/>
  <c r="AU6" i="4"/>
  <c r="AG7" i="4"/>
  <c r="AS7" i="4"/>
  <c r="G8" i="4"/>
  <c r="S8" i="4"/>
  <c r="AE8" i="4"/>
  <c r="AQ8" i="4"/>
  <c r="E9" i="4"/>
  <c r="Q9" i="4"/>
  <c r="AC9" i="4"/>
  <c r="AO9" i="4"/>
  <c r="BA9" i="4"/>
  <c r="O10" i="4"/>
  <c r="AA10" i="4"/>
  <c r="AM10" i="4"/>
  <c r="AY10" i="4"/>
  <c r="K12" i="4"/>
  <c r="W12" i="4"/>
  <c r="AI12" i="4"/>
  <c r="AU12" i="4"/>
  <c r="AG13" i="4"/>
  <c r="AS13" i="4"/>
  <c r="G14" i="4"/>
  <c r="S14" i="4"/>
  <c r="AE14" i="4"/>
  <c r="AQ14" i="4"/>
  <c r="E15" i="4"/>
  <c r="Q15" i="4"/>
  <c r="AC15" i="4"/>
  <c r="AO15" i="4"/>
  <c r="BA15" i="4"/>
  <c r="O16" i="4"/>
  <c r="AA16" i="4"/>
  <c r="AM16" i="4"/>
  <c r="AY16" i="4"/>
  <c r="K18" i="4"/>
  <c r="W18" i="4"/>
  <c r="AI18" i="4"/>
  <c r="AU18" i="4"/>
  <c r="AG19" i="4"/>
  <c r="AS19" i="4"/>
  <c r="G20" i="4"/>
  <c r="S20" i="4"/>
  <c r="AE20" i="4"/>
  <c r="AQ20" i="4"/>
  <c r="E21" i="4"/>
  <c r="Q21" i="4"/>
  <c r="V8" i="4"/>
  <c r="K8" i="4"/>
  <c r="AK8" i="4"/>
  <c r="AW14" i="4"/>
  <c r="AA9" i="4"/>
  <c r="D16" i="4"/>
  <c r="L6" i="4"/>
  <c r="X6" i="4"/>
  <c r="AJ6" i="4"/>
  <c r="AV6" i="4"/>
  <c r="J7" i="4"/>
  <c r="V7" i="4"/>
  <c r="AH7" i="4"/>
  <c r="AT7" i="4"/>
  <c r="H8" i="4"/>
  <c r="T8" i="4"/>
  <c r="AF8" i="4"/>
  <c r="AR8" i="4"/>
  <c r="F9" i="4"/>
  <c r="R9" i="4"/>
  <c r="AD9" i="4"/>
  <c r="AP9" i="4"/>
  <c r="BB9" i="4"/>
  <c r="P10" i="4"/>
  <c r="AB10" i="4"/>
  <c r="AN10" i="4"/>
  <c r="AZ10" i="4"/>
  <c r="Z11" i="4"/>
  <c r="AL11" i="4"/>
  <c r="AX11" i="4"/>
  <c r="L12" i="4"/>
  <c r="X12" i="4"/>
  <c r="AJ12" i="4"/>
  <c r="AV12" i="4"/>
  <c r="J13" i="4"/>
  <c r="V13" i="4"/>
  <c r="AH13" i="4"/>
  <c r="AT13" i="4"/>
  <c r="H14" i="4"/>
  <c r="T14" i="4"/>
  <c r="AF14" i="4"/>
  <c r="AR14" i="4"/>
  <c r="F15" i="4"/>
  <c r="R15" i="4"/>
  <c r="AD15" i="4"/>
  <c r="AP15" i="4"/>
  <c r="BB15" i="4"/>
  <c r="P16" i="4"/>
  <c r="AB16" i="4"/>
  <c r="AN16" i="4"/>
  <c r="AZ16" i="4"/>
  <c r="AL17" i="4"/>
  <c r="AX17" i="4"/>
  <c r="L18" i="4"/>
  <c r="X18" i="4"/>
  <c r="AJ18" i="4"/>
  <c r="AV18" i="4"/>
  <c r="H20" i="4"/>
  <c r="T20" i="4"/>
  <c r="AF20" i="4"/>
  <c r="AR20" i="4"/>
  <c r="F21" i="4"/>
  <c r="R21" i="4"/>
  <c r="AD21" i="4"/>
  <c r="AP21" i="4"/>
  <c r="BB21" i="4"/>
  <c r="AS33" i="4"/>
  <c r="G34" i="4"/>
  <c r="S34" i="4"/>
  <c r="AE34" i="4"/>
  <c r="AQ34" i="4"/>
  <c r="AG39" i="4"/>
  <c r="AS39" i="4"/>
  <c r="G40" i="4"/>
  <c r="S40" i="4"/>
  <c r="AE40" i="4"/>
  <c r="AG45" i="4"/>
  <c r="AS45" i="4"/>
  <c r="G46" i="4"/>
  <c r="S46" i="4"/>
  <c r="AE46" i="4"/>
  <c r="AQ46" i="4"/>
  <c r="AG51" i="4"/>
  <c r="AS51" i="4"/>
  <c r="G52" i="4"/>
  <c r="S52" i="4"/>
  <c r="AE52" i="4"/>
  <c r="AQ52" i="4"/>
  <c r="AG57" i="4"/>
  <c r="AS57" i="4"/>
  <c r="G58" i="4"/>
  <c r="S58" i="4"/>
  <c r="AE58" i="4"/>
  <c r="AQ58" i="4"/>
  <c r="AG63" i="4"/>
  <c r="AS63" i="4"/>
  <c r="G64" i="4"/>
  <c r="S64" i="4"/>
  <c r="AE64" i="4"/>
  <c r="AQ64" i="4"/>
  <c r="AG69" i="4"/>
  <c r="AS69" i="4"/>
  <c r="G70" i="4"/>
  <c r="S70" i="4"/>
  <c r="AE70" i="4"/>
  <c r="AQ70" i="4"/>
  <c r="P24" i="4"/>
  <c r="AB24" i="4"/>
  <c r="AN24" i="4"/>
  <c r="AZ24" i="4"/>
  <c r="J27" i="4"/>
  <c r="V27" i="4"/>
  <c r="AH27" i="4"/>
  <c r="AT27" i="4"/>
  <c r="H28" i="4"/>
  <c r="T28" i="4"/>
  <c r="AF28" i="4"/>
  <c r="AR28" i="4"/>
  <c r="P30" i="4"/>
  <c r="AB30" i="4"/>
  <c r="AN30" i="4"/>
  <c r="AZ30" i="4"/>
  <c r="J33" i="4"/>
  <c r="V33" i="4"/>
  <c r="AH33" i="4"/>
  <c r="AT33" i="4"/>
  <c r="H34" i="4"/>
  <c r="T34" i="4"/>
  <c r="AF34" i="4"/>
  <c r="AR34" i="4"/>
  <c r="AP35" i="4"/>
  <c r="BB35" i="4"/>
  <c r="P36" i="4"/>
  <c r="AB36" i="4"/>
  <c r="AN36" i="4"/>
  <c r="AZ36" i="4"/>
  <c r="J39" i="4"/>
  <c r="AH39" i="4"/>
  <c r="AT39" i="4"/>
  <c r="H40" i="4"/>
  <c r="T40" i="4"/>
  <c r="AF40" i="4"/>
  <c r="AR40" i="4"/>
  <c r="AP41" i="4"/>
  <c r="BB41" i="4"/>
  <c r="P42" i="4"/>
  <c r="AB42" i="4"/>
  <c r="AN42" i="4"/>
  <c r="AZ42" i="4"/>
  <c r="J45" i="4"/>
  <c r="V45" i="4"/>
  <c r="AH45" i="4"/>
  <c r="AT45" i="4"/>
  <c r="H46" i="4"/>
  <c r="T46" i="4"/>
  <c r="AF46" i="4"/>
  <c r="AR46" i="4"/>
  <c r="AP47" i="4"/>
  <c r="BB47" i="4"/>
  <c r="P48" i="4"/>
  <c r="AB48" i="4"/>
  <c r="AN48" i="4"/>
  <c r="AZ48" i="4"/>
  <c r="J51" i="4"/>
  <c r="V51" i="4"/>
  <c r="AH51" i="4"/>
  <c r="AT51" i="4"/>
  <c r="H52" i="4"/>
  <c r="T52" i="4"/>
  <c r="AF52" i="4"/>
  <c r="AR52" i="4"/>
  <c r="AP53" i="4"/>
  <c r="BB53" i="4"/>
  <c r="P54" i="4"/>
  <c r="AB54" i="4"/>
  <c r="AN54" i="4"/>
  <c r="AZ54" i="4"/>
  <c r="AV56" i="4"/>
  <c r="J57" i="4"/>
  <c r="V57" i="4"/>
  <c r="AH57" i="4"/>
  <c r="AT57" i="4"/>
  <c r="H58" i="4"/>
  <c r="T58" i="4"/>
  <c r="AF58" i="4"/>
  <c r="AR58" i="4"/>
  <c r="R59" i="4"/>
  <c r="AD59" i="4"/>
  <c r="AP59" i="4"/>
  <c r="BB59" i="4"/>
  <c r="P60" i="4"/>
  <c r="AB60" i="4"/>
  <c r="AN60" i="4"/>
  <c r="AZ60" i="4"/>
  <c r="AL61" i="4"/>
  <c r="AX61" i="4"/>
  <c r="AJ62" i="4"/>
  <c r="AV62" i="4"/>
  <c r="J63" i="4"/>
  <c r="V63" i="4"/>
  <c r="AH63" i="4"/>
  <c r="AT63" i="4"/>
  <c r="H64" i="4"/>
  <c r="T64" i="4"/>
  <c r="AF64" i="4"/>
  <c r="AR64" i="4"/>
  <c r="F65" i="4"/>
  <c r="R65" i="4"/>
  <c r="AD65" i="4"/>
  <c r="AP65" i="4"/>
  <c r="BB65" i="4"/>
  <c r="P66" i="4"/>
  <c r="AB66" i="4"/>
  <c r="AN66" i="4"/>
  <c r="AZ66" i="4"/>
  <c r="Z67" i="4"/>
  <c r="AL67" i="4"/>
  <c r="AX67" i="4"/>
  <c r="X68" i="4"/>
  <c r="AJ68" i="4"/>
  <c r="AV68" i="4"/>
  <c r="J69" i="4"/>
  <c r="V69" i="4"/>
  <c r="AG46" i="4"/>
  <c r="AS46" i="4"/>
  <c r="AG52" i="4"/>
  <c r="AS52" i="4"/>
  <c r="AG58" i="4"/>
  <c r="AS58" i="4"/>
  <c r="AG64" i="4"/>
  <c r="AS64" i="4"/>
  <c r="AG70" i="4"/>
  <c r="AS70" i="4"/>
  <c r="AG76" i="4"/>
  <c r="AS76" i="4"/>
  <c r="AG82" i="4"/>
  <c r="AS82" i="4"/>
  <c r="AG88" i="4"/>
  <c r="AS88" i="4"/>
  <c r="AJ27" i="4"/>
  <c r="AV27" i="4"/>
  <c r="J28" i="4"/>
  <c r="V28" i="4"/>
  <c r="AH28" i="4"/>
  <c r="AT28" i="4"/>
  <c r="F30" i="4"/>
  <c r="R30" i="4"/>
  <c r="AD30" i="4"/>
  <c r="AP30" i="4"/>
  <c r="BB30" i="4"/>
  <c r="L33" i="4"/>
  <c r="X33" i="4"/>
  <c r="AJ33" i="4"/>
  <c r="AV33" i="4"/>
  <c r="J34" i="4"/>
  <c r="V34" i="4"/>
  <c r="AH34" i="4"/>
  <c r="AT34" i="4"/>
  <c r="F36" i="4"/>
  <c r="R36" i="4"/>
  <c r="AD36" i="4"/>
  <c r="AP36" i="4"/>
  <c r="BB36" i="4"/>
  <c r="L39" i="4"/>
  <c r="X39" i="4"/>
  <c r="AJ39" i="4"/>
  <c r="AV39" i="4"/>
  <c r="J40" i="4"/>
  <c r="V40" i="4"/>
  <c r="AH40" i="4"/>
  <c r="AT40" i="4"/>
  <c r="F42" i="4"/>
  <c r="R42" i="4"/>
  <c r="AD42" i="4"/>
  <c r="AP42" i="4"/>
  <c r="BB42" i="4"/>
  <c r="L45" i="4"/>
  <c r="X45" i="4"/>
  <c r="AJ45" i="4"/>
  <c r="AV45" i="4"/>
  <c r="J46" i="4"/>
  <c r="V46" i="4"/>
  <c r="AH46" i="4"/>
  <c r="AT46" i="4"/>
  <c r="F48" i="4"/>
  <c r="R48" i="4"/>
  <c r="AD48" i="4"/>
  <c r="AP48" i="4"/>
  <c r="BB48" i="4"/>
  <c r="L51" i="4"/>
  <c r="X51" i="4"/>
  <c r="AJ51" i="4"/>
  <c r="AV51" i="4"/>
  <c r="J52" i="4"/>
  <c r="V52" i="4"/>
  <c r="AH52" i="4"/>
  <c r="AT52" i="4"/>
  <c r="F54" i="4"/>
  <c r="R54" i="4"/>
  <c r="AD54" i="4"/>
  <c r="AP54" i="4"/>
  <c r="BB54" i="4"/>
  <c r="L57" i="4"/>
  <c r="X57" i="4"/>
  <c r="AJ57" i="4"/>
  <c r="AV57" i="4"/>
  <c r="J58" i="4"/>
  <c r="V58" i="4"/>
  <c r="AH58" i="4"/>
  <c r="AT58" i="4"/>
  <c r="F60" i="4"/>
  <c r="R60" i="4"/>
  <c r="AD60" i="4"/>
  <c r="AP60" i="4"/>
  <c r="BB60" i="4"/>
  <c r="L63" i="4"/>
  <c r="X63" i="4"/>
  <c r="AJ63" i="4"/>
  <c r="AV63" i="4"/>
  <c r="J64" i="4"/>
  <c r="V64" i="4"/>
  <c r="AH64" i="4"/>
  <c r="AT64" i="4"/>
  <c r="F66" i="4"/>
  <c r="R66" i="4"/>
  <c r="AD66" i="4"/>
  <c r="AP66" i="4"/>
  <c r="BB66" i="4"/>
  <c r="L69" i="4"/>
  <c r="X69" i="4"/>
  <c r="AJ69" i="4"/>
  <c r="AV69" i="4"/>
  <c r="J70" i="4"/>
  <c r="V70" i="4"/>
  <c r="AH70" i="4"/>
  <c r="AT70" i="4"/>
  <c r="R72" i="4"/>
  <c r="AD72" i="4"/>
  <c r="AP72" i="4"/>
  <c r="BB72" i="4"/>
  <c r="AW21" i="4"/>
  <c r="K22" i="4"/>
  <c r="W22" i="4"/>
  <c r="AI22" i="4"/>
  <c r="AU22" i="4"/>
  <c r="AG23" i="4"/>
  <c r="AS23" i="4"/>
  <c r="G24" i="4"/>
  <c r="S24" i="4"/>
  <c r="AE24" i="4"/>
  <c r="AQ24" i="4"/>
  <c r="BA25" i="4"/>
  <c r="AY26" i="4"/>
  <c r="M27" i="4"/>
  <c r="Y27" i="4"/>
  <c r="AK27" i="4"/>
  <c r="AW27" i="4"/>
  <c r="K28" i="4"/>
  <c r="W28" i="4"/>
  <c r="AI28" i="4"/>
  <c r="AU28" i="4"/>
  <c r="AG29" i="4"/>
  <c r="AS29" i="4"/>
  <c r="G30" i="4"/>
  <c r="S30" i="4"/>
  <c r="AE30" i="4"/>
  <c r="AQ30" i="4"/>
  <c r="BA31" i="4"/>
  <c r="AY32" i="4"/>
  <c r="M33" i="4"/>
  <c r="Y33" i="4"/>
  <c r="AK33" i="4"/>
  <c r="AW33" i="4"/>
  <c r="K34" i="4"/>
  <c r="W34" i="4"/>
  <c r="AI34" i="4"/>
  <c r="AU34" i="4"/>
  <c r="AG35" i="4"/>
  <c r="AS35" i="4"/>
  <c r="G36" i="4"/>
  <c r="S36" i="4"/>
  <c r="AQ36" i="4"/>
  <c r="BA37" i="4"/>
  <c r="AY38" i="4"/>
  <c r="M39" i="4"/>
  <c r="Y39" i="4"/>
  <c r="AK39" i="4"/>
  <c r="AW39" i="4"/>
  <c r="K40" i="4"/>
  <c r="W40" i="4"/>
  <c r="AI40" i="4"/>
  <c r="AU40" i="4"/>
  <c r="AG41" i="4"/>
  <c r="AS41" i="4"/>
  <c r="G42" i="4"/>
  <c r="S42" i="4"/>
  <c r="AE42" i="4"/>
  <c r="AQ42" i="4"/>
  <c r="BA43" i="4"/>
  <c r="AY44" i="4"/>
  <c r="M45" i="4"/>
  <c r="Y45" i="4"/>
  <c r="AK45" i="4"/>
  <c r="AW45" i="4"/>
  <c r="K46" i="4"/>
  <c r="W46" i="4"/>
  <c r="AI46" i="4"/>
  <c r="AU46" i="4"/>
  <c r="AG47" i="4"/>
  <c r="AS47" i="4"/>
  <c r="G48" i="4"/>
  <c r="S48" i="4"/>
  <c r="AE48" i="4"/>
  <c r="AQ48" i="4"/>
  <c r="BA49" i="4"/>
  <c r="AY50" i="4"/>
  <c r="M51" i="4"/>
  <c r="Y51" i="4"/>
  <c r="AK51" i="4"/>
  <c r="AW51" i="4"/>
  <c r="K52" i="4"/>
  <c r="W52" i="4"/>
  <c r="AI52" i="4"/>
  <c r="AU52" i="4"/>
  <c r="AG53" i="4"/>
  <c r="AS53" i="4"/>
  <c r="G54" i="4"/>
  <c r="S54" i="4"/>
  <c r="AE54" i="4"/>
  <c r="AQ54" i="4"/>
  <c r="BA55" i="4"/>
  <c r="AY56" i="4"/>
  <c r="M57" i="4"/>
  <c r="Y57" i="4"/>
  <c r="AK57" i="4"/>
  <c r="AW57" i="4"/>
  <c r="K58" i="4"/>
  <c r="W58" i="4"/>
  <c r="AI58" i="4"/>
  <c r="AU58" i="4"/>
  <c r="AG59" i="4"/>
  <c r="AS59" i="4"/>
  <c r="G60" i="4"/>
  <c r="S60" i="4"/>
  <c r="AE60" i="4"/>
  <c r="AQ60" i="4"/>
  <c r="AO61" i="4"/>
  <c r="BA61" i="4"/>
  <c r="AY62" i="4"/>
  <c r="M63" i="4"/>
  <c r="Y63" i="4"/>
  <c r="AK63" i="4"/>
  <c r="AW63" i="4"/>
  <c r="K64" i="4"/>
  <c r="W64" i="4"/>
  <c r="AI64" i="4"/>
  <c r="AU64" i="4"/>
  <c r="AG65" i="4"/>
  <c r="AS65" i="4"/>
  <c r="G66" i="4"/>
  <c r="S66" i="4"/>
  <c r="AE66" i="4"/>
  <c r="AQ66" i="4"/>
  <c r="BA67" i="4"/>
  <c r="AY68" i="4"/>
  <c r="M69" i="4"/>
  <c r="Y69" i="4"/>
  <c r="H24" i="4"/>
  <c r="T24" i="4"/>
  <c r="AF24" i="4"/>
  <c r="AR24" i="4"/>
  <c r="N27" i="4"/>
  <c r="Z27" i="4"/>
  <c r="AL27" i="4"/>
  <c r="AX27" i="4"/>
  <c r="L28" i="4"/>
  <c r="X28" i="4"/>
  <c r="AJ28" i="4"/>
  <c r="AV28" i="4"/>
  <c r="H30" i="4"/>
  <c r="T30" i="4"/>
  <c r="AF30" i="4"/>
  <c r="AR30" i="4"/>
  <c r="N33" i="4"/>
  <c r="Z33" i="4"/>
  <c r="AL33" i="4"/>
  <c r="AX33" i="4"/>
  <c r="L34" i="4"/>
  <c r="X34" i="4"/>
  <c r="AJ34" i="4"/>
  <c r="AV34" i="4"/>
  <c r="H36" i="4"/>
  <c r="T36" i="4"/>
  <c r="AF36" i="4"/>
  <c r="AR36" i="4"/>
  <c r="N39" i="4"/>
  <c r="Z39" i="4"/>
  <c r="AL39" i="4"/>
  <c r="AX39" i="4"/>
  <c r="L40" i="4"/>
  <c r="X40" i="4"/>
  <c r="AJ40" i="4"/>
  <c r="AV40" i="4"/>
  <c r="H42" i="4"/>
  <c r="T42" i="4"/>
  <c r="AF42" i="4"/>
  <c r="AR42" i="4"/>
  <c r="N45" i="4"/>
  <c r="Z45" i="4"/>
  <c r="AL45" i="4"/>
  <c r="AX45" i="4"/>
  <c r="L46" i="4"/>
  <c r="X46" i="4"/>
  <c r="AJ46" i="4"/>
  <c r="AV46" i="4"/>
  <c r="H48" i="4"/>
  <c r="T48" i="4"/>
  <c r="AF48" i="4"/>
  <c r="AR48" i="4"/>
  <c r="N51" i="4"/>
  <c r="Z51" i="4"/>
  <c r="AL51" i="4"/>
  <c r="AX51" i="4"/>
  <c r="L52" i="4"/>
  <c r="X52" i="4"/>
  <c r="AJ52" i="4"/>
  <c r="AV52" i="4"/>
  <c r="H54" i="4"/>
  <c r="T54" i="4"/>
  <c r="AF54" i="4"/>
  <c r="AR54" i="4"/>
  <c r="N57" i="4"/>
  <c r="Z57" i="4"/>
  <c r="AL57" i="4"/>
  <c r="AX57" i="4"/>
  <c r="L58" i="4"/>
  <c r="X58" i="4"/>
  <c r="AJ58" i="4"/>
  <c r="AV58" i="4"/>
  <c r="H60" i="4"/>
  <c r="T60" i="4"/>
  <c r="AF60" i="4"/>
  <c r="AR60" i="4"/>
  <c r="N63" i="4"/>
  <c r="Z63" i="4"/>
  <c r="AL63" i="4"/>
  <c r="AX63" i="4"/>
  <c r="L64" i="4"/>
  <c r="X64" i="4"/>
  <c r="AJ64" i="4"/>
  <c r="AV64" i="4"/>
  <c r="H66" i="4"/>
  <c r="T66" i="4"/>
  <c r="AF66" i="4"/>
  <c r="AR66" i="4"/>
  <c r="N69" i="4"/>
  <c r="Z69" i="4"/>
  <c r="AL69" i="4"/>
  <c r="AX69" i="4"/>
  <c r="L70" i="4"/>
  <c r="X70" i="4"/>
  <c r="AJ70" i="4"/>
  <c r="AV70" i="4"/>
  <c r="O33" i="4"/>
  <c r="AA33" i="4"/>
  <c r="AM33" i="4"/>
  <c r="AY33" i="4"/>
  <c r="M34" i="4"/>
  <c r="Y34" i="4"/>
  <c r="AK34" i="4"/>
  <c r="AW34" i="4"/>
  <c r="AG36" i="4"/>
  <c r="AS36" i="4"/>
  <c r="O39" i="4"/>
  <c r="AA39" i="4"/>
  <c r="AM39" i="4"/>
  <c r="AY39" i="4"/>
  <c r="M40" i="4"/>
  <c r="Y40" i="4"/>
  <c r="AK40" i="4"/>
  <c r="AW40" i="4"/>
  <c r="AG42" i="4"/>
  <c r="AS42" i="4"/>
  <c r="O45" i="4"/>
  <c r="AA45" i="4"/>
  <c r="AM45" i="4"/>
  <c r="AY45" i="4"/>
  <c r="M46" i="4"/>
  <c r="Y46" i="4"/>
  <c r="AK46" i="4"/>
  <c r="AW46" i="4"/>
  <c r="AG48" i="4"/>
  <c r="AS48" i="4"/>
  <c r="O51" i="4"/>
  <c r="AA51" i="4"/>
  <c r="AM51" i="4"/>
  <c r="AY51" i="4"/>
  <c r="M52" i="4"/>
  <c r="Y52" i="4"/>
  <c r="AK52" i="4"/>
  <c r="AW52" i="4"/>
  <c r="AG54" i="4"/>
  <c r="AS54" i="4"/>
  <c r="O57" i="4"/>
  <c r="AA57" i="4"/>
  <c r="AM57" i="4"/>
  <c r="AY57" i="4"/>
  <c r="M58" i="4"/>
  <c r="Y58" i="4"/>
  <c r="AK58" i="4"/>
  <c r="AW58" i="4"/>
  <c r="AG60" i="4"/>
  <c r="AS60" i="4"/>
  <c r="O63" i="4"/>
  <c r="AA63" i="4"/>
  <c r="AM63" i="4"/>
  <c r="AY63" i="4"/>
  <c r="M64" i="4"/>
  <c r="Y64" i="4"/>
  <c r="AK64" i="4"/>
  <c r="AW64" i="4"/>
  <c r="AG66" i="4"/>
  <c r="AS66" i="4"/>
  <c r="O69" i="4"/>
  <c r="AA69" i="4"/>
  <c r="AM69" i="4"/>
  <c r="AY69" i="4"/>
  <c r="M70" i="4"/>
  <c r="Y70" i="4"/>
  <c r="AK70" i="4"/>
  <c r="AW70" i="4"/>
  <c r="AG72" i="4"/>
  <c r="AS72" i="4"/>
  <c r="J24" i="4"/>
  <c r="V24" i="4"/>
  <c r="AH24" i="4"/>
  <c r="AT24" i="4"/>
  <c r="P27" i="4"/>
  <c r="AB27" i="4"/>
  <c r="AN27" i="4"/>
  <c r="AZ27" i="4"/>
  <c r="N28" i="4"/>
  <c r="Z28" i="4"/>
  <c r="AL28" i="4"/>
  <c r="AX28" i="4"/>
  <c r="J30" i="4"/>
  <c r="V30" i="4"/>
  <c r="AH30" i="4"/>
  <c r="AT30" i="4"/>
  <c r="P33" i="4"/>
  <c r="AB33" i="4"/>
  <c r="AZ33" i="4"/>
  <c r="N34" i="4"/>
  <c r="Z34" i="4"/>
  <c r="AL34" i="4"/>
  <c r="AX34" i="4"/>
  <c r="J36" i="4"/>
  <c r="V36" i="4"/>
  <c r="AH36" i="4"/>
  <c r="AT36" i="4"/>
  <c r="P39" i="4"/>
  <c r="AB39" i="4"/>
  <c r="AN39" i="4"/>
  <c r="AZ39" i="4"/>
  <c r="N40" i="4"/>
  <c r="Z40" i="4"/>
  <c r="AL40" i="4"/>
  <c r="AX40" i="4"/>
  <c r="J42" i="4"/>
  <c r="V42" i="4"/>
  <c r="AH42" i="4"/>
  <c r="AT42" i="4"/>
  <c r="P45" i="4"/>
  <c r="AB45" i="4"/>
  <c r="AN45" i="4"/>
  <c r="AZ45" i="4"/>
  <c r="N46" i="4"/>
  <c r="Z46" i="4"/>
  <c r="AL46" i="4"/>
  <c r="AX46" i="4"/>
  <c r="J48" i="4"/>
  <c r="V48" i="4"/>
  <c r="AH48" i="4"/>
  <c r="AT48" i="4"/>
  <c r="P51" i="4"/>
  <c r="AB51" i="4"/>
  <c r="AN51" i="4"/>
  <c r="AZ51" i="4"/>
  <c r="N52" i="4"/>
  <c r="Z52" i="4"/>
  <c r="AL52" i="4"/>
  <c r="AX52" i="4"/>
  <c r="J54" i="4"/>
  <c r="V54" i="4"/>
  <c r="AH54" i="4"/>
  <c r="AT54" i="4"/>
  <c r="P57" i="4"/>
  <c r="AB57" i="4"/>
  <c r="AN57" i="4"/>
  <c r="AZ57" i="4"/>
  <c r="N58" i="4"/>
  <c r="Z58" i="4"/>
  <c r="AL58" i="4"/>
  <c r="AX58" i="4"/>
  <c r="J60" i="4"/>
  <c r="V60" i="4"/>
  <c r="AH60" i="4"/>
  <c r="AT60" i="4"/>
  <c r="P63" i="4"/>
  <c r="AB63" i="4"/>
  <c r="AN63" i="4"/>
  <c r="AZ63" i="4"/>
  <c r="N64" i="4"/>
  <c r="Z64" i="4"/>
  <c r="AL64" i="4"/>
  <c r="AX64" i="4"/>
  <c r="J66" i="4"/>
  <c r="V66" i="4"/>
  <c r="AH66" i="4"/>
  <c r="AT66" i="4"/>
  <c r="P69" i="4"/>
  <c r="AB69" i="4"/>
  <c r="AN69" i="4"/>
  <c r="AZ69" i="4"/>
  <c r="N70" i="4"/>
  <c r="Z70" i="4"/>
  <c r="AL70" i="4"/>
  <c r="AX70" i="4"/>
  <c r="AC21" i="4"/>
  <c r="AO21" i="4"/>
  <c r="BA21" i="4"/>
  <c r="O22" i="4"/>
  <c r="AA22" i="4"/>
  <c r="AM22" i="4"/>
  <c r="AY22" i="4"/>
  <c r="M23" i="4"/>
  <c r="Y23" i="4"/>
  <c r="AK23" i="4"/>
  <c r="AW23" i="4"/>
  <c r="K24" i="4"/>
  <c r="W24" i="4"/>
  <c r="AI24" i="4"/>
  <c r="AU24" i="4"/>
  <c r="AG25" i="4"/>
  <c r="AS25" i="4"/>
  <c r="AE26" i="4"/>
  <c r="AQ26" i="4"/>
  <c r="E27" i="4"/>
  <c r="Q27" i="4"/>
  <c r="AC27" i="4"/>
  <c r="AO27" i="4"/>
  <c r="BA27" i="4"/>
  <c r="O28" i="4"/>
  <c r="AA28" i="4"/>
  <c r="AM28" i="4"/>
  <c r="AY28" i="4"/>
  <c r="M29" i="4"/>
  <c r="Y29" i="4"/>
  <c r="AK29" i="4"/>
  <c r="AW29" i="4"/>
  <c r="K30" i="4"/>
  <c r="W30" i="4"/>
  <c r="AI30" i="4"/>
  <c r="AU30" i="4"/>
  <c r="AG31" i="4"/>
  <c r="AS31" i="4"/>
  <c r="AE32" i="4"/>
  <c r="AQ32" i="4"/>
  <c r="E33" i="4"/>
  <c r="Q33" i="4"/>
  <c r="AC33" i="4"/>
  <c r="AO33" i="4"/>
  <c r="BA33" i="4"/>
  <c r="O34" i="4"/>
  <c r="AA34" i="4"/>
  <c r="AM34" i="4"/>
  <c r="AY34" i="4"/>
  <c r="M35" i="4"/>
  <c r="Y35" i="4"/>
  <c r="AK35" i="4"/>
  <c r="AW35" i="4"/>
  <c r="K36" i="4"/>
  <c r="W36" i="4"/>
  <c r="AI36" i="4"/>
  <c r="AU36" i="4"/>
  <c r="AG37" i="4"/>
  <c r="AS37" i="4"/>
  <c r="S38" i="4"/>
  <c r="AE38" i="4"/>
  <c r="AQ38" i="4"/>
  <c r="E39" i="4"/>
  <c r="Q39" i="4"/>
  <c r="AC39" i="4"/>
  <c r="AO39" i="4"/>
  <c r="BA39" i="4"/>
  <c r="O40" i="4"/>
  <c r="AA40" i="4"/>
  <c r="AM40" i="4"/>
  <c r="AY40" i="4"/>
  <c r="M41" i="4"/>
  <c r="Y41" i="4"/>
  <c r="AK41" i="4"/>
  <c r="AW41" i="4"/>
  <c r="K42" i="4"/>
  <c r="W42" i="4"/>
  <c r="AI42" i="4"/>
  <c r="AU42" i="4"/>
  <c r="AG43" i="4"/>
  <c r="AS43" i="4"/>
  <c r="S44" i="4"/>
  <c r="AE44" i="4"/>
  <c r="AQ44" i="4"/>
  <c r="E45" i="4"/>
  <c r="Q45" i="4"/>
  <c r="AC45" i="4"/>
  <c r="AO45" i="4"/>
  <c r="BA45" i="4"/>
  <c r="O46" i="4"/>
  <c r="AA46" i="4"/>
  <c r="AM46" i="4"/>
  <c r="AY46" i="4"/>
  <c r="M47" i="4"/>
  <c r="Y47" i="4"/>
  <c r="AK47" i="4"/>
  <c r="AW47" i="4"/>
  <c r="K48" i="4"/>
  <c r="W48" i="4"/>
  <c r="AI48" i="4"/>
  <c r="AU48" i="4"/>
  <c r="AG49" i="4"/>
  <c r="AS49" i="4"/>
  <c r="S50" i="4"/>
  <c r="AE50" i="4"/>
  <c r="AQ50" i="4"/>
  <c r="E51" i="4"/>
  <c r="Q51" i="4"/>
  <c r="AC51" i="4"/>
  <c r="AO51" i="4"/>
  <c r="BA51" i="4"/>
  <c r="O52" i="4"/>
  <c r="AA52" i="4"/>
  <c r="AM52" i="4"/>
  <c r="AY52" i="4"/>
  <c r="M53" i="4"/>
  <c r="Y53" i="4"/>
  <c r="AK53" i="4"/>
  <c r="AW53" i="4"/>
  <c r="K54" i="4"/>
  <c r="W54" i="4"/>
  <c r="AI54" i="4"/>
  <c r="AU54" i="4"/>
  <c r="AG55" i="4"/>
  <c r="AS55" i="4"/>
  <c r="AE56" i="4"/>
  <c r="AQ56" i="4"/>
  <c r="E57" i="4"/>
  <c r="Q57" i="4"/>
  <c r="AC57" i="4"/>
  <c r="AO57" i="4"/>
  <c r="BA57" i="4"/>
  <c r="O58" i="4"/>
  <c r="AA58" i="4"/>
  <c r="AM58" i="4"/>
  <c r="AY58" i="4"/>
  <c r="M59" i="4"/>
  <c r="Y59" i="4"/>
  <c r="AK59" i="4"/>
  <c r="AW59" i="4"/>
  <c r="K60" i="4"/>
  <c r="W60" i="4"/>
  <c r="AI60" i="4"/>
  <c r="AU60" i="4"/>
  <c r="AG61" i="4"/>
  <c r="AS61" i="4"/>
  <c r="AE62" i="4"/>
  <c r="AQ62" i="4"/>
  <c r="E63" i="4"/>
  <c r="Q63" i="4"/>
  <c r="AC63" i="4"/>
  <c r="AO63" i="4"/>
  <c r="BA63" i="4"/>
  <c r="O64" i="4"/>
  <c r="AA64" i="4"/>
  <c r="AM64" i="4"/>
  <c r="AY64" i="4"/>
  <c r="M65" i="4"/>
  <c r="Y65" i="4"/>
  <c r="AK65" i="4"/>
  <c r="AW65" i="4"/>
  <c r="K66" i="4"/>
  <c r="W66" i="4"/>
  <c r="AI66" i="4"/>
  <c r="AU66" i="4"/>
  <c r="AG67" i="4"/>
  <c r="AS67" i="4"/>
  <c r="S68" i="4"/>
  <c r="AE68" i="4"/>
  <c r="AQ68" i="4"/>
  <c r="E69" i="4"/>
  <c r="P22" i="4"/>
  <c r="AB22" i="4"/>
  <c r="AN22" i="4"/>
  <c r="AZ22" i="4"/>
  <c r="N23" i="4"/>
  <c r="Z23" i="4"/>
  <c r="AL23" i="4"/>
  <c r="AX23" i="4"/>
  <c r="L24" i="4"/>
  <c r="X24" i="4"/>
  <c r="AJ24" i="4"/>
  <c r="AV24" i="4"/>
  <c r="V25" i="4"/>
  <c r="AH25" i="4"/>
  <c r="AT25" i="4"/>
  <c r="T26" i="4"/>
  <c r="AF26" i="4"/>
  <c r="AR26" i="4"/>
  <c r="F27" i="4"/>
  <c r="R27" i="4"/>
  <c r="AD27" i="4"/>
  <c r="AP27" i="4"/>
  <c r="BB27" i="4"/>
  <c r="P28" i="4"/>
  <c r="AB28" i="4"/>
  <c r="AN28" i="4"/>
  <c r="AZ28" i="4"/>
  <c r="AL29" i="4"/>
  <c r="AX29" i="4"/>
  <c r="L30" i="4"/>
  <c r="X30" i="4"/>
  <c r="AJ30" i="4"/>
  <c r="AV30" i="4"/>
  <c r="AR32" i="4"/>
  <c r="F33" i="4"/>
  <c r="R33" i="4"/>
  <c r="AD33" i="4"/>
  <c r="AP33" i="4"/>
  <c r="BB33" i="4"/>
  <c r="P34" i="4"/>
  <c r="AB34" i="4"/>
  <c r="AN34" i="4"/>
  <c r="AZ34" i="4"/>
  <c r="Z35" i="4"/>
  <c r="AL35" i="4"/>
  <c r="AX35" i="4"/>
  <c r="L36" i="4"/>
  <c r="X36" i="4"/>
  <c r="AJ36" i="4"/>
  <c r="AV36" i="4"/>
  <c r="AT37" i="4"/>
  <c r="AR38" i="4"/>
  <c r="F39" i="4"/>
  <c r="R39" i="4"/>
  <c r="AD39" i="4"/>
  <c r="AP39" i="4"/>
  <c r="BB39" i="4"/>
  <c r="P40" i="4"/>
  <c r="AB40" i="4"/>
  <c r="AN40" i="4"/>
  <c r="AZ40" i="4"/>
  <c r="Z41" i="4"/>
  <c r="AL41" i="4"/>
  <c r="AX41" i="4"/>
  <c r="L42" i="4"/>
  <c r="X42" i="4"/>
  <c r="AJ42" i="4"/>
  <c r="AV42" i="4"/>
  <c r="AT43" i="4"/>
  <c r="AR44" i="4"/>
  <c r="F45" i="4"/>
  <c r="R45" i="4"/>
  <c r="AD45" i="4"/>
  <c r="AP45" i="4"/>
  <c r="BB45" i="4"/>
  <c r="P46" i="4"/>
  <c r="AB46" i="4"/>
  <c r="AN46" i="4"/>
  <c r="AZ46" i="4"/>
  <c r="Z47" i="4"/>
  <c r="AL47" i="4"/>
  <c r="AX47" i="4"/>
  <c r="L48" i="4"/>
  <c r="X48" i="4"/>
  <c r="AJ48" i="4"/>
  <c r="AV48" i="4"/>
  <c r="AT49" i="4"/>
  <c r="AR50" i="4"/>
  <c r="F51" i="4"/>
  <c r="R51" i="4"/>
  <c r="AD51" i="4"/>
  <c r="AP51" i="4"/>
  <c r="BB51" i="4"/>
  <c r="P52" i="4"/>
  <c r="AB52" i="4"/>
  <c r="AN52" i="4"/>
  <c r="AZ52" i="4"/>
  <c r="Z53" i="4"/>
  <c r="AL53" i="4"/>
  <c r="AX53" i="4"/>
  <c r="L54" i="4"/>
  <c r="X54" i="4"/>
  <c r="AJ54" i="4"/>
  <c r="AV54" i="4"/>
  <c r="AT55" i="4"/>
  <c r="AR56" i="4"/>
  <c r="F57" i="4"/>
  <c r="R57" i="4"/>
  <c r="AD57" i="4"/>
  <c r="AP57" i="4"/>
  <c r="BB57" i="4"/>
  <c r="P58" i="4"/>
  <c r="AB58" i="4"/>
  <c r="AN58" i="4"/>
  <c r="AZ58" i="4"/>
  <c r="Z59" i="4"/>
  <c r="AL59" i="4"/>
  <c r="AX59" i="4"/>
  <c r="L60" i="4"/>
  <c r="X60" i="4"/>
  <c r="AJ60" i="4"/>
  <c r="AV60" i="4"/>
  <c r="AT61" i="4"/>
  <c r="AR62" i="4"/>
  <c r="F63" i="4"/>
  <c r="R63" i="4"/>
  <c r="AD63" i="4"/>
  <c r="AP63" i="4"/>
  <c r="BB63" i="4"/>
  <c r="P64" i="4"/>
  <c r="AB64" i="4"/>
  <c r="AN64" i="4"/>
  <c r="AZ64" i="4"/>
  <c r="Z65" i="4"/>
  <c r="AL65" i="4"/>
  <c r="AX65" i="4"/>
  <c r="L66" i="4"/>
  <c r="X66" i="4"/>
  <c r="AJ66" i="4"/>
  <c r="AV66" i="4"/>
  <c r="AT67" i="4"/>
  <c r="AR68" i="4"/>
  <c r="F69" i="4"/>
  <c r="R69" i="4"/>
  <c r="AD69" i="4"/>
  <c r="AE21" i="4"/>
  <c r="AQ21" i="4"/>
  <c r="E22" i="4"/>
  <c r="Q22" i="4"/>
  <c r="AC22" i="4"/>
  <c r="AO22" i="4"/>
  <c r="BA22" i="4"/>
  <c r="O23" i="4"/>
  <c r="AA23" i="4"/>
  <c r="AM23" i="4"/>
  <c r="AY23" i="4"/>
  <c r="M24" i="4"/>
  <c r="Y24" i="4"/>
  <c r="AK24" i="4"/>
  <c r="AW24" i="4"/>
  <c r="AI25" i="4"/>
  <c r="AU25" i="4"/>
  <c r="AG26" i="4"/>
  <c r="AS26" i="4"/>
  <c r="G27" i="4"/>
  <c r="S27" i="4"/>
  <c r="AE27" i="4"/>
  <c r="AQ27" i="4"/>
  <c r="E28" i="4"/>
  <c r="Q28" i="4"/>
  <c r="AC28" i="4"/>
  <c r="AO28" i="4"/>
  <c r="BA28" i="4"/>
  <c r="O29" i="4"/>
  <c r="AA29" i="4"/>
  <c r="AM29" i="4"/>
  <c r="AY29" i="4"/>
  <c r="M30" i="4"/>
  <c r="Y30" i="4"/>
  <c r="AK30" i="4"/>
  <c r="AI31" i="4"/>
  <c r="AU31" i="4"/>
  <c r="AG32" i="4"/>
  <c r="AS32" i="4"/>
  <c r="G33" i="4"/>
  <c r="S33" i="4"/>
  <c r="AE33" i="4"/>
  <c r="AQ33" i="4"/>
  <c r="E34" i="4"/>
  <c r="Q34" i="4"/>
  <c r="AC34" i="4"/>
  <c r="AO34" i="4"/>
  <c r="BA34" i="4"/>
  <c r="O35" i="4"/>
  <c r="AA35" i="4"/>
  <c r="AM35" i="4"/>
  <c r="AY35" i="4"/>
  <c r="M36" i="4"/>
  <c r="Y36" i="4"/>
  <c r="AK36" i="4"/>
  <c r="AW36" i="4"/>
  <c r="AI37" i="4"/>
  <c r="AU37" i="4"/>
  <c r="AG38" i="4"/>
  <c r="AS38" i="4"/>
  <c r="G39" i="4"/>
  <c r="S39" i="4"/>
  <c r="AE39" i="4"/>
  <c r="AQ39" i="4"/>
  <c r="E40" i="4"/>
  <c r="Q40" i="4"/>
  <c r="AC40" i="4"/>
  <c r="AO40" i="4"/>
  <c r="BA40" i="4"/>
  <c r="O41" i="4"/>
  <c r="AA41" i="4"/>
  <c r="AM41" i="4"/>
  <c r="AY41" i="4"/>
  <c r="M42" i="4"/>
  <c r="Y42" i="4"/>
  <c r="AK42" i="4"/>
  <c r="AW42" i="4"/>
  <c r="AI43" i="4"/>
  <c r="AU43" i="4"/>
  <c r="AG44" i="4"/>
  <c r="AS44" i="4"/>
  <c r="G45" i="4"/>
  <c r="AE45" i="4"/>
  <c r="AQ45" i="4"/>
  <c r="E46" i="4"/>
  <c r="Q46" i="4"/>
  <c r="AC46" i="4"/>
  <c r="AO46" i="4"/>
  <c r="BA46" i="4"/>
  <c r="O47" i="4"/>
  <c r="AA47" i="4"/>
  <c r="AM47" i="4"/>
  <c r="AY47" i="4"/>
  <c r="M48" i="4"/>
  <c r="Y48" i="4"/>
  <c r="AK48" i="4"/>
  <c r="AW48" i="4"/>
  <c r="AI49" i="4"/>
  <c r="AU49" i="4"/>
  <c r="AG50" i="4"/>
  <c r="AS50" i="4"/>
  <c r="G51" i="4"/>
  <c r="S51" i="4"/>
  <c r="AE51" i="4"/>
  <c r="AQ51" i="4"/>
  <c r="E52" i="4"/>
  <c r="Q52" i="4"/>
  <c r="AC52" i="4"/>
  <c r="AO52" i="4"/>
  <c r="BA52" i="4"/>
  <c r="O53" i="4"/>
  <c r="AA53" i="4"/>
  <c r="AM53" i="4"/>
  <c r="AY53" i="4"/>
  <c r="M54" i="4"/>
  <c r="Y54" i="4"/>
  <c r="AK54" i="4"/>
  <c r="AW54" i="4"/>
  <c r="AI55" i="4"/>
  <c r="AU55" i="4"/>
  <c r="AG56" i="4"/>
  <c r="AS56" i="4"/>
  <c r="G57" i="4"/>
  <c r="S57" i="4"/>
  <c r="AE57" i="4"/>
  <c r="AQ57" i="4"/>
  <c r="E58" i="4"/>
  <c r="Q58" i="4"/>
  <c r="AC58" i="4"/>
  <c r="AO58" i="4"/>
  <c r="BA58" i="4"/>
  <c r="O59" i="4"/>
  <c r="AA59" i="4"/>
  <c r="AM59" i="4"/>
  <c r="AY59" i="4"/>
  <c r="M60" i="4"/>
  <c r="Y60" i="4"/>
  <c r="AK60" i="4"/>
  <c r="AW60" i="4"/>
  <c r="W61" i="4"/>
  <c r="AI61" i="4"/>
  <c r="AU61" i="4"/>
  <c r="AG62" i="4"/>
  <c r="AS62" i="4"/>
  <c r="G63" i="4"/>
  <c r="S63" i="4"/>
  <c r="AE63" i="4"/>
  <c r="AQ63" i="4"/>
  <c r="E64" i="4"/>
  <c r="Q64" i="4"/>
  <c r="AC64" i="4"/>
  <c r="AO64" i="4"/>
  <c r="BA64" i="4"/>
  <c r="O65" i="4"/>
  <c r="AA65" i="4"/>
  <c r="AM65" i="4"/>
  <c r="AY65" i="4"/>
  <c r="M66" i="4"/>
  <c r="Y66" i="4"/>
  <c r="AK66" i="4"/>
  <c r="AW66" i="4"/>
  <c r="AI67" i="4"/>
  <c r="AU67" i="4"/>
  <c r="AG68" i="4"/>
  <c r="AS68" i="4"/>
  <c r="G69" i="4"/>
  <c r="S69" i="4"/>
  <c r="J76" i="4"/>
  <c r="V76" i="4"/>
  <c r="AH76" i="4"/>
  <c r="AT76" i="4"/>
  <c r="AD78" i="4"/>
  <c r="AP78" i="4"/>
  <c r="BB78" i="4"/>
  <c r="J82" i="4"/>
  <c r="V82" i="4"/>
  <c r="AH82" i="4"/>
  <c r="AT82" i="4"/>
  <c r="J88" i="4"/>
  <c r="V88" i="4"/>
  <c r="AH88" i="4"/>
  <c r="AT88" i="4"/>
  <c r="AK69" i="4"/>
  <c r="AW69" i="4"/>
  <c r="K70" i="4"/>
  <c r="W70" i="4"/>
  <c r="AI70" i="4"/>
  <c r="AU70" i="4"/>
  <c r="AG71" i="4"/>
  <c r="AS71" i="4"/>
  <c r="G72" i="4"/>
  <c r="S72" i="4"/>
  <c r="AE72" i="4"/>
  <c r="AQ72" i="4"/>
  <c r="BA73" i="4"/>
  <c r="AM74" i="4"/>
  <c r="AY74" i="4"/>
  <c r="M75" i="4"/>
  <c r="Y75" i="4"/>
  <c r="AK75" i="4"/>
  <c r="AW75" i="4"/>
  <c r="K76" i="4"/>
  <c r="W76" i="4"/>
  <c r="AI76" i="4"/>
  <c r="AU76" i="4"/>
  <c r="AG77" i="4"/>
  <c r="AS77" i="4"/>
  <c r="G78" i="4"/>
  <c r="S78" i="4"/>
  <c r="AE78" i="4"/>
  <c r="AQ78" i="4"/>
  <c r="AO79" i="4"/>
  <c r="BA79" i="4"/>
  <c r="AM80" i="4"/>
  <c r="AY80" i="4"/>
  <c r="AK81" i="4"/>
  <c r="AW81" i="4"/>
  <c r="K82" i="4"/>
  <c r="W82" i="4"/>
  <c r="AI82" i="4"/>
  <c r="AU82" i="4"/>
  <c r="AG83" i="4"/>
  <c r="AS83" i="4"/>
  <c r="AQ84" i="4"/>
  <c r="AO85" i="4"/>
  <c r="BA85" i="4"/>
  <c r="AM86" i="4"/>
  <c r="AY86" i="4"/>
  <c r="AK87" i="4"/>
  <c r="AW87" i="4"/>
  <c r="K88" i="4"/>
  <c r="W88" i="4"/>
  <c r="AI88" i="4"/>
  <c r="AU88" i="4"/>
  <c r="AG89" i="4"/>
  <c r="AS89" i="4"/>
  <c r="AE90" i="4"/>
  <c r="AQ90" i="4"/>
  <c r="AO91" i="4"/>
  <c r="BA91" i="4"/>
  <c r="H72" i="4"/>
  <c r="T72" i="4"/>
  <c r="AF72" i="4"/>
  <c r="AR72" i="4"/>
  <c r="L76" i="4"/>
  <c r="X76" i="4"/>
  <c r="AJ76" i="4"/>
  <c r="AV76" i="4"/>
  <c r="H78" i="4"/>
  <c r="T78" i="4"/>
  <c r="AF78" i="4"/>
  <c r="AR78" i="4"/>
  <c r="L82" i="4"/>
  <c r="X82" i="4"/>
  <c r="AJ82" i="4"/>
  <c r="AV82" i="4"/>
  <c r="L88" i="4"/>
  <c r="X88" i="4"/>
  <c r="AJ88" i="4"/>
  <c r="AV88" i="4"/>
  <c r="M76" i="4"/>
  <c r="Y76" i="4"/>
  <c r="AK76" i="4"/>
  <c r="AW76" i="4"/>
  <c r="AG78" i="4"/>
  <c r="AS78" i="4"/>
  <c r="M82" i="4"/>
  <c r="Y82" i="4"/>
  <c r="AK82" i="4"/>
  <c r="AW82" i="4"/>
  <c r="AI83" i="4"/>
  <c r="AU83" i="4"/>
  <c r="AG84" i="4"/>
  <c r="AS84" i="4"/>
  <c r="S85" i="4"/>
  <c r="AE85" i="4"/>
  <c r="AQ85" i="4"/>
  <c r="Q86" i="4"/>
  <c r="AC86" i="4"/>
  <c r="AO86" i="4"/>
  <c r="BA86" i="4"/>
  <c r="O87" i="4"/>
  <c r="AA87" i="4"/>
  <c r="AM87" i="4"/>
  <c r="AY87" i="4"/>
  <c r="M88" i="4"/>
  <c r="Y88" i="4"/>
  <c r="AK88" i="4"/>
  <c r="AW88" i="4"/>
  <c r="W89" i="4"/>
  <c r="AI89" i="4"/>
  <c r="AU89" i="4"/>
  <c r="AG90" i="4"/>
  <c r="AS90" i="4"/>
  <c r="AQ91" i="4"/>
  <c r="J72" i="4"/>
  <c r="V72" i="4"/>
  <c r="AH72" i="4"/>
  <c r="AT72" i="4"/>
  <c r="AN75" i="4"/>
  <c r="AZ75" i="4"/>
  <c r="N76" i="4"/>
  <c r="Z76" i="4"/>
  <c r="AL76" i="4"/>
  <c r="AX76" i="4"/>
  <c r="J78" i="4"/>
  <c r="V78" i="4"/>
  <c r="AH78" i="4"/>
  <c r="AT78" i="4"/>
  <c r="N82" i="4"/>
  <c r="Z82" i="4"/>
  <c r="AL82" i="4"/>
  <c r="AX82" i="4"/>
  <c r="N88" i="4"/>
  <c r="Z88" i="4"/>
  <c r="AL88" i="4"/>
  <c r="AX88" i="4"/>
  <c r="Q69" i="4"/>
  <c r="AC69" i="4"/>
  <c r="AO69" i="4"/>
  <c r="BA69" i="4"/>
  <c r="O70" i="4"/>
  <c r="AA70" i="4"/>
  <c r="AM70" i="4"/>
  <c r="AY70" i="4"/>
  <c r="M71" i="4"/>
  <c r="Y71" i="4"/>
  <c r="AK71" i="4"/>
  <c r="AW71" i="4"/>
  <c r="K72" i="4"/>
  <c r="W72" i="4"/>
  <c r="AI72" i="4"/>
  <c r="AU72" i="4"/>
  <c r="AG73" i="4"/>
  <c r="AS73" i="4"/>
  <c r="G74" i="4"/>
  <c r="S74" i="4"/>
  <c r="AE74" i="4"/>
  <c r="AQ74" i="4"/>
  <c r="E75" i="4"/>
  <c r="Q75" i="4"/>
  <c r="AC75" i="4"/>
  <c r="AO75" i="4"/>
  <c r="BA75" i="4"/>
  <c r="O76" i="4"/>
  <c r="AA76" i="4"/>
  <c r="AM76" i="4"/>
  <c r="AY76" i="4"/>
  <c r="M77" i="4"/>
  <c r="Y77" i="4"/>
  <c r="AK77" i="4"/>
  <c r="AW77" i="4"/>
  <c r="K78" i="4"/>
  <c r="W78" i="4"/>
  <c r="AI78" i="4"/>
  <c r="AU78" i="4"/>
  <c r="AG79" i="4"/>
  <c r="AS79" i="4"/>
  <c r="S80" i="4"/>
  <c r="AE80" i="4"/>
  <c r="AQ80" i="4"/>
  <c r="AC81" i="4"/>
  <c r="AO81" i="4"/>
  <c r="BA81" i="4"/>
  <c r="O82" i="4"/>
  <c r="AA82" i="4"/>
  <c r="AM82" i="4"/>
  <c r="AY82" i="4"/>
  <c r="M83" i="4"/>
  <c r="Y83" i="4"/>
  <c r="AK83" i="4"/>
  <c r="AW83" i="4"/>
  <c r="AI84" i="4"/>
  <c r="AU84" i="4"/>
  <c r="AG85" i="4"/>
  <c r="AS85" i="4"/>
  <c r="S86" i="4"/>
  <c r="AE86" i="4"/>
  <c r="AQ86" i="4"/>
  <c r="AC87" i="4"/>
  <c r="AO87" i="4"/>
  <c r="BA87" i="4"/>
  <c r="O88" i="4"/>
  <c r="AA88" i="4"/>
  <c r="AM88" i="4"/>
  <c r="AY88" i="4"/>
  <c r="M89" i="4"/>
  <c r="Y89" i="4"/>
  <c r="AK89" i="4"/>
  <c r="AW89" i="4"/>
  <c r="K90" i="4"/>
  <c r="W90" i="4"/>
  <c r="AI90" i="4"/>
  <c r="AU90" i="4"/>
  <c r="AG91" i="4"/>
  <c r="AS91" i="4"/>
  <c r="AP69" i="4"/>
  <c r="BB69" i="4"/>
  <c r="P70" i="4"/>
  <c r="AB70" i="4"/>
  <c r="AN70" i="4"/>
  <c r="AZ70" i="4"/>
  <c r="Z71" i="4"/>
  <c r="AL71" i="4"/>
  <c r="AX71" i="4"/>
  <c r="L72" i="4"/>
  <c r="X72" i="4"/>
  <c r="AJ72" i="4"/>
  <c r="AV72" i="4"/>
  <c r="AH73" i="4"/>
  <c r="AT73" i="4"/>
  <c r="T74" i="4"/>
  <c r="AF74" i="4"/>
  <c r="AR74" i="4"/>
  <c r="F75" i="4"/>
  <c r="R75" i="4"/>
  <c r="AD75" i="4"/>
  <c r="AP75" i="4"/>
  <c r="BB75" i="4"/>
  <c r="P76" i="4"/>
  <c r="AB76" i="4"/>
  <c r="AN76" i="4"/>
  <c r="AZ76" i="4"/>
  <c r="N77" i="4"/>
  <c r="Z77" i="4"/>
  <c r="AL77" i="4"/>
  <c r="AX77" i="4"/>
  <c r="L78" i="4"/>
  <c r="X78" i="4"/>
  <c r="AJ78" i="4"/>
  <c r="AV78" i="4"/>
  <c r="AH79" i="4"/>
  <c r="AT79" i="4"/>
  <c r="T80" i="4"/>
  <c r="AF80" i="4"/>
  <c r="AR80" i="4"/>
  <c r="AD81" i="4"/>
  <c r="AP81" i="4"/>
  <c r="BB81" i="4"/>
  <c r="P82" i="4"/>
  <c r="AB82" i="4"/>
  <c r="AN82" i="4"/>
  <c r="AZ82" i="4"/>
  <c r="N83" i="4"/>
  <c r="Z83" i="4"/>
  <c r="AL83" i="4"/>
  <c r="AX83" i="4"/>
  <c r="AJ84" i="4"/>
  <c r="AV84" i="4"/>
  <c r="AH85" i="4"/>
  <c r="AT85" i="4"/>
  <c r="T86" i="4"/>
  <c r="AF86" i="4"/>
  <c r="AR86" i="4"/>
  <c r="AD87" i="4"/>
  <c r="AP87" i="4"/>
  <c r="BB87" i="4"/>
  <c r="P88" i="4"/>
  <c r="AB88" i="4"/>
  <c r="AN88" i="4"/>
  <c r="AZ88" i="4"/>
  <c r="N89" i="4"/>
  <c r="Z89" i="4"/>
  <c r="AL89" i="4"/>
  <c r="AX89" i="4"/>
  <c r="L90" i="4"/>
  <c r="X90" i="4"/>
  <c r="AJ90" i="4"/>
  <c r="AV90" i="4"/>
  <c r="AH91" i="4"/>
  <c r="AT91" i="4"/>
  <c r="AE69" i="4"/>
  <c r="AQ69" i="4"/>
  <c r="E70" i="4"/>
  <c r="Q70" i="4"/>
  <c r="AC70" i="4"/>
  <c r="AO70" i="4"/>
  <c r="BA70" i="4"/>
  <c r="AA71" i="4"/>
  <c r="AM71" i="4"/>
  <c r="AY71" i="4"/>
  <c r="M72" i="4"/>
  <c r="Y72" i="4"/>
  <c r="AK72" i="4"/>
  <c r="AW72" i="4"/>
  <c r="AU73" i="4"/>
  <c r="AG74" i="4"/>
  <c r="AS74" i="4"/>
  <c r="G75" i="4"/>
  <c r="S75" i="4"/>
  <c r="AE75" i="4"/>
  <c r="AQ75" i="4"/>
  <c r="E76" i="4"/>
  <c r="Q76" i="4"/>
  <c r="AC76" i="4"/>
  <c r="AO76" i="4"/>
  <c r="BA76" i="4"/>
  <c r="AA77" i="4"/>
  <c r="AM77" i="4"/>
  <c r="AY77" i="4"/>
  <c r="M78" i="4"/>
  <c r="Y78" i="4"/>
  <c r="AK78" i="4"/>
  <c r="AW78" i="4"/>
  <c r="AI79" i="4"/>
  <c r="AU79" i="4"/>
  <c r="AG80" i="4"/>
  <c r="AS80" i="4"/>
  <c r="AE81" i="4"/>
  <c r="AQ81" i="4"/>
  <c r="E82" i="4"/>
  <c r="Q82" i="4"/>
  <c r="AC82" i="4"/>
  <c r="AO82" i="4"/>
  <c r="BA82" i="4"/>
  <c r="AA83" i="4"/>
  <c r="AM83" i="4"/>
  <c r="AY83" i="4"/>
  <c r="AK84" i="4"/>
  <c r="AW84" i="4"/>
  <c r="AI85" i="4"/>
  <c r="AU85" i="4"/>
  <c r="AG86" i="4"/>
  <c r="AS86" i="4"/>
  <c r="AE87" i="4"/>
  <c r="AQ87" i="4"/>
  <c r="E88" i="4"/>
  <c r="Q88" i="4"/>
  <c r="AC88" i="4"/>
  <c r="AO88" i="4"/>
  <c r="BA88" i="4"/>
  <c r="O89" i="4"/>
  <c r="AA89" i="4"/>
  <c r="AM89" i="4"/>
  <c r="AY89" i="4"/>
  <c r="M90" i="4"/>
  <c r="Y90" i="4"/>
  <c r="AK90" i="4"/>
  <c r="AW90" i="4"/>
  <c r="AI91" i="4"/>
  <c r="AU91" i="4"/>
  <c r="H69" i="4"/>
  <c r="T69" i="4"/>
  <c r="AF69" i="4"/>
  <c r="AR69" i="4"/>
  <c r="F70" i="4"/>
  <c r="R70" i="4"/>
  <c r="AD70" i="4"/>
  <c r="AP70" i="4"/>
  <c r="BB70" i="4"/>
  <c r="P71" i="4"/>
  <c r="AB71" i="4"/>
  <c r="AN71" i="4"/>
  <c r="AZ71" i="4"/>
  <c r="N72" i="4"/>
  <c r="Z72" i="4"/>
  <c r="AL72" i="4"/>
  <c r="AX72" i="4"/>
  <c r="X73" i="4"/>
  <c r="AJ73" i="4"/>
  <c r="AV73" i="4"/>
  <c r="J74" i="4"/>
  <c r="V74" i="4"/>
  <c r="AH74" i="4"/>
  <c r="AT74" i="4"/>
  <c r="H75" i="4"/>
  <c r="T75" i="4"/>
  <c r="AF75" i="4"/>
  <c r="AR75" i="4"/>
  <c r="F76" i="4"/>
  <c r="R76" i="4"/>
  <c r="AD76" i="4"/>
  <c r="AP76" i="4"/>
  <c r="BB76" i="4"/>
  <c r="P77" i="4"/>
  <c r="AB77" i="4"/>
  <c r="AN77" i="4"/>
  <c r="AZ77" i="4"/>
  <c r="N78" i="4"/>
  <c r="Z78" i="4"/>
  <c r="AL78" i="4"/>
  <c r="AX78" i="4"/>
  <c r="X79" i="4"/>
  <c r="AJ79" i="4"/>
  <c r="AV79" i="4"/>
  <c r="V80" i="4"/>
  <c r="AH80" i="4"/>
  <c r="AT80" i="4"/>
  <c r="AF81" i="4"/>
  <c r="AR81" i="4"/>
  <c r="F82" i="4"/>
  <c r="R82" i="4"/>
  <c r="AD82" i="4"/>
  <c r="AP82" i="4"/>
  <c r="BB82" i="4"/>
  <c r="P83" i="4"/>
  <c r="AB83" i="4"/>
  <c r="AN83" i="4"/>
  <c r="AZ83" i="4"/>
  <c r="AL84" i="4"/>
  <c r="AX84" i="4"/>
  <c r="AJ85" i="4"/>
  <c r="AV85" i="4"/>
  <c r="V86" i="4"/>
  <c r="AH86" i="4"/>
  <c r="AT86" i="4"/>
  <c r="AF87" i="4"/>
  <c r="AR87" i="4"/>
  <c r="F88" i="4"/>
  <c r="R88" i="4"/>
  <c r="AD88" i="4"/>
  <c r="AP88" i="4"/>
  <c r="BB88" i="4"/>
  <c r="P89" i="4"/>
  <c r="AB89" i="4"/>
  <c r="AN89" i="4"/>
  <c r="AZ89" i="4"/>
  <c r="N90" i="4"/>
  <c r="Z90" i="4"/>
  <c r="AL90" i="4"/>
  <c r="AX90" i="4"/>
  <c r="AJ91" i="4"/>
  <c r="AV91" i="4"/>
  <c r="O72" i="4"/>
  <c r="AA72" i="4"/>
  <c r="AM72" i="4"/>
  <c r="AY72" i="4"/>
  <c r="AG75" i="4"/>
  <c r="AS75" i="4"/>
  <c r="G76" i="4"/>
  <c r="S76" i="4"/>
  <c r="AE76" i="4"/>
  <c r="AQ76" i="4"/>
  <c r="E77" i="4"/>
  <c r="Q77" i="4"/>
  <c r="AC77" i="4"/>
  <c r="AO77" i="4"/>
  <c r="BA77" i="4"/>
  <c r="O78" i="4"/>
  <c r="AA78" i="4"/>
  <c r="AM78" i="4"/>
  <c r="AY78" i="4"/>
  <c r="Y79" i="4"/>
  <c r="AK79" i="4"/>
  <c r="AW79" i="4"/>
  <c r="K80" i="4"/>
  <c r="W80" i="4"/>
  <c r="AI80" i="4"/>
  <c r="AU80" i="4"/>
  <c r="AG81" i="4"/>
  <c r="AS81" i="4"/>
  <c r="G82" i="4"/>
  <c r="S82" i="4"/>
  <c r="AE82" i="4"/>
  <c r="AQ82" i="4"/>
  <c r="Q83" i="4"/>
  <c r="AC83" i="4"/>
  <c r="AO83" i="4"/>
  <c r="BA83" i="4"/>
  <c r="AM84" i="4"/>
  <c r="AY84" i="4"/>
  <c r="Y85" i="4"/>
  <c r="AK85" i="4"/>
  <c r="AW85" i="4"/>
  <c r="W86" i="4"/>
  <c r="AI86" i="4"/>
  <c r="AU86" i="4"/>
  <c r="AG87" i="4"/>
  <c r="AS87" i="4"/>
  <c r="G88" i="4"/>
  <c r="S88" i="4"/>
  <c r="AE88" i="4"/>
  <c r="AQ88" i="4"/>
  <c r="Q89" i="4"/>
  <c r="AC89" i="4"/>
  <c r="AO89" i="4"/>
  <c r="BA89" i="4"/>
  <c r="O90" i="4"/>
  <c r="AA90" i="4"/>
  <c r="AM90" i="4"/>
  <c r="AY90" i="4"/>
  <c r="AK91" i="4"/>
  <c r="AW91" i="4"/>
  <c r="AH69" i="4"/>
  <c r="AT69" i="4"/>
  <c r="H70" i="4"/>
  <c r="T70" i="4"/>
  <c r="AF70" i="4"/>
  <c r="AR70" i="4"/>
  <c r="R71" i="4"/>
  <c r="AD71" i="4"/>
  <c r="AP71" i="4"/>
  <c r="BB71" i="4"/>
  <c r="P72" i="4"/>
  <c r="AB72" i="4"/>
  <c r="AN72" i="4"/>
  <c r="AZ72" i="4"/>
  <c r="AL73" i="4"/>
  <c r="AX73" i="4"/>
  <c r="X74" i="4"/>
  <c r="AJ74" i="4"/>
  <c r="AV74" i="4"/>
  <c r="J75" i="4"/>
  <c r="V75" i="4"/>
  <c r="AH75" i="4"/>
  <c r="AT75" i="4"/>
  <c r="H76" i="4"/>
  <c r="T76" i="4"/>
  <c r="AF76" i="4"/>
  <c r="AR76" i="4"/>
  <c r="R77" i="4"/>
  <c r="AD77" i="4"/>
  <c r="AP77" i="4"/>
  <c r="BB77" i="4"/>
  <c r="P78" i="4"/>
  <c r="AB78" i="4"/>
  <c r="AN78" i="4"/>
  <c r="AZ78" i="4"/>
  <c r="Z79" i="4"/>
  <c r="AL79" i="4"/>
  <c r="AX79" i="4"/>
  <c r="X80" i="4"/>
  <c r="AJ80" i="4"/>
  <c r="AV80" i="4"/>
  <c r="AH81" i="4"/>
  <c r="AT81" i="4"/>
  <c r="H82" i="4"/>
  <c r="T82" i="4"/>
  <c r="AF82" i="4"/>
  <c r="AR82" i="4"/>
  <c r="R83" i="4"/>
  <c r="AD83" i="4"/>
  <c r="AP83" i="4"/>
  <c r="BB83" i="4"/>
  <c r="AN84" i="4"/>
  <c r="AZ84" i="4"/>
  <c r="Z85" i="4"/>
  <c r="AL85" i="4"/>
  <c r="AX85" i="4"/>
  <c r="X86" i="4"/>
  <c r="AJ86" i="4"/>
  <c r="AV86" i="4"/>
  <c r="AH87" i="4"/>
  <c r="AT87" i="4"/>
  <c r="H88" i="4"/>
  <c r="T88" i="4"/>
  <c r="AF88" i="4"/>
  <c r="AR88" i="4"/>
  <c r="R89" i="4"/>
  <c r="AD89" i="4"/>
  <c r="AP89" i="4"/>
  <c r="BB89" i="4"/>
  <c r="P90" i="4"/>
  <c r="AB90" i="4"/>
  <c r="AN90" i="4"/>
  <c r="AZ90" i="4"/>
  <c r="Z91" i="4"/>
  <c r="AL91" i="4"/>
  <c r="AX91" i="4"/>
  <c r="AO92" i="4"/>
  <c r="BA92" i="4"/>
  <c r="AE92" i="4"/>
  <c r="AQ92" i="4"/>
  <c r="AF92" i="4"/>
  <c r="AR92" i="4"/>
  <c r="AG92" i="4"/>
  <c r="AS92" i="4"/>
  <c r="AH92" i="4"/>
  <c r="AT92" i="4"/>
  <c r="AI92" i="4"/>
  <c r="AU92" i="4"/>
  <c r="AJ92" i="4"/>
  <c r="AV92" i="4"/>
  <c r="AY91" i="4"/>
  <c r="Y92" i="4"/>
  <c r="AK92" i="4"/>
  <c r="AW92" i="4"/>
  <c r="AL92" i="4"/>
  <c r="AX92" i="4"/>
  <c r="AM92" i="4"/>
  <c r="AY92" i="4"/>
  <c r="BD51" i="4" l="1"/>
  <c r="BF51" i="2"/>
  <c r="BG51" i="2" s="1"/>
  <c r="BH51" i="2" s="1"/>
  <c r="BE35" i="4"/>
  <c r="BE41" i="4"/>
  <c r="BF72" i="4"/>
  <c r="BE19" i="4"/>
  <c r="BG19" i="2"/>
  <c r="BH19" i="2" s="1"/>
  <c r="BD82" i="4"/>
  <c r="BE11" i="4"/>
  <c r="BE55" i="4"/>
  <c r="BG55" i="2"/>
  <c r="BF68" i="2"/>
  <c r="BG68" i="2" s="1"/>
  <c r="BH68" i="2" s="1"/>
  <c r="BD68" i="4"/>
  <c r="BF43" i="4"/>
  <c r="BH43" i="2"/>
  <c r="BG43" i="4" s="1"/>
  <c r="BF76" i="4"/>
  <c r="BF13" i="2"/>
  <c r="BG13" i="2" s="1"/>
  <c r="BH13" i="2" s="1"/>
  <c r="BD13" i="4"/>
  <c r="BE67" i="4"/>
  <c r="BG67" i="2"/>
  <c r="BH67" i="2" s="1"/>
  <c r="BG67" i="4" s="1"/>
  <c r="BF77" i="4"/>
  <c r="BH77" i="2"/>
  <c r="BG77" i="4" s="1"/>
  <c r="BD22" i="4"/>
  <c r="BF22" i="2"/>
  <c r="BG22" i="2" s="1"/>
  <c r="BH22" i="2" s="1"/>
  <c r="BF88" i="2"/>
  <c r="BD88" i="4"/>
  <c r="BE79" i="4"/>
  <c r="BG79" i="2"/>
  <c r="BG64" i="2"/>
  <c r="BE64" i="4"/>
  <c r="BF56" i="2"/>
  <c r="BD56" i="4"/>
  <c r="BF23" i="2"/>
  <c r="BD23" i="4"/>
  <c r="BE71" i="4"/>
  <c r="BD34" i="4"/>
  <c r="BD40" i="4"/>
  <c r="BF40" i="2"/>
  <c r="BE15" i="4"/>
  <c r="BG15" i="2"/>
  <c r="BF32" i="2"/>
  <c r="BG32" i="2" s="1"/>
  <c r="BH32" i="2" s="1"/>
  <c r="BD32" i="4"/>
  <c r="BD25" i="4"/>
  <c r="BH84" i="2"/>
  <c r="BG84" i="4" s="1"/>
  <c r="BF84" i="4"/>
  <c r="BF36" i="4"/>
  <c r="BG36" i="4"/>
  <c r="BE62" i="4"/>
  <c r="BE75" i="4"/>
  <c r="BE82" i="4"/>
  <c r="BG60" i="4"/>
  <c r="BF60" i="4"/>
  <c r="BE26" i="4"/>
  <c r="BE91" i="4"/>
  <c r="BE57" i="4"/>
  <c r="BE16" i="4"/>
  <c r="BF19" i="4"/>
  <c r="BG19" i="4"/>
  <c r="BD49" i="4"/>
  <c r="BE48" i="4"/>
  <c r="BE33" i="4"/>
  <c r="BE86" i="4"/>
  <c r="BE61" i="4"/>
  <c r="BG41" i="4"/>
  <c r="BF41" i="4"/>
  <c r="BE9" i="4"/>
  <c r="BE34" i="4"/>
  <c r="BE21" i="4"/>
  <c r="BE51" i="4"/>
  <c r="BE32" i="4"/>
  <c r="BD10" i="4"/>
  <c r="BF20" i="4"/>
  <c r="BG20" i="4"/>
  <c r="BE50" i="4"/>
  <c r="BD78" i="4"/>
  <c r="BG35" i="4"/>
  <c r="BF35" i="4"/>
  <c r="BD30" i="4"/>
  <c r="BF63" i="4"/>
  <c r="BG63" i="4"/>
  <c r="BE92" i="4"/>
  <c r="BE18" i="4"/>
  <c r="BD37" i="4"/>
  <c r="BE58" i="4"/>
  <c r="BE74" i="4"/>
  <c r="BD66" i="4"/>
  <c r="BD90" i="4"/>
  <c r="BD85" i="4"/>
  <c r="BF89" i="4"/>
  <c r="BG89" i="4"/>
  <c r="BG52" i="4"/>
  <c r="BF52" i="4"/>
  <c r="BF12" i="4"/>
  <c r="BG12" i="4"/>
  <c r="BE25" i="4"/>
  <c r="BD70" i="4"/>
  <c r="BD80" i="4"/>
  <c r="BE27" i="4"/>
  <c r="BG83" i="4"/>
  <c r="BF83" i="4"/>
  <c r="BE38" i="4"/>
  <c r="BE47" i="4"/>
  <c r="BG71" i="4"/>
  <c r="BF71" i="4"/>
  <c r="BD42" i="4"/>
  <c r="BD44" i="4"/>
  <c r="BD69" i="4"/>
  <c r="BE13" i="4"/>
  <c r="BE14" i="4"/>
  <c r="BE81" i="4"/>
  <c r="BE59" i="4"/>
  <c r="BE31" i="4"/>
  <c r="BE45" i="4"/>
  <c r="BD87" i="4"/>
  <c r="BE65" i="4"/>
  <c r="BE93" i="4"/>
  <c r="BD54" i="4"/>
  <c r="BG11" i="4"/>
  <c r="BF11" i="4"/>
  <c r="BD73" i="4"/>
  <c r="BE46" i="4"/>
  <c r="BE8" i="4"/>
  <c r="BE6" i="4"/>
  <c r="BG23" i="2" l="1"/>
  <c r="BE23" i="4"/>
  <c r="BE22" i="4"/>
  <c r="BG56" i="2"/>
  <c r="BE56" i="4"/>
  <c r="BH55" i="2"/>
  <c r="BG55" i="4" s="1"/>
  <c r="BF55" i="4"/>
  <c r="BF79" i="4"/>
  <c r="BH79" i="2"/>
  <c r="BG79" i="4" s="1"/>
  <c r="BE68" i="4"/>
  <c r="BG40" i="2"/>
  <c r="BE40" i="4"/>
  <c r="BH64" i="2"/>
  <c r="BG64" i="4" s="1"/>
  <c r="BF64" i="4"/>
  <c r="BF15" i="4"/>
  <c r="BH15" i="2"/>
  <c r="BG15" i="4" s="1"/>
  <c r="BF67" i="4"/>
  <c r="BG88" i="2"/>
  <c r="BE88" i="4"/>
  <c r="BG59" i="4"/>
  <c r="BF59" i="4"/>
  <c r="BE80" i="4"/>
  <c r="BG93" i="4"/>
  <c r="BF93" i="4"/>
  <c r="BE42" i="4"/>
  <c r="BF74" i="4"/>
  <c r="BG74" i="4"/>
  <c r="BF68" i="4"/>
  <c r="BG68" i="4"/>
  <c r="BG9" i="4"/>
  <c r="BF9" i="4"/>
  <c r="BG48" i="4"/>
  <c r="BF48" i="4"/>
  <c r="BF26" i="4"/>
  <c r="BG26" i="4"/>
  <c r="BG58" i="4"/>
  <c r="BF58" i="4"/>
  <c r="BE10" i="4"/>
  <c r="BE49" i="4"/>
  <c r="BF8" i="4"/>
  <c r="BG8" i="4"/>
  <c r="BG81" i="4"/>
  <c r="BF81" i="4"/>
  <c r="BE70" i="4"/>
  <c r="BE30" i="4"/>
  <c r="BG46" i="4"/>
  <c r="BF46" i="4"/>
  <c r="BG47" i="4"/>
  <c r="BF47" i="4"/>
  <c r="BE85" i="4"/>
  <c r="BE37" i="4"/>
  <c r="BG82" i="4"/>
  <c r="BF82" i="4"/>
  <c r="BF65" i="4"/>
  <c r="BG65" i="4"/>
  <c r="BF14" i="4"/>
  <c r="BG14" i="4"/>
  <c r="BG25" i="4"/>
  <c r="BF25" i="4"/>
  <c r="BF32" i="4"/>
  <c r="BG32" i="4"/>
  <c r="BF61" i="4"/>
  <c r="BG61" i="4"/>
  <c r="BE73" i="4"/>
  <c r="BF18" i="4"/>
  <c r="BG18" i="4"/>
  <c r="BF51" i="4"/>
  <c r="BG51" i="4"/>
  <c r="BE87" i="4"/>
  <c r="BF13" i="4"/>
  <c r="BG13" i="4"/>
  <c r="BG38" i="4"/>
  <c r="BF38" i="4"/>
  <c r="BE90" i="4"/>
  <c r="BE78" i="4"/>
  <c r="BF86" i="4"/>
  <c r="BG86" i="4"/>
  <c r="BG16" i="4"/>
  <c r="BF16" i="4"/>
  <c r="BF75" i="4"/>
  <c r="BG75" i="4"/>
  <c r="BF22" i="4"/>
  <c r="BG22" i="4"/>
  <c r="BG45" i="4"/>
  <c r="BF45" i="4"/>
  <c r="BE69" i="4"/>
  <c r="BG50" i="4"/>
  <c r="BF50" i="4"/>
  <c r="BG21" i="4"/>
  <c r="BF21" i="4"/>
  <c r="BG33" i="4"/>
  <c r="BF33" i="4"/>
  <c r="BG57" i="4"/>
  <c r="BF57" i="4"/>
  <c r="BG62" i="4"/>
  <c r="BF62" i="4"/>
  <c r="BE44" i="4"/>
  <c r="BF27" i="4"/>
  <c r="BG27" i="4"/>
  <c r="BF34" i="4"/>
  <c r="BG34" i="4"/>
  <c r="BF91" i="4"/>
  <c r="BG91" i="4"/>
  <c r="BE54" i="4"/>
  <c r="BF31" i="4"/>
  <c r="BG31" i="4"/>
  <c r="BE66" i="4"/>
  <c r="BF92" i="4"/>
  <c r="BG92" i="4"/>
  <c r="BG6" i="4"/>
  <c r="BF6" i="4"/>
  <c r="BH88" i="2" l="1"/>
  <c r="BG88" i="4" s="1"/>
  <c r="BF88" i="4"/>
  <c r="BH56" i="2"/>
  <c r="BG56" i="4" s="1"/>
  <c r="BF56" i="4"/>
  <c r="BH40" i="2"/>
  <c r="BG40" i="4" s="1"/>
  <c r="BF40" i="4"/>
  <c r="BH23" i="2"/>
  <c r="BG23" i="4" s="1"/>
  <c r="BF23" i="4"/>
  <c r="BG10" i="4"/>
  <c r="BF10" i="4"/>
  <c r="BF66" i="4"/>
  <c r="BG66" i="4"/>
  <c r="BG78" i="4"/>
  <c r="BF78" i="4"/>
  <c r="BG42" i="4"/>
  <c r="BF42" i="4"/>
  <c r="BG69" i="4"/>
  <c r="BF69" i="4"/>
  <c r="BG90" i="4"/>
  <c r="BF90" i="4"/>
  <c r="BG70" i="4"/>
  <c r="BF70" i="4"/>
  <c r="BF87" i="4"/>
  <c r="BG87" i="4"/>
  <c r="BG49" i="4"/>
  <c r="BF49" i="4"/>
  <c r="BG30" i="4"/>
  <c r="BF30" i="4"/>
  <c r="BF44" i="4"/>
  <c r="BG44" i="4"/>
  <c r="BG73" i="4"/>
  <c r="BF73" i="4"/>
  <c r="BF54" i="4"/>
  <c r="BG54" i="4"/>
  <c r="BG37" i="4"/>
  <c r="BF37" i="4"/>
  <c r="BF80" i="4"/>
  <c r="BG80" i="4"/>
  <c r="BG85" i="4"/>
  <c r="BF85" i="4"/>
</calcChain>
</file>

<file path=xl/sharedStrings.xml><?xml version="1.0" encoding="utf-8"?>
<sst xmlns="http://schemas.openxmlformats.org/spreadsheetml/2006/main" count="1300" uniqueCount="558">
  <si>
    <t>Mnemonic</t>
  </si>
  <si>
    <t xml:space="preserve"> Geography</t>
  </si>
  <si>
    <t xml:space="preserve"> Description</t>
  </si>
  <si>
    <t xml:space="preserve"> Sum of States</t>
  </si>
  <si>
    <t xml:space="preserve"> Employment: Professional; scientific; and technical services; (Ths. #; SA)</t>
  </si>
  <si>
    <t xml:space="preserve"> Employment: Management of companies and enterprises; (Ths. #; SA)</t>
  </si>
  <si>
    <t xml:space="preserve"> Employment: Educational services; (Ths. #; SA)</t>
  </si>
  <si>
    <t xml:space="preserve"> Employment: Fishing; hunting; etc.; (Ths. #; SA)</t>
  </si>
  <si>
    <t>REFHA.SS</t>
  </si>
  <si>
    <t xml:space="preserve"> Employment: Farms; (Ths. #; SA)</t>
  </si>
  <si>
    <t>REFRA.SS</t>
  </si>
  <si>
    <t xml:space="preserve"> Employment: Government; (Ths. #; SA)</t>
  </si>
  <si>
    <t>REGVA.SS</t>
  </si>
  <si>
    <t xml:space="preserve"> Employment: Private household workers; (Ths. #; SA)</t>
  </si>
  <si>
    <t>REPHA.SS</t>
  </si>
  <si>
    <t xml:space="preserve"> Gross domestic product: Professional; scientific; and technical services; (Mil. Ch. 2017 USD)</t>
  </si>
  <si>
    <t xml:space="preserve"> Gross domestic product: Management of companies and enterprises; (Mil. Ch. 2017 USD)</t>
  </si>
  <si>
    <t xml:space="preserve"> Gross domestic product: Educational services; (Mil. Ch. 2017 USD)</t>
  </si>
  <si>
    <t xml:space="preserve"> Gross domestic product: Fishing; hunting; etc.; (Mil. Ch. 2017 USD)</t>
  </si>
  <si>
    <t>RGDPFH$A.SS</t>
  </si>
  <si>
    <t xml:space="preserve"> Gross domestic product: Farms; (Mil. Ch. 2017 USD)</t>
  </si>
  <si>
    <t>RGDPFR$A.SS</t>
  </si>
  <si>
    <t xml:space="preserve"> Gross domestic product: Government; (Mil. Ch. 2017 USD)</t>
  </si>
  <si>
    <t>RGDPGV$A.SS</t>
  </si>
  <si>
    <t xml:space="preserve"> Gross domestic product: Private household workers; (Mil. Ch. 2017 USD)</t>
  </si>
  <si>
    <t>RGDPPH$A.SS</t>
  </si>
  <si>
    <t xml:space="preserve"> Professional; scientific; and technical services</t>
  </si>
  <si>
    <t xml:space="preserve"> Management of companies and enterprises</t>
  </si>
  <si>
    <t xml:space="preserve"> Educational services</t>
  </si>
  <si>
    <t xml:space="preserve"> Fishing; hunting; etc.</t>
  </si>
  <si>
    <t xml:space="preserve"> Farms</t>
  </si>
  <si>
    <t xml:space="preserve"> Government</t>
  </si>
  <si>
    <t xml:space="preserve"> Private household workers</t>
  </si>
  <si>
    <t>EMP</t>
  </si>
  <si>
    <t>311</t>
  </si>
  <si>
    <t xml:space="preserve"> Food manufacturing</t>
  </si>
  <si>
    <t xml:space="preserve"> Employment: Food manufacturing; (Ths. #; SA)</t>
  </si>
  <si>
    <t>RE311A.SS</t>
  </si>
  <si>
    <t>312</t>
  </si>
  <si>
    <t xml:space="preserve"> Beverage and tobacco product manufacturing</t>
  </si>
  <si>
    <t xml:space="preserve"> Employment: Beverage and tobacco product manufacturing; (Ths. #; SA)</t>
  </si>
  <si>
    <t>RE312A.SS</t>
  </si>
  <si>
    <t>313</t>
  </si>
  <si>
    <t xml:space="preserve"> Textile mills</t>
  </si>
  <si>
    <t xml:space="preserve"> Employment: Textile mills; (Ths. #; SA)</t>
  </si>
  <si>
    <t>RE313A.SS</t>
  </si>
  <si>
    <t>314</t>
  </si>
  <si>
    <t xml:space="preserve"> Textile product mills</t>
  </si>
  <si>
    <t xml:space="preserve"> Employment: Textile product mills; (Ths. #; SA)</t>
  </si>
  <si>
    <t>RE314A.SS</t>
  </si>
  <si>
    <t>315</t>
  </si>
  <si>
    <t xml:space="preserve"> Apparel manufacturing</t>
  </si>
  <si>
    <t xml:space="preserve"> Employment: Apparel manufacturing; (Ths. #; SA)</t>
  </si>
  <si>
    <t>RE315A.SS</t>
  </si>
  <si>
    <t>316</t>
  </si>
  <si>
    <t xml:space="preserve"> Leather and allied product manufacturing</t>
  </si>
  <si>
    <t xml:space="preserve"> Employment: Leather and allied product manufacturing; (Ths. #; SA)</t>
  </si>
  <si>
    <t>RE316A.SS</t>
  </si>
  <si>
    <t>321</t>
  </si>
  <si>
    <t xml:space="preserve"> Wood product manufacturing</t>
  </si>
  <si>
    <t xml:space="preserve"> Employment: Wood product manufacturing; (Ths. #; SA)</t>
  </si>
  <si>
    <t>RE321A.SS</t>
  </si>
  <si>
    <t>322</t>
  </si>
  <si>
    <t xml:space="preserve"> Paper manufacturing</t>
  </si>
  <si>
    <t xml:space="preserve"> Employment: Paper manufacturing; (Ths. #; SA)</t>
  </si>
  <si>
    <t>RE322A.SS</t>
  </si>
  <si>
    <t>323</t>
  </si>
  <si>
    <t xml:space="preserve"> Printing and related support activities</t>
  </si>
  <si>
    <t xml:space="preserve"> Employment: Printing and related support activities; (Ths. #; SA)</t>
  </si>
  <si>
    <t>RE323A.SS</t>
  </si>
  <si>
    <t>324</t>
  </si>
  <si>
    <t xml:space="preserve"> Petroleum and coal products manufacturing</t>
  </si>
  <si>
    <t xml:space="preserve"> Employment: Petroleum and coal products manufacturing; (Ths. #; SA)</t>
  </si>
  <si>
    <t>RE324A.SS</t>
  </si>
  <si>
    <t>325</t>
  </si>
  <si>
    <t xml:space="preserve"> Chemical manufacturing</t>
  </si>
  <si>
    <t xml:space="preserve"> Employment: Chemical manufacturing; (Ths. #; SA)</t>
  </si>
  <si>
    <t>RE325A.SS</t>
  </si>
  <si>
    <t>326</t>
  </si>
  <si>
    <t xml:space="preserve"> Plastics and rubber products manufacturing</t>
  </si>
  <si>
    <t xml:space="preserve"> Employment: Plastics and rubber products manufacturing; (Ths. #; SA)</t>
  </si>
  <si>
    <t>RE326A.SS</t>
  </si>
  <si>
    <t>327</t>
  </si>
  <si>
    <t xml:space="preserve"> Nonmetallic mineral product manufacturing</t>
  </si>
  <si>
    <t xml:space="preserve"> Employment: Nonmetallic mineral product manufacturing; (Ths. #; SA)</t>
  </si>
  <si>
    <t>RE327A.SS</t>
  </si>
  <si>
    <t>331</t>
  </si>
  <si>
    <t xml:space="preserve"> Primary metal manufacturing</t>
  </si>
  <si>
    <t xml:space="preserve"> Employment: Primary metal manufacturing; (Ths. #; SA)</t>
  </si>
  <si>
    <t>RE331A.SS</t>
  </si>
  <si>
    <t>332</t>
  </si>
  <si>
    <t xml:space="preserve"> Fabricated metal product manufacturing</t>
  </si>
  <si>
    <t xml:space="preserve"> Employment: Fabricated metal product manufacturing; (Ths. #; SA)</t>
  </si>
  <si>
    <t>RE332A.SS</t>
  </si>
  <si>
    <t>333</t>
  </si>
  <si>
    <t xml:space="preserve"> Machinery manufacturing</t>
  </si>
  <si>
    <t xml:space="preserve"> Employment: Machinery manufacturing; (Ths. #; SA)</t>
  </si>
  <si>
    <t>RE333A.SS</t>
  </si>
  <si>
    <t>334</t>
  </si>
  <si>
    <t xml:space="preserve"> Computer and electronic product manufacturing</t>
  </si>
  <si>
    <t xml:space="preserve"> Employment: Computer and electronic product manufacturing; (Ths. #; SA)</t>
  </si>
  <si>
    <t>RE334A.SS</t>
  </si>
  <si>
    <t>335</t>
  </si>
  <si>
    <t xml:space="preserve"> Electrical equipment; appliance; and component manufacturing</t>
  </si>
  <si>
    <t xml:space="preserve"> Employment: Electrical equipment; appliance; and component manufacturing; (Ths. #; SA)</t>
  </si>
  <si>
    <t>RE335A.SS</t>
  </si>
  <si>
    <t>336</t>
  </si>
  <si>
    <t xml:space="preserve"> Transportation equipment manufacturing</t>
  </si>
  <si>
    <t xml:space="preserve"> Employment: Transportation equipment manufacturing; (Ths. #; SA)</t>
  </si>
  <si>
    <t>RE336A.SS</t>
  </si>
  <si>
    <t>337</t>
  </si>
  <si>
    <t xml:space="preserve"> Furniture and related product manufacturing</t>
  </si>
  <si>
    <t xml:space="preserve"> Employment: Furniture and related product manufacturing; (Ths. #; SA)</t>
  </si>
  <si>
    <t>RE337A.SS</t>
  </si>
  <si>
    <t>339</t>
  </si>
  <si>
    <t xml:space="preserve"> Miscellaneous manufacturing</t>
  </si>
  <si>
    <t xml:space="preserve"> Employment: Miscellaneous manufacturing; (Ths. #; SA)</t>
  </si>
  <si>
    <t>RE339A.SS</t>
  </si>
  <si>
    <t>441</t>
  </si>
  <si>
    <t xml:space="preserve"> Motor vehicle and parts dealers</t>
  </si>
  <si>
    <t xml:space="preserve"> Employment: Motor vehicle and parts dealers; (Ths. #; SA)</t>
  </si>
  <si>
    <t>RE441A.SS</t>
  </si>
  <si>
    <t>442</t>
  </si>
  <si>
    <t xml:space="preserve"> Furniture and home furnishings stores</t>
  </si>
  <si>
    <t xml:space="preserve"> Employment: Furniture and home furnishings stores; (Ths. #; SA)</t>
  </si>
  <si>
    <t>RE442A.SS</t>
  </si>
  <si>
    <t>443</t>
  </si>
  <si>
    <t xml:space="preserve"> Electronics and appliance stores</t>
  </si>
  <si>
    <t xml:space="preserve"> Employment: Electronics and appliance stores; (Ths. #; SA)</t>
  </si>
  <si>
    <t>RE443A.SS</t>
  </si>
  <si>
    <t>444</t>
  </si>
  <si>
    <t xml:space="preserve"> Building material and garden equipment and supplies dealers</t>
  </si>
  <si>
    <t xml:space="preserve"> Employment: Building material and garden equipment and supplies dealers; (Ths. #; SA)</t>
  </si>
  <si>
    <t>RE444A.SS</t>
  </si>
  <si>
    <t>445</t>
  </si>
  <si>
    <t xml:space="preserve"> Food and beverage stores</t>
  </si>
  <si>
    <t xml:space="preserve"> Employment: Food and beverage stores; (Ths. #; SA)</t>
  </si>
  <si>
    <t>RE445A.SS</t>
  </si>
  <si>
    <t>446</t>
  </si>
  <si>
    <t xml:space="preserve"> Health and personal care stores</t>
  </si>
  <si>
    <t xml:space="preserve"> Employment: Health and personal care stores; (Ths. #; SA)</t>
  </si>
  <si>
    <t>RE446A.SS</t>
  </si>
  <si>
    <t>447</t>
  </si>
  <si>
    <t xml:space="preserve"> Gasoline stations</t>
  </si>
  <si>
    <t xml:space="preserve"> Employment: Gasoline stations; (Ths. #; SA)</t>
  </si>
  <si>
    <t>RE447A.SS</t>
  </si>
  <si>
    <t>448</t>
  </si>
  <si>
    <t xml:space="preserve"> Clothing and clothing accessories stores</t>
  </si>
  <si>
    <t xml:space="preserve"> Employment: Clothing and clothing accessories stores; (Ths. #; SA)</t>
  </si>
  <si>
    <t>RE448A.SS</t>
  </si>
  <si>
    <t>451</t>
  </si>
  <si>
    <t xml:space="preserve"> Sporting goods; hobby; book; and music stores</t>
  </si>
  <si>
    <t xml:space="preserve"> Employment: Sporting goods; hobby; book; and music stores; (Ths. #; SA)</t>
  </si>
  <si>
    <t>RE451A.SS</t>
  </si>
  <si>
    <t>452</t>
  </si>
  <si>
    <t xml:space="preserve"> General merchandise stores</t>
  </si>
  <si>
    <t xml:space="preserve"> Employment: General merchandise stores; (Ths. #; SA)</t>
  </si>
  <si>
    <t>RE452A.SS</t>
  </si>
  <si>
    <t>453</t>
  </si>
  <si>
    <t xml:space="preserve"> Miscellaneous store retailers</t>
  </si>
  <si>
    <t xml:space="preserve"> Employment: Miscellaneous store retailers; (Ths. #; SA)</t>
  </si>
  <si>
    <t>RE453A.SS</t>
  </si>
  <si>
    <t>454</t>
  </si>
  <si>
    <t xml:space="preserve"> Nonstore retailers</t>
  </si>
  <si>
    <t xml:space="preserve"> Employment: Nonstore retailers; (Ths. #; SA)</t>
  </si>
  <si>
    <t>RE454A.SS</t>
  </si>
  <si>
    <t>481</t>
  </si>
  <si>
    <t xml:space="preserve"> Air transportation</t>
  </si>
  <si>
    <t xml:space="preserve"> Employment: Air transportation; (Ths. #; SA)</t>
  </si>
  <si>
    <t>RE481A.SS</t>
  </si>
  <si>
    <t>482</t>
  </si>
  <si>
    <t xml:space="preserve"> Rail transportation</t>
  </si>
  <si>
    <t xml:space="preserve"> Employment: Rail transportation; (Ths. #; SA)</t>
  </si>
  <si>
    <t>RE482A.SS</t>
  </si>
  <si>
    <t>483</t>
  </si>
  <si>
    <t xml:space="preserve"> Water transportation</t>
  </si>
  <si>
    <t xml:space="preserve"> Employment: Water transportation; (Ths. #; SA)</t>
  </si>
  <si>
    <t>RE483A.SS</t>
  </si>
  <si>
    <t>484</t>
  </si>
  <si>
    <t xml:space="preserve"> Truck transportation</t>
  </si>
  <si>
    <t xml:space="preserve"> Employment: Truck transportation; (Ths. #; SA)</t>
  </si>
  <si>
    <t>RE484A.SS</t>
  </si>
  <si>
    <t>485</t>
  </si>
  <si>
    <t xml:space="preserve"> Transit and ground passenger transportation</t>
  </si>
  <si>
    <t xml:space="preserve"> Employment: Transit and ground passenger transportation; (Ths. #; SA)</t>
  </si>
  <si>
    <t>RE485A.SS</t>
  </si>
  <si>
    <t>486</t>
  </si>
  <si>
    <t xml:space="preserve"> Pipeline transportation</t>
  </si>
  <si>
    <t xml:space="preserve"> Employment: Pipeline transportation; (Ths. #; SA)</t>
  </si>
  <si>
    <t>RE486A.SS</t>
  </si>
  <si>
    <t>487</t>
  </si>
  <si>
    <t xml:space="preserve"> Scenic and sightseeing transportation</t>
  </si>
  <si>
    <t xml:space="preserve"> Employment: Scenic and sightseeing transportation; (Ths. #; SA)</t>
  </si>
  <si>
    <t>RE487A.SS</t>
  </si>
  <si>
    <t>488</t>
  </si>
  <si>
    <t xml:space="preserve"> Support activities for transportation</t>
  </si>
  <si>
    <t xml:space="preserve"> Employment: Support activities for transportation; (Ths. #; SA)</t>
  </si>
  <si>
    <t>RE488A.SS</t>
  </si>
  <si>
    <t>492</t>
  </si>
  <si>
    <t xml:space="preserve"> Couriers and messengers</t>
  </si>
  <si>
    <t xml:space="preserve"> Employment: Couriers and messengers; (Ths. #; SA)</t>
  </si>
  <si>
    <t>RE492A.SS</t>
  </si>
  <si>
    <t>493</t>
  </si>
  <si>
    <t xml:space="preserve"> Warehousing and storage</t>
  </si>
  <si>
    <t xml:space="preserve"> Employment: Warehousing and storage; (Ths. #; SA)</t>
  </si>
  <si>
    <t>RE493A.SS</t>
  </si>
  <si>
    <t>GDP</t>
  </si>
  <si>
    <t xml:space="preserve"> Gross domestic product: Food manufacturing; (Mil. Ch. 2017 USD)</t>
  </si>
  <si>
    <t>RGDP311$A.SS</t>
  </si>
  <si>
    <t xml:space="preserve"> Gross domestic product: Beverage and tobacco product manufacturing; (Mil. Ch. 2017 USD)</t>
  </si>
  <si>
    <t>RGDP312$A.SS</t>
  </si>
  <si>
    <t xml:space="preserve"> Gross domestic product: Textile mills; (Mil. Ch. 2017 USD)</t>
  </si>
  <si>
    <t>RGDP313$A.SS</t>
  </si>
  <si>
    <t xml:space="preserve"> Gross domestic product: Textile product mills; (Mil. Ch. 2017 USD)</t>
  </si>
  <si>
    <t>RGDP314$A.SS</t>
  </si>
  <si>
    <t xml:space="preserve"> Gross domestic product: Apparel manufacturing; (Mil. Ch. 2017 USD)</t>
  </si>
  <si>
    <t>RGDP315$A.SS</t>
  </si>
  <si>
    <t xml:space="preserve"> Gross domestic product: Leather and allied product manufacturing; (Mil. Ch. 2017 USD)</t>
  </si>
  <si>
    <t>RGDP316$A.SS</t>
  </si>
  <si>
    <t xml:space="preserve"> Gross domestic product: Wood product manufacturing; (Mil. Ch. 2017 USD)</t>
  </si>
  <si>
    <t>RGDP321$A.SS</t>
  </si>
  <si>
    <t xml:space="preserve"> Gross domestic product: Paper manufacturing; (Mil. Ch. 2017 USD)</t>
  </si>
  <si>
    <t>RGDP322$A.SS</t>
  </si>
  <si>
    <t xml:space="preserve"> Gross domestic product: Printing and related support activities; (Mil. Ch. 2017 USD)</t>
  </si>
  <si>
    <t>RGDP323$A.SS</t>
  </si>
  <si>
    <t xml:space="preserve"> Gross domestic product: Petroleum and coal products manufacturing; (Mil. Ch. 2017 USD)</t>
  </si>
  <si>
    <t>RGDP324$A.SS</t>
  </si>
  <si>
    <t xml:space="preserve"> Gross domestic product: Chemical manufacturing; (Mil. Ch. 2017 USD)</t>
  </si>
  <si>
    <t>RGDP325$A.SS</t>
  </si>
  <si>
    <t xml:space="preserve"> Gross domestic product: Plastics and rubber products manufacturing; (Mil. Ch. 2017 USD)</t>
  </si>
  <si>
    <t>RGDP326$A.SS</t>
  </si>
  <si>
    <t xml:space="preserve"> Gross domestic product: Nonmetallic mineral product manufacturing; (Mil. Ch. 2017 USD)</t>
  </si>
  <si>
    <t>RGDP327$A.SS</t>
  </si>
  <si>
    <t xml:space="preserve"> Gross domestic product: Primary metal manufacturing; (Mil. Ch. 2017 USD)</t>
  </si>
  <si>
    <t>RGDP331$A.SS</t>
  </si>
  <si>
    <t xml:space="preserve"> Gross domestic product: Fabricated metal product manufacturing; (Mil. Ch. 2017 USD)</t>
  </si>
  <si>
    <t>RGDP332$A.SS</t>
  </si>
  <si>
    <t xml:space="preserve"> Gross domestic product: Machinery manufacturing; (Mil. Ch. 2017 USD)</t>
  </si>
  <si>
    <t>RGDP333$A.SS</t>
  </si>
  <si>
    <t xml:space="preserve"> Gross domestic product: Computer and electronic product manufacturing; (Mil. Ch. 2017 USD)</t>
  </si>
  <si>
    <t>RGDP334$A.SS</t>
  </si>
  <si>
    <t xml:space="preserve"> Gross domestic product: Electrical equipment; appliance; and component manufacturing; (Mil. Ch. 2017 USD)</t>
  </si>
  <si>
    <t>RGDP335$A.SS</t>
  </si>
  <si>
    <t xml:space="preserve"> Gross domestic product: Transportation equipment manufacturing; (Mil. Ch. 2017 USD)</t>
  </si>
  <si>
    <t>RGDP336$A.SS</t>
  </si>
  <si>
    <t xml:space="preserve"> Gross domestic product: Furniture and related product manufacturing; (Mil. Ch. 2017 USD)</t>
  </si>
  <si>
    <t>RGDP337$A.SS</t>
  </si>
  <si>
    <t xml:space="preserve"> Gross domestic product: Miscellaneous manufacturing; (Mil. Ch. 2017 USD)</t>
  </si>
  <si>
    <t>RGDP339$A.SS</t>
  </si>
  <si>
    <t xml:space="preserve"> Gross domestic product: Motor vehicle and parts dealers; (Mil. Ch. 2017 USD)</t>
  </si>
  <si>
    <t>RGDP441$A.SS</t>
  </si>
  <si>
    <t xml:space="preserve"> Gross domestic product: Furniture and home furnishings stores; (Mil. Ch. 2017 USD)</t>
  </si>
  <si>
    <t>RGDP442$A.SS</t>
  </si>
  <si>
    <t xml:space="preserve"> Gross domestic product: Electronics and appliance stores; (Mil. Ch. 2017 USD)</t>
  </si>
  <si>
    <t>RGDP443$A.SS</t>
  </si>
  <si>
    <t xml:space="preserve"> Gross domestic product: Building material and garden equipment and supplies dealers; (Mil. Ch. 2017 USD)</t>
  </si>
  <si>
    <t>RGDP444$A.SS</t>
  </si>
  <si>
    <t xml:space="preserve"> Gross domestic product: Food and beverage stores; (Mil. Ch. 2017 USD)</t>
  </si>
  <si>
    <t>RGDP445$A.SS</t>
  </si>
  <si>
    <t xml:space="preserve"> Gross domestic product: Health and personal care stores; (Mil. Ch. 2017 USD)</t>
  </si>
  <si>
    <t>RGDP446$A.SS</t>
  </si>
  <si>
    <t xml:space="preserve"> Gross domestic product: Gasoline stations; (Mil. Ch. 2017 USD)</t>
  </si>
  <si>
    <t>RGDP447$A.SS</t>
  </si>
  <si>
    <t xml:space="preserve"> Gross domestic product: Clothing and clothing accessories stores; (Mil. Ch. 2017 USD)</t>
  </si>
  <si>
    <t>RGDP448$A.SS</t>
  </si>
  <si>
    <t xml:space="preserve"> Gross domestic product: Sporting goods; hobby; book; and music stores; (Mil. Ch. 2017 USD)</t>
  </si>
  <si>
    <t>RGDP451$A.SS</t>
  </si>
  <si>
    <t xml:space="preserve"> Gross domestic product: General merchandise stores; (Mil. Ch. 2017 USD)</t>
  </si>
  <si>
    <t>RGDP452$A.SS</t>
  </si>
  <si>
    <t xml:space="preserve"> Gross domestic product: Miscellaneous store retailers; (Mil. Ch. 2017 USD)</t>
  </si>
  <si>
    <t>RGDP453$A.SS</t>
  </si>
  <si>
    <t xml:space="preserve"> Gross domestic product: Nonstore retailers; (Mil. Ch. 2017 USD)</t>
  </si>
  <si>
    <t>RGDP454$A.SS</t>
  </si>
  <si>
    <t xml:space="preserve"> Gross domestic product: Air transportation; (Mil. Ch. 2017 USD)</t>
  </si>
  <si>
    <t>RGDP481$A.SS</t>
  </si>
  <si>
    <t xml:space="preserve"> Gross domestic product: Rail transportation; (Mil. Ch. 2017 USD)</t>
  </si>
  <si>
    <t>RGDP482$A.SS</t>
  </si>
  <si>
    <t xml:space="preserve"> Gross domestic product: Water transportation; (Mil. Ch. 2017 USD)</t>
  </si>
  <si>
    <t>RGDP483$A.SS</t>
  </si>
  <si>
    <t xml:space="preserve"> Gross domestic product: Truck transportation; (Mil. Ch. 2017 USD)</t>
  </si>
  <si>
    <t>RGDP484$A.SS</t>
  </si>
  <si>
    <t xml:space="preserve"> Gross domestic product: Transit and ground passenger transportation; (Mil. Ch. 2017 USD)</t>
  </si>
  <si>
    <t>RGDP485$A.SS</t>
  </si>
  <si>
    <t xml:space="preserve"> Gross domestic product: Pipeline transportation; (Mil. Ch. 2017 USD)</t>
  </si>
  <si>
    <t>RGDP486$A.SS</t>
  </si>
  <si>
    <t xml:space="preserve"> Gross domestic product: Scenic and sightseeing transportation; (Mil. Ch. 2017 USD)</t>
  </si>
  <si>
    <t>RGDP487$A.SS</t>
  </si>
  <si>
    <t xml:space="preserve"> Gross domestic product: Support activities for transportation; (Mil. Ch. 2017 USD)</t>
  </si>
  <si>
    <t>RGDP488$A.SS</t>
  </si>
  <si>
    <t xml:space="preserve"> Gross domestic product: Couriers and messengers; (Mil. Ch. 2017 USD)</t>
  </si>
  <si>
    <t>RGDP492$A.SS</t>
  </si>
  <si>
    <t xml:space="preserve"> Gross domestic product: Warehousing and storage; (Mil. Ch. 2017 USD)</t>
  </si>
  <si>
    <t>RGDP493$A.SS</t>
  </si>
  <si>
    <t>FH</t>
  </si>
  <si>
    <t>FR</t>
  </si>
  <si>
    <t>GV</t>
  </si>
  <si>
    <t>PH</t>
  </si>
  <si>
    <t>Units</t>
  </si>
  <si>
    <t>Millions</t>
  </si>
  <si>
    <t>(chained 2017)</t>
  </si>
  <si>
    <t>Thousands</t>
  </si>
  <si>
    <t>Ratio:</t>
  </si>
  <si>
    <t>Thousands GDP / worker</t>
  </si>
  <si>
    <t>Scalar Factor:  Indexes individual series to a base reference year to create a scalar multiplier.  Manually done relative to 2022 values, hence '1.0' in year</t>
  </si>
  <si>
    <t>ForecastType</t>
  </si>
  <si>
    <t>MoodysSector</t>
  </si>
  <si>
    <t>CMAP Sector</t>
  </si>
  <si>
    <t>CleanDesc</t>
  </si>
  <si>
    <t>RE211A.SS</t>
  </si>
  <si>
    <t>211</t>
  </si>
  <si>
    <t xml:space="preserve"> Oil and gas extraction</t>
  </si>
  <si>
    <t xml:space="preserve"> Employment: Oil and gas extraction; (Ths. #; SA)</t>
  </si>
  <si>
    <t>RE212A.SS</t>
  </si>
  <si>
    <t>212</t>
  </si>
  <si>
    <t xml:space="preserve"> Mining (except oil and gas)</t>
  </si>
  <si>
    <t xml:space="preserve"> Employment: Mining (except oil and gas); (Ths. #; SA)</t>
  </si>
  <si>
    <t>RE213A.SS</t>
  </si>
  <si>
    <t>213</t>
  </si>
  <si>
    <t xml:space="preserve"> Support activities for mining</t>
  </si>
  <si>
    <t xml:space="preserve"> Employment: Support activities for mining; (Ths. #; SA)</t>
  </si>
  <si>
    <t>RE236A.SS</t>
  </si>
  <si>
    <t>236</t>
  </si>
  <si>
    <t xml:space="preserve"> Construction of buildings</t>
  </si>
  <si>
    <t xml:space="preserve"> Employment: Construction of buildings; (Ths. #; SA)</t>
  </si>
  <si>
    <t>RE237A.SS</t>
  </si>
  <si>
    <t>237</t>
  </si>
  <si>
    <t xml:space="preserve"> Heavy and civil engineering construction</t>
  </si>
  <si>
    <t xml:space="preserve"> Employment: Heavy and civil engineering construction; (Ths. #; SA)</t>
  </si>
  <si>
    <t>RE238A.SS</t>
  </si>
  <si>
    <t>238</t>
  </si>
  <si>
    <t xml:space="preserve"> Specialty trade contractors</t>
  </si>
  <si>
    <t xml:space="preserve"> Employment: Specialty trade contractors; (Ths. #; SA)</t>
  </si>
  <si>
    <t>RE423A.SS</t>
  </si>
  <si>
    <t>423</t>
  </si>
  <si>
    <t xml:space="preserve"> Merchant wholesalers; durable goods</t>
  </si>
  <si>
    <t xml:space="preserve"> Employment: Merchant wholesalers; durable goods; (Ths. #; SA)</t>
  </si>
  <si>
    <t>RE424A.SS</t>
  </si>
  <si>
    <t>424</t>
  </si>
  <si>
    <t xml:space="preserve"> Merchant wholesalers; nondurable goods</t>
  </si>
  <si>
    <t xml:space="preserve"> Employment: Merchant wholesalers; nondurable goods; (Ths. #; SA)</t>
  </si>
  <si>
    <t>RE425A.SS</t>
  </si>
  <si>
    <t>425</t>
  </si>
  <si>
    <t xml:space="preserve"> Wholesale electronic markets and agents and brokers</t>
  </si>
  <si>
    <t xml:space="preserve"> Employment: Wholesale electronic markets and agents and brokers; (Ths. #; SA)</t>
  </si>
  <si>
    <t>RE511A.SS</t>
  </si>
  <si>
    <t>511</t>
  </si>
  <si>
    <t xml:space="preserve"> Publishing industries (except internet)</t>
  </si>
  <si>
    <t xml:space="preserve"> Employment: Publishing industries (except internet); (Ths. #; SA)</t>
  </si>
  <si>
    <t>RE512A.SS</t>
  </si>
  <si>
    <t>512</t>
  </si>
  <si>
    <t xml:space="preserve"> Motion picture and sound recording industries</t>
  </si>
  <si>
    <t xml:space="preserve"> Employment: Motion picture and sound recording industries; (Ths. #; SA)</t>
  </si>
  <si>
    <t>RE515A.SS</t>
  </si>
  <si>
    <t>515</t>
  </si>
  <si>
    <t xml:space="preserve"> Broadcasting (except internet)</t>
  </si>
  <si>
    <t xml:space="preserve"> Employment: Broadcasting (except internet); (Ths. #; SA)</t>
  </si>
  <si>
    <t>RE517A.SS</t>
  </si>
  <si>
    <t>517</t>
  </si>
  <si>
    <t xml:space="preserve"> Telecommunications</t>
  </si>
  <si>
    <t xml:space="preserve"> Employment: Telecommunications; (Ths. #; SA)</t>
  </si>
  <si>
    <t>RE518A.SS</t>
  </si>
  <si>
    <t>518</t>
  </si>
  <si>
    <t xml:space="preserve"> Data processing; hosting and related services</t>
  </si>
  <si>
    <t xml:space="preserve"> Employment: Data processing; hosting and related services; (Ths. #; SA)</t>
  </si>
  <si>
    <t>RE519A.SS</t>
  </si>
  <si>
    <t>519</t>
  </si>
  <si>
    <t xml:space="preserve"> Other information services</t>
  </si>
  <si>
    <t xml:space="preserve"> Employment: Other information services; (Ths. #; SA)</t>
  </si>
  <si>
    <t>RE521A.SS</t>
  </si>
  <si>
    <t>521</t>
  </si>
  <si>
    <t xml:space="preserve"> Monetary authorities-central bank</t>
  </si>
  <si>
    <t xml:space="preserve"> Employment: Monetary authorities-central bank; (Ths. #; SA)</t>
  </si>
  <si>
    <t>RE522A.SS</t>
  </si>
  <si>
    <t>522</t>
  </si>
  <si>
    <t xml:space="preserve"> Credit intermediation and related activities</t>
  </si>
  <si>
    <t xml:space="preserve"> Employment: Credit intermediation and related activities; (Ths. #; SA)</t>
  </si>
  <si>
    <t>RE523A.SS</t>
  </si>
  <si>
    <t>523</t>
  </si>
  <si>
    <t xml:space="preserve"> Securities; commodity contracts; and other financial investments and related activities</t>
  </si>
  <si>
    <t xml:space="preserve"> Employment: Securities; commodity contracts; and other financial investments and related activities; (Ths. #; SA)</t>
  </si>
  <si>
    <t>RE524A.SS</t>
  </si>
  <si>
    <t>524</t>
  </si>
  <si>
    <t xml:space="preserve"> Insurance carriers and related activities</t>
  </si>
  <si>
    <t xml:space="preserve"> Employment: Insurance carriers and related activities; (Ths. #; SA)</t>
  </si>
  <si>
    <t>RE525A.SS</t>
  </si>
  <si>
    <t>525</t>
  </si>
  <si>
    <t xml:space="preserve"> Funds; trusts; and other financial vehicles</t>
  </si>
  <si>
    <t xml:space="preserve"> Employment: Funds; trusts; and other financial vehicles; (Ths. #; SA)</t>
  </si>
  <si>
    <t>RE531A.SS</t>
  </si>
  <si>
    <t>531</t>
  </si>
  <si>
    <t xml:space="preserve"> Real estate</t>
  </si>
  <si>
    <t xml:space="preserve"> Employment: Real estate; (Ths. #; SA)</t>
  </si>
  <si>
    <t>RE532A.SS</t>
  </si>
  <si>
    <t>532</t>
  </si>
  <si>
    <t xml:space="preserve"> Rental and leasing services</t>
  </si>
  <si>
    <t xml:space="preserve"> Employment: Rental and leasing services; (Ths. #; SA)</t>
  </si>
  <si>
    <t>RE533A.SS</t>
  </si>
  <si>
    <t>533</t>
  </si>
  <si>
    <t xml:space="preserve"> Lessors of nonfinancial intangible assets (except copyrighted works)</t>
  </si>
  <si>
    <t xml:space="preserve"> Employment: Lessors of nonfinancial intangible assets (except copyrighted works); (Ths. #; SA)</t>
  </si>
  <si>
    <t>RE541A.SS</t>
  </si>
  <si>
    <t>541</t>
  </si>
  <si>
    <t>RE551A.SS</t>
  </si>
  <si>
    <t>551</t>
  </si>
  <si>
    <t>RE561A.SS</t>
  </si>
  <si>
    <t>561</t>
  </si>
  <si>
    <t xml:space="preserve"> Administrative and support services</t>
  </si>
  <si>
    <t xml:space="preserve"> Employment: Administrative and support services; (Ths. #; SA)</t>
  </si>
  <si>
    <t>RE562A.SS</t>
  </si>
  <si>
    <t>562</t>
  </si>
  <si>
    <t xml:space="preserve"> Waste management and remediation services</t>
  </si>
  <si>
    <t xml:space="preserve"> Employment: Waste management and remediation services; (Ths. #; SA)</t>
  </si>
  <si>
    <t>RE611A.SS</t>
  </si>
  <si>
    <t>611</t>
  </si>
  <si>
    <t>RE621A.SS</t>
  </si>
  <si>
    <t>621</t>
  </si>
  <si>
    <t xml:space="preserve"> Ambulatory health care services</t>
  </si>
  <si>
    <t xml:space="preserve"> Employment: Ambulatory health care services; (Ths. #; SA)</t>
  </si>
  <si>
    <t>RE622A.SS</t>
  </si>
  <si>
    <t>622</t>
  </si>
  <si>
    <t xml:space="preserve"> Hospitals</t>
  </si>
  <si>
    <t xml:space="preserve"> Employment: Hospitals; (Ths. #; SA)</t>
  </si>
  <si>
    <t>RE623A.SS</t>
  </si>
  <si>
    <t>623</t>
  </si>
  <si>
    <t xml:space="preserve"> Nursing and residential care facilities</t>
  </si>
  <si>
    <t xml:space="preserve"> Employment: Nursing and residential care facilities; (Ths. #; SA)</t>
  </si>
  <si>
    <t>RE624A.SS</t>
  </si>
  <si>
    <t>624</t>
  </si>
  <si>
    <t xml:space="preserve"> Social assistance</t>
  </si>
  <si>
    <t xml:space="preserve"> Employment: Social assistance; (Ths. #; SA)</t>
  </si>
  <si>
    <t>RE711A.SS</t>
  </si>
  <si>
    <t>711</t>
  </si>
  <si>
    <t xml:space="preserve"> Performing arts; spectator sports; and related industries</t>
  </si>
  <si>
    <t xml:space="preserve"> Employment: Performing arts; spectator sports; and related industries; (Ths. #; SA)</t>
  </si>
  <si>
    <t>RE712A.SS</t>
  </si>
  <si>
    <t>712</t>
  </si>
  <si>
    <t xml:space="preserve"> Museums; historical sites; and similar institutions</t>
  </si>
  <si>
    <t xml:space="preserve"> Employment: Museums; historical sites; and similar institutions; (Ths. #; SA)</t>
  </si>
  <si>
    <t>RE713A.SS</t>
  </si>
  <si>
    <t>713</t>
  </si>
  <si>
    <t xml:space="preserve"> Amusement; gambling; and recreation industries</t>
  </si>
  <si>
    <t xml:space="preserve"> Employment: Amusement; gambling; and recreation industries; (Ths. #; SA)</t>
  </si>
  <si>
    <t>RE721A.SS</t>
  </si>
  <si>
    <t>721</t>
  </si>
  <si>
    <t xml:space="preserve"> Accommodation</t>
  </si>
  <si>
    <t xml:space="preserve"> Employment: Accommodation; (Ths. #; SA)</t>
  </si>
  <si>
    <t>RE722A.SS</t>
  </si>
  <si>
    <t>722</t>
  </si>
  <si>
    <t xml:space="preserve"> Food services and drinking places</t>
  </si>
  <si>
    <t xml:space="preserve"> Employment: Food services and drinking places; (Ths. #; SA)</t>
  </si>
  <si>
    <t>RE811A.SS</t>
  </si>
  <si>
    <t>811</t>
  </si>
  <si>
    <t xml:space="preserve"> Repair and maintenance</t>
  </si>
  <si>
    <t xml:space="preserve"> Employment: Repair and maintenance; (Ths. #; SA)</t>
  </si>
  <si>
    <t>RE812A.SS</t>
  </si>
  <si>
    <t>812</t>
  </si>
  <si>
    <t xml:space="preserve"> Personal and laundry services</t>
  </si>
  <si>
    <t xml:space="preserve"> Employment: Personal and laundry services; (Ths. #; SA)</t>
  </si>
  <si>
    <t>RE813A.SS</t>
  </si>
  <si>
    <t>813</t>
  </si>
  <si>
    <t xml:space="preserve"> Religious; grantmaking; civic; professional; and similar organizations</t>
  </si>
  <si>
    <t xml:space="preserve"> Employment: Religious; grantmaking; civic; professional; and similar organizations; (Ths. #; SA)</t>
  </si>
  <si>
    <t>RGDP211$A.SS</t>
  </si>
  <si>
    <t xml:space="preserve"> Gross domestic product: Oil and gas extraction; (Mil. Ch. 2017 USD)</t>
  </si>
  <si>
    <t>RGDP212$A.SS</t>
  </si>
  <si>
    <t xml:space="preserve"> Gross domestic product: Mining (except oil and gas); (Mil. Ch. 2017 USD)</t>
  </si>
  <si>
    <t>RGDP213$A.SS</t>
  </si>
  <si>
    <t xml:space="preserve"> Gross domestic product: Support activities for mining; (Mil. Ch. 2017 USD)</t>
  </si>
  <si>
    <t>RGDP236$A.SS</t>
  </si>
  <si>
    <t xml:space="preserve"> Gross domestic product: Construction of buildings; (Mil. Ch. 2017 USD)</t>
  </si>
  <si>
    <t>RGDP237$A.SS</t>
  </si>
  <si>
    <t xml:space="preserve"> Gross domestic product: Heavy and civil engineering construction; (Mil. Ch. 2017 USD)</t>
  </si>
  <si>
    <t>RGDP238$A.SS</t>
  </si>
  <si>
    <t xml:space="preserve"> Gross domestic product: Specialty trade contractors; (Mil. Ch. 2017 USD)</t>
  </si>
  <si>
    <t>RGDP423$A.SS</t>
  </si>
  <si>
    <t xml:space="preserve"> Gross domestic product: Merchant wholesalers; durable goods; (Mil. Ch. 2017 USD)</t>
  </si>
  <si>
    <t>RGDP424$A.SS</t>
  </si>
  <si>
    <t xml:space="preserve"> Gross domestic product: Merchant wholesalers; nondurable goods; (Mil. Ch. 2017 USD)</t>
  </si>
  <si>
    <t>RGDP425$A.SS</t>
  </si>
  <si>
    <t xml:space="preserve"> Gross domestic product: Wholesale electronic markets and agents and brokers; (Mil. Ch. 2017 USD)</t>
  </si>
  <si>
    <t>RGDP511$A.SS</t>
  </si>
  <si>
    <t xml:space="preserve"> Gross domestic product: Publishing industries (except internet); (Mil. Ch. 2017 USD)</t>
  </si>
  <si>
    <t>RGDP512$A.SS</t>
  </si>
  <si>
    <t xml:space="preserve"> Gross domestic product: Motion picture and sound recording industries; (Mil. Ch. 2017 USD)</t>
  </si>
  <si>
    <t>RGDP515$A.SS</t>
  </si>
  <si>
    <t xml:space="preserve"> Gross domestic product: Broadcasting (except internet); (Mil. Ch. 2017 USD)</t>
  </si>
  <si>
    <t>RGDP517$A.SS</t>
  </si>
  <si>
    <t xml:space="preserve"> Gross domestic product: Telecommunications; (Mil. Ch. 2017 USD)</t>
  </si>
  <si>
    <t>RGDP518$A.SS</t>
  </si>
  <si>
    <t xml:space="preserve"> Gross domestic product: Data processing; hosting and related services; (Mil. Ch. 2017 USD)</t>
  </si>
  <si>
    <t>RGDP519$A.SS</t>
  </si>
  <si>
    <t xml:space="preserve"> Gross domestic product: Other information services; (Mil. Ch. 2017 USD)</t>
  </si>
  <si>
    <t>RGDP521$A.SS</t>
  </si>
  <si>
    <t xml:space="preserve"> Gross domestic product: Monetary authorities-central bank; (Mil. Ch. 2017 USD)</t>
  </si>
  <si>
    <t>RGDP522$A.SS</t>
  </si>
  <si>
    <t xml:space="preserve"> Gross domestic product: Credit intermediation and related activities; (Mil. Ch. 2017 USD)</t>
  </si>
  <si>
    <t>RGDP523$A.SS</t>
  </si>
  <si>
    <t xml:space="preserve"> Gross domestic product: Securities; commodity contracts; and other financial investments and related activities; (Mil. Ch. 2017 USD)</t>
  </si>
  <si>
    <t>RGDP524$A.SS</t>
  </si>
  <si>
    <t xml:space="preserve"> Gross domestic product: Insurance carriers and related activities; (Mil. Ch. 2017 USD)</t>
  </si>
  <si>
    <t>RGDP525$A.SS</t>
  </si>
  <si>
    <t xml:space="preserve"> Gross domestic product: Funds; trusts; and other financial vehicles; (Mil. Ch. 2017 USD)</t>
  </si>
  <si>
    <t>RGDP531$A.SS</t>
  </si>
  <si>
    <t xml:space="preserve"> Gross domestic product: Real estate; (Mil. Ch. 2017 USD)</t>
  </si>
  <si>
    <t>RGDP532$A.SS</t>
  </si>
  <si>
    <t xml:space="preserve"> Gross domestic product: Rental and leasing services; (Mil. Ch. 2017 USD)</t>
  </si>
  <si>
    <t>RGDP533$A.SS</t>
  </si>
  <si>
    <t xml:space="preserve"> Gross domestic product: Lessors of nonfinancial intangible assets (except copyrighted works); (Mil. Ch. 2017 USD)</t>
  </si>
  <si>
    <t>RGDP541$A.SS</t>
  </si>
  <si>
    <t>RGDP551$A.SS</t>
  </si>
  <si>
    <t>RGDP561$A.SS</t>
  </si>
  <si>
    <t xml:space="preserve"> Gross domestic product: Administrative and support services; (Mil. Ch. 2017 USD)</t>
  </si>
  <si>
    <t>RGDP562$A.SS</t>
  </si>
  <si>
    <t xml:space="preserve"> Gross domestic product: Waste management and remediation services; (Mil. Ch. 2017 USD)</t>
  </si>
  <si>
    <t>RGDP611$A.SS</t>
  </si>
  <si>
    <t>RGDP621$A.SS</t>
  </si>
  <si>
    <t xml:space="preserve"> Gross domestic product: Ambulatory health care services; (Mil. Ch. 2017 USD)</t>
  </si>
  <si>
    <t>RGDP622$A.SS</t>
  </si>
  <si>
    <t xml:space="preserve"> Gross domestic product: Hospitals; (Mil. Ch. 2017 USD)</t>
  </si>
  <si>
    <t>RGDP623$A.SS</t>
  </si>
  <si>
    <t xml:space="preserve"> Gross domestic product: Nursing and residential care facilities; (Mil. Ch. 2017 USD)</t>
  </si>
  <si>
    <t>RGDP624$A.SS</t>
  </si>
  <si>
    <t xml:space="preserve"> Gross domestic product: Social assistance; (Mil. Ch. 2017 USD)</t>
  </si>
  <si>
    <t>RGDP711$A.SS</t>
  </si>
  <si>
    <t xml:space="preserve"> Gross domestic product: Performing arts; spectator sports; and related industries; (Mil. Ch. 2017 USD)</t>
  </si>
  <si>
    <t>RGDP712$A.SS</t>
  </si>
  <si>
    <t xml:space="preserve"> Gross domestic product: Museums; historical sites; and similar institutions; (Mil. Ch. 2017 USD)</t>
  </si>
  <si>
    <t>RGDP713$A.SS</t>
  </si>
  <si>
    <t xml:space="preserve"> Gross domestic product: Amusement; gambling; and recreation industries; (Mil. Ch. 2017 USD)</t>
  </si>
  <si>
    <t>RGDP721$A.SS</t>
  </si>
  <si>
    <t xml:space="preserve"> Gross domestic product: Accommodation; (Mil. Ch. 2017 USD)</t>
  </si>
  <si>
    <t>RGDP722$A.SS</t>
  </si>
  <si>
    <t xml:space="preserve"> Gross domestic product: Food services and drinking places; (Mil. Ch. 2017 USD)</t>
  </si>
  <si>
    <t>RGDP811$A.SS</t>
  </si>
  <si>
    <t xml:space="preserve"> Gross domestic product: Repair and maintenance; (Mil. Ch. 2017 USD)</t>
  </si>
  <si>
    <t>RGDP812$A.SS</t>
  </si>
  <si>
    <t xml:space="preserve"> Gross domestic product: Personal and laundry services; (Mil. Ch. 2017 USD)</t>
  </si>
  <si>
    <t>RGDP813$A.SS</t>
  </si>
  <si>
    <t xml:space="preserve"> Gross domestic product: Religious; grantmaking; civic; professional; and similar organizations; (Mil. Ch. 2017 USD)</t>
  </si>
  <si>
    <t xml:space="preserve"> U.S. Bureau of Labor Statistics (BLS): Current Employment Statistics (CES); Quarterly Census of Employment and Wages (QCEW); Moody's Analytics Estimated</t>
  </si>
  <si>
    <t xml:space="preserve"> 12/16/2024</t>
  </si>
  <si>
    <t xml:space="preserve"> 12/31/23</t>
  </si>
  <si>
    <t xml:space="preserve"> U.S. Bureau of Economic Analysis (BEA); Moody's Analytics Estimated and Forecasted</t>
  </si>
  <si>
    <t xml:space="preserve">Forecast Last Updated: </t>
  </si>
  <si>
    <t>Last Historical Year:</t>
  </si>
  <si>
    <t>Employment Sources:</t>
  </si>
  <si>
    <t>Moodys Sources</t>
  </si>
  <si>
    <t>GDP Sources:</t>
  </si>
  <si>
    <t>https://www.economy.com/products/tools/data-buffet</t>
  </si>
  <si>
    <t>Source:</t>
  </si>
  <si>
    <t>RE221A.SS</t>
  </si>
  <si>
    <t>221</t>
  </si>
  <si>
    <t xml:space="preserve"> Utilities</t>
  </si>
  <si>
    <t xml:space="preserve"> Employment: Utilities; (Ths. #; SA)</t>
  </si>
  <si>
    <t xml:space="preserve"> </t>
  </si>
  <si>
    <t>RGDP221$A.SS</t>
  </si>
  <si>
    <t xml:space="preserve"> Gross domestic product: Utilities; (Mil. Ch. 2017 USD)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</si>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</sst>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 vertical="center"/>
    </xf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3" sqref="B13"/>
    </sheetView>
  </sheetViews>
  <sheetFormatPr defaultRowHeight="14.25"/>
  <cols>
    <col min="1" max="1" width="21.875" bestFit="1" customWidth="1"/>
    <col min="2" max="2" width="10.875" bestFit="1" customWidth="1"/>
  </cols>
  <sheetData>
    <row r="1" spans="1:2">
      <c r="A1" t="s">
        <v>549</v>
      </c>
      <c r="B1" t="s">
        <v>548</v>
      </c>
    </row>
    <row r="2" spans="1:2">
      <c r="A2" t="s">
        <v>543</v>
      </c>
      <c r="B2" t="s">
        <v>540</v>
      </c>
    </row>
    <row r="3" spans="1:2">
      <c r="A3" t="s">
        <v>544</v>
      </c>
      <c r="B3" t="s">
        <v>541</v>
      </c>
    </row>
    <row r="5" spans="1:2" ht="15">
      <c r="A5" s="2" t="s">
        <v>546</v>
      </c>
    </row>
    <row r="6" spans="1:2">
      <c r="A6" t="s">
        <v>545</v>
      </c>
      <c r="B6" t="s">
        <v>539</v>
      </c>
    </row>
    <row r="7" spans="1:2">
      <c r="A7" t="s">
        <v>547</v>
      </c>
      <c r="B7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82"/>
  <sheetViews>
    <sheetView topLeftCell="A151" workbookViewId="0">
      <selection activeCell="D174" sqref="D174"/>
    </sheetView>
  </sheetViews>
  <sheetFormatPr defaultRowHeight="14.25"/>
  <cols>
    <col min="1" max="1" width="13.625" bestFit="1" customWidth="1"/>
    <col min="2" max="2" width="12.5" bestFit="1" customWidth="1"/>
    <col min="3" max="3" width="13.5" bestFit="1" customWidth="1"/>
    <col min="5" max="5" width="79.5" bestFit="1" customWidth="1"/>
    <col min="6" max="6" width="13.375" bestFit="1" customWidth="1"/>
    <col min="7" max="7" width="25.625" customWidth="1"/>
  </cols>
  <sheetData>
    <row r="1" spans="1:59">
      <c r="A1" t="s">
        <v>0</v>
      </c>
      <c r="B1" t="s">
        <v>304</v>
      </c>
      <c r="C1" t="s">
        <v>305</v>
      </c>
      <c r="D1" t="s">
        <v>306</v>
      </c>
      <c r="E1" t="s">
        <v>307</v>
      </c>
      <c r="F1" t="s">
        <v>1</v>
      </c>
      <c r="G1" t="s">
        <v>2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  <c r="Z1">
        <v>2023</v>
      </c>
      <c r="AA1">
        <v>2024</v>
      </c>
      <c r="AB1">
        <v>2025</v>
      </c>
      <c r="AC1">
        <v>2026</v>
      </c>
      <c r="AD1">
        <v>2027</v>
      </c>
      <c r="AE1">
        <v>2028</v>
      </c>
      <c r="AF1">
        <v>2029</v>
      </c>
      <c r="AG1">
        <v>2030</v>
      </c>
      <c r="AH1">
        <v>2031</v>
      </c>
      <c r="AI1">
        <v>2032</v>
      </c>
      <c r="AJ1">
        <v>2033</v>
      </c>
      <c r="AK1">
        <v>2034</v>
      </c>
      <c r="AL1">
        <v>2035</v>
      </c>
      <c r="AM1">
        <v>2036</v>
      </c>
      <c r="AN1">
        <v>2037</v>
      </c>
      <c r="AO1">
        <v>2038</v>
      </c>
      <c r="AP1">
        <v>2039</v>
      </c>
      <c r="AQ1">
        <v>2040</v>
      </c>
      <c r="AR1">
        <v>2041</v>
      </c>
      <c r="AS1">
        <v>2042</v>
      </c>
      <c r="AT1">
        <v>2043</v>
      </c>
      <c r="AU1">
        <v>2044</v>
      </c>
      <c r="AV1">
        <v>2045</v>
      </c>
      <c r="AW1">
        <v>2046</v>
      </c>
      <c r="AX1">
        <v>2047</v>
      </c>
      <c r="AY1">
        <v>2048</v>
      </c>
      <c r="AZ1">
        <v>2049</v>
      </c>
      <c r="BA1">
        <v>2050</v>
      </c>
      <c r="BB1">
        <v>2051</v>
      </c>
      <c r="BC1">
        <v>2052</v>
      </c>
      <c r="BD1">
        <v>2053</v>
      </c>
      <c r="BE1">
        <v>2054</v>
      </c>
      <c r="BF1">
        <v>2055</v>
      </c>
      <c r="BG1">
        <v>2055</v>
      </c>
    </row>
    <row r="2" spans="1:59">
      <c r="A2" t="s">
        <v>308</v>
      </c>
      <c r="B2" t="s">
        <v>33</v>
      </c>
      <c r="C2" t="s">
        <v>309</v>
      </c>
      <c r="D2">
        <v>211</v>
      </c>
      <c r="E2" t="s">
        <v>310</v>
      </c>
      <c r="F2" t="s">
        <v>3</v>
      </c>
      <c r="G2" t="s">
        <v>311</v>
      </c>
      <c r="H2">
        <v>119.008</v>
      </c>
      <c r="I2">
        <v>127.10899999999999</v>
      </c>
      <c r="J2">
        <v>138.20699999999999</v>
      </c>
      <c r="K2">
        <v>151.321</v>
      </c>
      <c r="L2">
        <v>150.702</v>
      </c>
      <c r="M2">
        <v>153.54400000000001</v>
      </c>
      <c r="N2">
        <v>165.58099999999999</v>
      </c>
      <c r="O2">
        <v>180.23699999999999</v>
      </c>
      <c r="P2">
        <v>188.81399999999999</v>
      </c>
      <c r="Q2">
        <v>194.172</v>
      </c>
      <c r="R2">
        <v>185.31899999999999</v>
      </c>
      <c r="S2">
        <v>157.739</v>
      </c>
      <c r="T2">
        <v>144.256</v>
      </c>
      <c r="U2">
        <v>142.22399999999999</v>
      </c>
      <c r="V2">
        <v>140.935</v>
      </c>
      <c r="W2">
        <v>126.08799999999999</v>
      </c>
      <c r="X2">
        <v>113.3</v>
      </c>
      <c r="Y2">
        <v>114.512</v>
      </c>
      <c r="Z2">
        <v>119.048</v>
      </c>
      <c r="AA2">
        <v>120.29900000000001</v>
      </c>
      <c r="AB2">
        <v>121.38</v>
      </c>
      <c r="AC2">
        <v>120.10899999999999</v>
      </c>
      <c r="AD2">
        <v>117.783</v>
      </c>
      <c r="AE2">
        <v>115.236</v>
      </c>
      <c r="AF2">
        <v>112.965</v>
      </c>
      <c r="AG2">
        <v>110.72199999999999</v>
      </c>
      <c r="AH2">
        <v>109.056</v>
      </c>
      <c r="AI2">
        <v>107.658</v>
      </c>
      <c r="AJ2">
        <v>106.122</v>
      </c>
      <c r="AK2">
        <v>104.459</v>
      </c>
      <c r="AL2">
        <v>102.476</v>
      </c>
      <c r="AM2">
        <v>100.26300000000001</v>
      </c>
      <c r="AN2">
        <v>98.135000000000005</v>
      </c>
      <c r="AO2">
        <v>95.853999999999999</v>
      </c>
      <c r="AP2">
        <v>93.870999999999995</v>
      </c>
      <c r="AQ2">
        <v>91.897999999999996</v>
      </c>
      <c r="AR2">
        <v>89.83</v>
      </c>
      <c r="AS2">
        <v>87.724999999999994</v>
      </c>
      <c r="AT2">
        <v>85.471999999999994</v>
      </c>
      <c r="AU2">
        <v>83.119</v>
      </c>
      <c r="AV2">
        <v>80.626000000000005</v>
      </c>
      <c r="AW2">
        <v>77.977000000000004</v>
      </c>
      <c r="AX2">
        <v>75.168999999999997</v>
      </c>
      <c r="AY2">
        <v>72.593000000000004</v>
      </c>
      <c r="AZ2">
        <v>70.058999999999997</v>
      </c>
      <c r="BA2">
        <v>67.421000000000006</v>
      </c>
      <c r="BB2">
        <v>65.043999999999997</v>
      </c>
      <c r="BC2">
        <v>63.058</v>
      </c>
      <c r="BD2">
        <v>61.298999999999999</v>
      </c>
      <c r="BE2">
        <v>59.668999999999997</v>
      </c>
      <c r="BF2">
        <v>58.131</v>
      </c>
      <c r="BG2">
        <v>6.09</v>
      </c>
    </row>
    <row r="3" spans="1:59">
      <c r="A3" t="s">
        <v>312</v>
      </c>
      <c r="B3" t="s">
        <v>33</v>
      </c>
      <c r="C3" t="s">
        <v>313</v>
      </c>
      <c r="D3">
        <v>212</v>
      </c>
      <c r="E3" t="s">
        <v>314</v>
      </c>
      <c r="F3" t="s">
        <v>3</v>
      </c>
      <c r="G3" t="s">
        <v>315</v>
      </c>
      <c r="H3">
        <v>214.62299999999999</v>
      </c>
      <c r="I3">
        <v>222.809</v>
      </c>
      <c r="J3">
        <v>223.97200000000001</v>
      </c>
      <c r="K3">
        <v>228.19800000000001</v>
      </c>
      <c r="L3">
        <v>210.45099999999999</v>
      </c>
      <c r="M3">
        <v>205.72800000000001</v>
      </c>
      <c r="N3">
        <v>216.76300000000001</v>
      </c>
      <c r="O3">
        <v>220.381</v>
      </c>
      <c r="P3">
        <v>212.273</v>
      </c>
      <c r="Q3">
        <v>207.99100000000001</v>
      </c>
      <c r="R3">
        <v>199.89400000000001</v>
      </c>
      <c r="S3">
        <v>181.886</v>
      </c>
      <c r="T3">
        <v>185.12700000000001</v>
      </c>
      <c r="U3">
        <v>190.61699999999999</v>
      </c>
      <c r="V3">
        <v>191.76</v>
      </c>
      <c r="W3">
        <v>176.79499999999999</v>
      </c>
      <c r="X3">
        <v>176.04300000000001</v>
      </c>
      <c r="Y3">
        <v>182.982</v>
      </c>
      <c r="Z3">
        <v>189.81100000000001</v>
      </c>
      <c r="AA3">
        <v>194.077</v>
      </c>
      <c r="AB3">
        <v>199.869</v>
      </c>
      <c r="AC3">
        <v>202.226</v>
      </c>
      <c r="AD3">
        <v>202.62700000000001</v>
      </c>
      <c r="AE3">
        <v>202.34100000000001</v>
      </c>
      <c r="AF3">
        <v>202.30600000000001</v>
      </c>
      <c r="AG3">
        <v>202.095</v>
      </c>
      <c r="AH3">
        <v>202.77500000000001</v>
      </c>
      <c r="AI3">
        <v>203.87799999999999</v>
      </c>
      <c r="AJ3">
        <v>204.511</v>
      </c>
      <c r="AK3">
        <v>204.672</v>
      </c>
      <c r="AL3">
        <v>203.93299999999999</v>
      </c>
      <c r="AM3">
        <v>202.46100000000001</v>
      </c>
      <c r="AN3">
        <v>200.845</v>
      </c>
      <c r="AO3">
        <v>198.60599999999999</v>
      </c>
      <c r="AP3">
        <v>196.739</v>
      </c>
      <c r="AQ3">
        <v>194.60400000000001</v>
      </c>
      <c r="AR3">
        <v>191.87100000000001</v>
      </c>
      <c r="AS3">
        <v>188.69900000000001</v>
      </c>
      <c r="AT3">
        <v>184.80699999999999</v>
      </c>
      <c r="AU3">
        <v>180.29</v>
      </c>
      <c r="AV3">
        <v>175.197</v>
      </c>
      <c r="AW3">
        <v>169.572</v>
      </c>
      <c r="AX3">
        <v>163.39400000000001</v>
      </c>
      <c r="AY3">
        <v>157.62799999999999</v>
      </c>
      <c r="AZ3">
        <v>151.84800000000001</v>
      </c>
      <c r="BA3">
        <v>145.708</v>
      </c>
      <c r="BB3">
        <v>140.08699999999999</v>
      </c>
      <c r="BC3">
        <v>135.29300000000001</v>
      </c>
      <c r="BD3">
        <v>130.94300000000001</v>
      </c>
      <c r="BE3">
        <v>126.81399999999999</v>
      </c>
      <c r="BF3">
        <v>122.827</v>
      </c>
      <c r="BG3">
        <v>2.2999999999999998</v>
      </c>
    </row>
    <row r="4" spans="1:59">
      <c r="A4" t="s">
        <v>316</v>
      </c>
      <c r="B4" t="s">
        <v>33</v>
      </c>
      <c r="C4" t="s">
        <v>317</v>
      </c>
      <c r="D4">
        <v>213</v>
      </c>
      <c r="E4" t="s">
        <v>318</v>
      </c>
      <c r="F4" t="s">
        <v>3</v>
      </c>
      <c r="G4" t="s">
        <v>319</v>
      </c>
      <c r="H4">
        <v>224.703</v>
      </c>
      <c r="I4">
        <v>264.065</v>
      </c>
      <c r="J4">
        <v>297.35599999999999</v>
      </c>
      <c r="K4">
        <v>332.42700000000002</v>
      </c>
      <c r="L4">
        <v>277.73599999999999</v>
      </c>
      <c r="M4">
        <v>292.72199999999998</v>
      </c>
      <c r="N4">
        <v>349.79700000000003</v>
      </c>
      <c r="O4">
        <v>396.34500000000003</v>
      </c>
      <c r="P4">
        <v>410.05900000000003</v>
      </c>
      <c r="Q4">
        <v>445.44200000000001</v>
      </c>
      <c r="R4">
        <v>367.947</v>
      </c>
      <c r="S4">
        <v>265.041</v>
      </c>
      <c r="T4">
        <v>296.28199999999998</v>
      </c>
      <c r="U4">
        <v>341.42399999999998</v>
      </c>
      <c r="V4">
        <v>342.113</v>
      </c>
      <c r="W4">
        <v>238.357</v>
      </c>
      <c r="X4">
        <v>225.27699999999999</v>
      </c>
      <c r="Y4">
        <v>258.64600000000002</v>
      </c>
      <c r="Z4">
        <v>275.541</v>
      </c>
      <c r="AA4">
        <v>272.00599999999997</v>
      </c>
      <c r="AB4">
        <v>276.988</v>
      </c>
      <c r="AC4">
        <v>277.59300000000002</v>
      </c>
      <c r="AD4">
        <v>275.54300000000001</v>
      </c>
      <c r="AE4">
        <v>272.76400000000001</v>
      </c>
      <c r="AF4">
        <v>270.44</v>
      </c>
      <c r="AG4">
        <v>268.00200000000001</v>
      </c>
      <c r="AH4">
        <v>266.786</v>
      </c>
      <c r="AI4">
        <v>266.05599999999998</v>
      </c>
      <c r="AJ4">
        <v>264.82100000000003</v>
      </c>
      <c r="AK4">
        <v>263.10500000000002</v>
      </c>
      <c r="AL4">
        <v>260.39499999999998</v>
      </c>
      <c r="AM4">
        <v>256.91500000000002</v>
      </c>
      <c r="AN4">
        <v>253.464</v>
      </c>
      <c r="AO4">
        <v>249.434</v>
      </c>
      <c r="AP4">
        <v>245.999</v>
      </c>
      <c r="AQ4">
        <v>242.41</v>
      </c>
      <c r="AR4">
        <v>238.40299999999999</v>
      </c>
      <c r="AS4">
        <v>234.12799999999999</v>
      </c>
      <c r="AT4">
        <v>229.291</v>
      </c>
      <c r="AU4">
        <v>224.024</v>
      </c>
      <c r="AV4">
        <v>218.23400000000001</v>
      </c>
      <c r="AW4">
        <v>211.86799999999999</v>
      </c>
      <c r="AX4">
        <v>204.91800000000001</v>
      </c>
      <c r="AY4">
        <v>198.46600000000001</v>
      </c>
      <c r="AZ4">
        <v>192.00800000000001</v>
      </c>
      <c r="BA4">
        <v>185.154</v>
      </c>
      <c r="BB4">
        <v>178.91900000000001</v>
      </c>
      <c r="BC4">
        <v>173.666</v>
      </c>
      <c r="BD4">
        <v>168.95500000000001</v>
      </c>
      <c r="BE4">
        <v>164.518</v>
      </c>
      <c r="BF4">
        <v>160.25899999999999</v>
      </c>
      <c r="BG4">
        <v>1.44</v>
      </c>
    </row>
    <row r="5" spans="1:59">
      <c r="A5" t="s">
        <v>550</v>
      </c>
      <c r="B5" t="s">
        <v>33</v>
      </c>
      <c r="C5" t="s">
        <v>551</v>
      </c>
      <c r="D5">
        <v>221</v>
      </c>
      <c r="E5" t="s">
        <v>552</v>
      </c>
      <c r="F5" t="s">
        <v>3</v>
      </c>
      <c r="G5" t="s">
        <v>553</v>
      </c>
      <c r="H5">
        <v>548.77499999999998</v>
      </c>
      <c r="I5">
        <v>547.72799999999995</v>
      </c>
      <c r="J5">
        <v>551.13900000000001</v>
      </c>
      <c r="K5">
        <v>561.38800000000003</v>
      </c>
      <c r="L5">
        <v>563.32100000000003</v>
      </c>
      <c r="M5">
        <v>555.15099999999995</v>
      </c>
      <c r="N5">
        <v>553.21699999999998</v>
      </c>
      <c r="O5">
        <v>552.20500000000004</v>
      </c>
      <c r="P5">
        <v>551.76800000000003</v>
      </c>
      <c r="Q5">
        <v>551.54399999999998</v>
      </c>
      <c r="R5">
        <v>554.57399999999996</v>
      </c>
      <c r="S5">
        <v>554.78300000000002</v>
      </c>
      <c r="T5">
        <v>553.77200000000005</v>
      </c>
      <c r="U5">
        <v>552.452</v>
      </c>
      <c r="V5">
        <v>548.322</v>
      </c>
      <c r="W5">
        <v>545.226</v>
      </c>
      <c r="X5">
        <v>545.78300000000002</v>
      </c>
      <c r="Y5">
        <v>555.99400000000003</v>
      </c>
      <c r="Z5">
        <v>577.93299999999999</v>
      </c>
      <c r="AA5">
        <v>584.54100000000005</v>
      </c>
      <c r="AB5">
        <v>584.01900000000001</v>
      </c>
      <c r="AC5">
        <v>579.28499999999997</v>
      </c>
      <c r="AD5">
        <v>573.553</v>
      </c>
      <c r="AE5">
        <v>567.48400000000004</v>
      </c>
      <c r="AF5">
        <v>560.66700000000003</v>
      </c>
      <c r="AG5">
        <v>553.47900000000004</v>
      </c>
      <c r="AH5">
        <v>546.56399999999996</v>
      </c>
      <c r="AI5">
        <v>539.71299999999997</v>
      </c>
      <c r="AJ5">
        <v>533.06399999999996</v>
      </c>
      <c r="AK5">
        <v>526.54100000000005</v>
      </c>
      <c r="AL5">
        <v>520.11800000000005</v>
      </c>
      <c r="AM5">
        <v>513.505</v>
      </c>
      <c r="AN5">
        <v>506.548</v>
      </c>
      <c r="AO5">
        <v>499.85500000000002</v>
      </c>
      <c r="AP5">
        <v>493.54899999999998</v>
      </c>
      <c r="AQ5">
        <v>487.61799999999999</v>
      </c>
      <c r="AR5">
        <v>482.20800000000003</v>
      </c>
      <c r="AS5">
        <v>477.14299999999997</v>
      </c>
      <c r="AT5">
        <v>472.34800000000001</v>
      </c>
      <c r="AU5">
        <v>467.71199999999999</v>
      </c>
      <c r="AV5">
        <v>463.07799999999997</v>
      </c>
      <c r="AW5">
        <v>458.46199999999999</v>
      </c>
      <c r="AX5">
        <v>453.75799999999998</v>
      </c>
      <c r="AY5">
        <v>449.04399999999998</v>
      </c>
      <c r="AZ5">
        <v>444.42599999999999</v>
      </c>
      <c r="BA5">
        <v>439.90199999999999</v>
      </c>
      <c r="BB5">
        <v>435.47699999999998</v>
      </c>
      <c r="BC5">
        <v>431.096</v>
      </c>
      <c r="BD5">
        <v>426.75599999999997</v>
      </c>
      <c r="BE5">
        <v>422.26900000000001</v>
      </c>
      <c r="BF5">
        <v>417.70499999999998</v>
      </c>
      <c r="BG5">
        <v>8.1300000000000008</v>
      </c>
    </row>
    <row r="6" spans="1:59">
      <c r="A6" t="s">
        <v>320</v>
      </c>
      <c r="B6" t="s">
        <v>33</v>
      </c>
      <c r="C6" t="s">
        <v>321</v>
      </c>
      <c r="D6">
        <v>236</v>
      </c>
      <c r="E6" t="s">
        <v>322</v>
      </c>
      <c r="F6" t="s">
        <v>3</v>
      </c>
      <c r="G6" t="s">
        <v>323</v>
      </c>
      <c r="H6">
        <v>1718.145</v>
      </c>
      <c r="I6">
        <v>1796.4970000000001</v>
      </c>
      <c r="J6">
        <v>1768.826</v>
      </c>
      <c r="K6">
        <v>1644.7829999999999</v>
      </c>
      <c r="L6">
        <v>1337.307</v>
      </c>
      <c r="M6">
        <v>1229.2529999999999</v>
      </c>
      <c r="N6">
        <v>1214.933</v>
      </c>
      <c r="O6">
        <v>1230.4659999999999</v>
      </c>
      <c r="P6">
        <v>1285.096</v>
      </c>
      <c r="Q6">
        <v>1352.741</v>
      </c>
      <c r="R6">
        <v>1429.37</v>
      </c>
      <c r="S6">
        <v>1494.5119999999999</v>
      </c>
      <c r="T6">
        <v>1547.0650000000001</v>
      </c>
      <c r="U6">
        <v>1619.7349999999999</v>
      </c>
      <c r="V6">
        <v>1664.6320000000001</v>
      </c>
      <c r="W6">
        <v>1600.826</v>
      </c>
      <c r="X6">
        <v>1662.316</v>
      </c>
      <c r="Y6">
        <v>1755.1980000000001</v>
      </c>
      <c r="Z6">
        <v>1806.741</v>
      </c>
      <c r="AA6">
        <v>1857.462</v>
      </c>
      <c r="AB6">
        <v>1894.58</v>
      </c>
      <c r="AC6">
        <v>1915.2380000000001</v>
      </c>
      <c r="AD6">
        <v>1915.047</v>
      </c>
      <c r="AE6">
        <v>1913.826</v>
      </c>
      <c r="AF6">
        <v>1907.396</v>
      </c>
      <c r="AG6">
        <v>1899.5719999999999</v>
      </c>
      <c r="AH6">
        <v>1893.2329999999999</v>
      </c>
      <c r="AI6">
        <v>1891.2080000000001</v>
      </c>
      <c r="AJ6">
        <v>1888.4010000000001</v>
      </c>
      <c r="AK6">
        <v>1886.7850000000001</v>
      </c>
      <c r="AL6">
        <v>1887.191</v>
      </c>
      <c r="AM6">
        <v>1889.5409999999999</v>
      </c>
      <c r="AN6">
        <v>1890.106</v>
      </c>
      <c r="AO6">
        <v>1888.5340000000001</v>
      </c>
      <c r="AP6">
        <v>1888.3879999999999</v>
      </c>
      <c r="AQ6">
        <v>1887.2139999999999</v>
      </c>
      <c r="AR6">
        <v>1885.6489999999999</v>
      </c>
      <c r="AS6">
        <v>1884.1189999999999</v>
      </c>
      <c r="AT6">
        <v>1883.018</v>
      </c>
      <c r="AU6">
        <v>1881.6310000000001</v>
      </c>
      <c r="AV6">
        <v>1879.35</v>
      </c>
      <c r="AW6">
        <v>1877.421</v>
      </c>
      <c r="AX6">
        <v>1874.752</v>
      </c>
      <c r="AY6">
        <v>1870.154</v>
      </c>
      <c r="AZ6">
        <v>1866.703</v>
      </c>
      <c r="BA6">
        <v>1866.396</v>
      </c>
      <c r="BB6">
        <v>1866.405</v>
      </c>
      <c r="BC6">
        <v>1865.6880000000001</v>
      </c>
      <c r="BD6">
        <v>1864.171</v>
      </c>
      <c r="BE6">
        <v>1860.962</v>
      </c>
      <c r="BF6">
        <v>1856.184</v>
      </c>
      <c r="BG6">
        <v>9.32</v>
      </c>
    </row>
    <row r="7" spans="1:59">
      <c r="A7" t="s">
        <v>324</v>
      </c>
      <c r="B7" t="s">
        <v>33</v>
      </c>
      <c r="C7" t="s">
        <v>325</v>
      </c>
      <c r="D7">
        <v>237</v>
      </c>
      <c r="E7" t="s">
        <v>326</v>
      </c>
      <c r="F7" t="s">
        <v>3</v>
      </c>
      <c r="G7" t="s">
        <v>327</v>
      </c>
      <c r="H7">
        <v>935.97299999999996</v>
      </c>
      <c r="I7">
        <v>979.33699999999999</v>
      </c>
      <c r="J7">
        <v>993.73</v>
      </c>
      <c r="K7">
        <v>962.88099999999997</v>
      </c>
      <c r="L7">
        <v>851.32799999999997</v>
      </c>
      <c r="M7">
        <v>814.08799999999997</v>
      </c>
      <c r="N7">
        <v>823.38800000000003</v>
      </c>
      <c r="O7">
        <v>853.94</v>
      </c>
      <c r="P7">
        <v>872.09</v>
      </c>
      <c r="Q7">
        <v>908.41300000000001</v>
      </c>
      <c r="R7">
        <v>939.88300000000004</v>
      </c>
      <c r="S7">
        <v>955.202</v>
      </c>
      <c r="T7">
        <v>988.995</v>
      </c>
      <c r="U7">
        <v>1033.3009999999999</v>
      </c>
      <c r="V7">
        <v>1073.4929999999999</v>
      </c>
      <c r="W7">
        <v>1039.69</v>
      </c>
      <c r="X7">
        <v>1041.7670000000001</v>
      </c>
      <c r="Y7">
        <v>1072.77</v>
      </c>
      <c r="Z7">
        <v>1108.17</v>
      </c>
      <c r="AA7">
        <v>1138.346</v>
      </c>
      <c r="AB7">
        <v>1146.117</v>
      </c>
      <c r="AC7">
        <v>1149.345</v>
      </c>
      <c r="AD7">
        <v>1140.1980000000001</v>
      </c>
      <c r="AE7">
        <v>1130.7070000000001</v>
      </c>
      <c r="AF7">
        <v>1118.5239999999999</v>
      </c>
      <c r="AG7">
        <v>1105.9100000000001</v>
      </c>
      <c r="AH7">
        <v>1094.5519999999999</v>
      </c>
      <c r="AI7">
        <v>1086.097</v>
      </c>
      <c r="AJ7">
        <v>1077.6130000000001</v>
      </c>
      <c r="AK7">
        <v>1070.232</v>
      </c>
      <c r="AL7">
        <v>1064.3910000000001</v>
      </c>
      <c r="AM7">
        <v>1059.998</v>
      </c>
      <c r="AN7">
        <v>1054.934</v>
      </c>
      <c r="AO7">
        <v>1049.0070000000001</v>
      </c>
      <c r="AP7">
        <v>1044.1949999999999</v>
      </c>
      <c r="AQ7">
        <v>1039.1199999999999</v>
      </c>
      <c r="AR7">
        <v>1034.146</v>
      </c>
      <c r="AS7">
        <v>1029.528</v>
      </c>
      <c r="AT7">
        <v>1025.49</v>
      </c>
      <c r="AU7">
        <v>1021.65</v>
      </c>
      <c r="AV7">
        <v>1017.683</v>
      </c>
      <c r="AW7">
        <v>1014.26</v>
      </c>
      <c r="AX7">
        <v>1010.798</v>
      </c>
      <c r="AY7">
        <v>1006.645</v>
      </c>
      <c r="AZ7">
        <v>1003.438</v>
      </c>
      <c r="BA7">
        <v>1002.247</v>
      </c>
      <c r="BB7">
        <v>1001.529</v>
      </c>
      <c r="BC7">
        <v>1000.725</v>
      </c>
      <c r="BD7">
        <v>999.83699999999999</v>
      </c>
      <c r="BE7">
        <v>998.36599999999999</v>
      </c>
      <c r="BF7">
        <v>996.36599999999999</v>
      </c>
      <c r="BG7">
        <v>14.63</v>
      </c>
    </row>
    <row r="8" spans="1:59">
      <c r="A8" t="s">
        <v>328</v>
      </c>
      <c r="B8" t="s">
        <v>33</v>
      </c>
      <c r="C8" t="s">
        <v>329</v>
      </c>
      <c r="D8">
        <v>238</v>
      </c>
      <c r="E8" t="s">
        <v>330</v>
      </c>
      <c r="F8" t="s">
        <v>3</v>
      </c>
      <c r="G8" t="s">
        <v>331</v>
      </c>
      <c r="H8">
        <v>4693.3500000000004</v>
      </c>
      <c r="I8">
        <v>4898.3739999999998</v>
      </c>
      <c r="J8">
        <v>4853.5730000000003</v>
      </c>
      <c r="K8">
        <v>4542.7830000000004</v>
      </c>
      <c r="L8">
        <v>3781.14</v>
      </c>
      <c r="M8">
        <v>3468.9059999999999</v>
      </c>
      <c r="N8">
        <v>3457.7130000000002</v>
      </c>
      <c r="O8">
        <v>3526.7950000000001</v>
      </c>
      <c r="P8">
        <v>3688.2280000000001</v>
      </c>
      <c r="Q8">
        <v>3876.895</v>
      </c>
      <c r="R8">
        <v>4088.1219999999998</v>
      </c>
      <c r="S8">
        <v>4277.2790000000005</v>
      </c>
      <c r="T8">
        <v>4421.3810000000003</v>
      </c>
      <c r="U8">
        <v>4602.2079999999996</v>
      </c>
      <c r="V8">
        <v>4742.1009999999997</v>
      </c>
      <c r="W8">
        <v>4592.5379999999996</v>
      </c>
      <c r="X8">
        <v>4745.549</v>
      </c>
      <c r="Y8">
        <v>4923.134</v>
      </c>
      <c r="Z8">
        <v>5049.3900000000003</v>
      </c>
      <c r="AA8">
        <v>5172.6270000000004</v>
      </c>
      <c r="AB8">
        <v>5274.4759999999997</v>
      </c>
      <c r="AC8">
        <v>5319.4830000000002</v>
      </c>
      <c r="AD8">
        <v>5306.607</v>
      </c>
      <c r="AE8">
        <v>5291.3220000000001</v>
      </c>
      <c r="AF8">
        <v>5262.2950000000001</v>
      </c>
      <c r="AG8">
        <v>5230.0649999999996</v>
      </c>
      <c r="AH8">
        <v>5202.4809999999998</v>
      </c>
      <c r="AI8">
        <v>5187.1629999999996</v>
      </c>
      <c r="AJ8">
        <v>5170.1660000000002</v>
      </c>
      <c r="AK8">
        <v>5156.8509999999997</v>
      </c>
      <c r="AL8">
        <v>5149.4139999999998</v>
      </c>
      <c r="AM8">
        <v>5147.6319999999996</v>
      </c>
      <c r="AN8">
        <v>5141.3159999999998</v>
      </c>
      <c r="AO8">
        <v>5129.5860000000002</v>
      </c>
      <c r="AP8">
        <v>5122.1750000000002</v>
      </c>
      <c r="AQ8">
        <v>5112.4539999999997</v>
      </c>
      <c r="AR8">
        <v>5102.1589999999997</v>
      </c>
      <c r="AS8">
        <v>5092.4279999999999</v>
      </c>
      <c r="AT8">
        <v>5084.317</v>
      </c>
      <c r="AU8">
        <v>5075.9160000000002</v>
      </c>
      <c r="AV8">
        <v>5065.5200000000004</v>
      </c>
      <c r="AW8">
        <v>5056.4520000000002</v>
      </c>
      <c r="AX8">
        <v>5045.7669999999998</v>
      </c>
      <c r="AY8">
        <v>5030.32</v>
      </c>
      <c r="AZ8">
        <v>5018.3950000000004</v>
      </c>
      <c r="BA8">
        <v>5015.348</v>
      </c>
      <c r="BB8">
        <v>5013.5749999999998</v>
      </c>
      <c r="BC8">
        <v>5010.2610000000004</v>
      </c>
      <c r="BD8">
        <v>5005.2830000000004</v>
      </c>
      <c r="BE8">
        <v>4996.1779999999999</v>
      </c>
      <c r="BF8">
        <v>4983.2460000000001</v>
      </c>
      <c r="BG8">
        <v>0.31</v>
      </c>
    </row>
    <row r="9" spans="1:59">
      <c r="A9" t="s">
        <v>37</v>
      </c>
      <c r="B9" t="s">
        <v>33</v>
      </c>
      <c r="C9" t="s">
        <v>34</v>
      </c>
      <c r="D9">
        <v>311</v>
      </c>
      <c r="E9" t="s">
        <v>35</v>
      </c>
      <c r="F9" t="s">
        <v>3</v>
      </c>
      <c r="G9" t="s">
        <v>36</v>
      </c>
      <c r="H9">
        <v>1477.529</v>
      </c>
      <c r="I9">
        <v>1470.57</v>
      </c>
      <c r="J9">
        <v>1474.8679999999999</v>
      </c>
      <c r="K9">
        <v>1472.4849999999999</v>
      </c>
      <c r="L9">
        <v>1450.2360000000001</v>
      </c>
      <c r="M9">
        <v>1445.597</v>
      </c>
      <c r="N9">
        <v>1458.376</v>
      </c>
      <c r="O9">
        <v>1462.76</v>
      </c>
      <c r="P9">
        <v>1472.038</v>
      </c>
      <c r="Q9">
        <v>1490.579</v>
      </c>
      <c r="R9">
        <v>1516.8879999999999</v>
      </c>
      <c r="S9">
        <v>1553.1559999999999</v>
      </c>
      <c r="T9">
        <v>1596.173</v>
      </c>
      <c r="U9">
        <v>1615.8589999999999</v>
      </c>
      <c r="V9">
        <v>1637.6569999999999</v>
      </c>
      <c r="W9">
        <v>1604.568</v>
      </c>
      <c r="X9">
        <v>1632.288</v>
      </c>
      <c r="Y9">
        <v>1693.85</v>
      </c>
      <c r="Z9">
        <v>1733.9380000000001</v>
      </c>
      <c r="AA9">
        <v>1763.38</v>
      </c>
      <c r="AB9">
        <v>1779.7919999999999</v>
      </c>
      <c r="AC9">
        <v>1793.9929999999999</v>
      </c>
      <c r="AD9">
        <v>1800.3689999999999</v>
      </c>
      <c r="AE9">
        <v>1800.1120000000001</v>
      </c>
      <c r="AF9">
        <v>1794.1890000000001</v>
      </c>
      <c r="AG9">
        <v>1785.039</v>
      </c>
      <c r="AH9">
        <v>1776.5260000000001</v>
      </c>
      <c r="AI9">
        <v>1768.335</v>
      </c>
      <c r="AJ9">
        <v>1760.0239999999999</v>
      </c>
      <c r="AK9">
        <v>1752.7180000000001</v>
      </c>
      <c r="AL9">
        <v>1745.654</v>
      </c>
      <c r="AM9">
        <v>1737.7819999999999</v>
      </c>
      <c r="AN9">
        <v>1728.481</v>
      </c>
      <c r="AO9">
        <v>1718.8620000000001</v>
      </c>
      <c r="AP9">
        <v>1710.0309999999999</v>
      </c>
      <c r="AQ9">
        <v>1701.3579999999999</v>
      </c>
      <c r="AR9">
        <v>1693.174</v>
      </c>
      <c r="AS9">
        <v>1685.0229999999999</v>
      </c>
      <c r="AT9">
        <v>1676.5640000000001</v>
      </c>
      <c r="AU9">
        <v>1667.62</v>
      </c>
      <c r="AV9">
        <v>1657.943</v>
      </c>
      <c r="AW9">
        <v>1648.009</v>
      </c>
      <c r="AX9">
        <v>1637.6890000000001</v>
      </c>
      <c r="AY9">
        <v>1627.0039999999999</v>
      </c>
      <c r="AZ9">
        <v>1616.961</v>
      </c>
      <c r="BA9">
        <v>1607.9749999999999</v>
      </c>
      <c r="BB9">
        <v>1600.374</v>
      </c>
      <c r="BC9">
        <v>1593.8040000000001</v>
      </c>
      <c r="BD9">
        <v>1587.8879999999999</v>
      </c>
      <c r="BE9">
        <v>1581.309</v>
      </c>
      <c r="BF9">
        <v>1573.943</v>
      </c>
      <c r="BG9">
        <v>0.02</v>
      </c>
    </row>
    <row r="10" spans="1:59">
      <c r="A10" t="s">
        <v>41</v>
      </c>
      <c r="B10" t="s">
        <v>33</v>
      </c>
      <c r="C10" t="s">
        <v>38</v>
      </c>
      <c r="D10">
        <v>312</v>
      </c>
      <c r="E10" t="s">
        <v>39</v>
      </c>
      <c r="F10" t="s">
        <v>3</v>
      </c>
      <c r="G10" t="s">
        <v>40</v>
      </c>
      <c r="H10">
        <v>193.94</v>
      </c>
      <c r="I10">
        <v>197.303</v>
      </c>
      <c r="J10">
        <v>199.036</v>
      </c>
      <c r="K10">
        <v>198.51300000000001</v>
      </c>
      <c r="L10">
        <v>190.26599999999999</v>
      </c>
      <c r="M10">
        <v>187.2</v>
      </c>
      <c r="N10">
        <v>187.93799999999999</v>
      </c>
      <c r="O10">
        <v>196.51300000000001</v>
      </c>
      <c r="P10">
        <v>204.12700000000001</v>
      </c>
      <c r="Q10">
        <v>215.01</v>
      </c>
      <c r="R10">
        <v>229.22</v>
      </c>
      <c r="S10">
        <v>248.61099999999999</v>
      </c>
      <c r="T10">
        <v>264.95600000000002</v>
      </c>
      <c r="U10">
        <v>276.82799999999997</v>
      </c>
      <c r="V10">
        <v>287.55799999999999</v>
      </c>
      <c r="W10">
        <v>274.255</v>
      </c>
      <c r="X10">
        <v>300.57600000000002</v>
      </c>
      <c r="Y10">
        <v>322.608</v>
      </c>
      <c r="Z10">
        <v>327.93700000000001</v>
      </c>
      <c r="AA10">
        <v>324.89699999999999</v>
      </c>
      <c r="AB10">
        <v>319.53100000000001</v>
      </c>
      <c r="AC10">
        <v>318.26900000000001</v>
      </c>
      <c r="AD10">
        <v>316.07100000000003</v>
      </c>
      <c r="AE10">
        <v>313.29899999999998</v>
      </c>
      <c r="AF10">
        <v>310.04199999999997</v>
      </c>
      <c r="AG10">
        <v>306.38499999999999</v>
      </c>
      <c r="AH10">
        <v>302.73</v>
      </c>
      <c r="AI10">
        <v>298.88799999999998</v>
      </c>
      <c r="AJ10">
        <v>294.98</v>
      </c>
      <c r="AK10">
        <v>290.74</v>
      </c>
      <c r="AL10">
        <v>286.24700000000001</v>
      </c>
      <c r="AM10">
        <v>281.45499999999998</v>
      </c>
      <c r="AN10">
        <v>276.45800000000003</v>
      </c>
      <c r="AO10">
        <v>271.42700000000002</v>
      </c>
      <c r="AP10">
        <v>266.31200000000001</v>
      </c>
      <c r="AQ10">
        <v>261.30900000000003</v>
      </c>
      <c r="AR10">
        <v>256.47899999999998</v>
      </c>
      <c r="AS10">
        <v>251.44200000000001</v>
      </c>
      <c r="AT10">
        <v>246.34899999999999</v>
      </c>
      <c r="AU10">
        <v>241.291</v>
      </c>
      <c r="AV10">
        <v>236.31200000000001</v>
      </c>
      <c r="AW10">
        <v>231.387</v>
      </c>
      <c r="AX10">
        <v>226.40299999999999</v>
      </c>
      <c r="AY10">
        <v>221.48599999999999</v>
      </c>
      <c r="AZ10">
        <v>216.73599999999999</v>
      </c>
      <c r="BA10">
        <v>212.155</v>
      </c>
      <c r="BB10">
        <v>207.76900000000001</v>
      </c>
      <c r="BC10">
        <v>203.52799999999999</v>
      </c>
      <c r="BD10">
        <v>199.39699999999999</v>
      </c>
      <c r="BE10">
        <v>195.23400000000001</v>
      </c>
      <c r="BF10">
        <v>191.06200000000001</v>
      </c>
      <c r="BG10">
        <v>0.03</v>
      </c>
    </row>
    <row r="11" spans="1:59">
      <c r="A11" t="s">
        <v>45</v>
      </c>
      <c r="B11" t="s">
        <v>33</v>
      </c>
      <c r="C11" t="s">
        <v>42</v>
      </c>
      <c r="D11">
        <v>313</v>
      </c>
      <c r="E11" t="s">
        <v>43</v>
      </c>
      <c r="F11" t="s">
        <v>3</v>
      </c>
      <c r="G11" t="s">
        <v>44</v>
      </c>
      <c r="H11">
        <v>216.619</v>
      </c>
      <c r="I11">
        <v>194.136</v>
      </c>
      <c r="J11">
        <v>171.05699999999999</v>
      </c>
      <c r="K11">
        <v>153.81299999999999</v>
      </c>
      <c r="L11">
        <v>126.285</v>
      </c>
      <c r="M11">
        <v>120.82599999999999</v>
      </c>
      <c r="N11">
        <v>119.973</v>
      </c>
      <c r="O11">
        <v>118.492</v>
      </c>
      <c r="P11">
        <v>117.06</v>
      </c>
      <c r="Q11">
        <v>116.482</v>
      </c>
      <c r="R11">
        <v>116.495</v>
      </c>
      <c r="S11">
        <v>114.345</v>
      </c>
      <c r="T11">
        <v>113.432</v>
      </c>
      <c r="U11">
        <v>111.733</v>
      </c>
      <c r="V11">
        <v>108.343</v>
      </c>
      <c r="W11">
        <v>95.4</v>
      </c>
      <c r="X11">
        <v>97.64</v>
      </c>
      <c r="Y11">
        <v>97.149000000000001</v>
      </c>
      <c r="Z11">
        <v>92.052999999999997</v>
      </c>
      <c r="AA11">
        <v>89.950999999999993</v>
      </c>
      <c r="AB11">
        <v>88.072000000000003</v>
      </c>
      <c r="AC11">
        <v>85.173000000000002</v>
      </c>
      <c r="AD11">
        <v>82.72</v>
      </c>
      <c r="AE11">
        <v>80.774000000000001</v>
      </c>
      <c r="AF11">
        <v>78.988</v>
      </c>
      <c r="AG11">
        <v>77.266999999999996</v>
      </c>
      <c r="AH11">
        <v>75.462000000000003</v>
      </c>
      <c r="AI11">
        <v>73.635999999999996</v>
      </c>
      <c r="AJ11">
        <v>71.963999999999999</v>
      </c>
      <c r="AK11">
        <v>70.302999999999997</v>
      </c>
      <c r="AL11">
        <v>68.736000000000004</v>
      </c>
      <c r="AM11">
        <v>67.197000000000003</v>
      </c>
      <c r="AN11">
        <v>65.692999999999998</v>
      </c>
      <c r="AO11">
        <v>64.257999999999996</v>
      </c>
      <c r="AP11">
        <v>62.899000000000001</v>
      </c>
      <c r="AQ11">
        <v>61.658000000000001</v>
      </c>
      <c r="AR11">
        <v>60.454000000000001</v>
      </c>
      <c r="AS11">
        <v>59.253999999999998</v>
      </c>
      <c r="AT11">
        <v>58.103000000000002</v>
      </c>
      <c r="AU11">
        <v>57.026000000000003</v>
      </c>
      <c r="AV11">
        <v>55.993000000000002</v>
      </c>
      <c r="AW11">
        <v>54.99</v>
      </c>
      <c r="AX11">
        <v>53.994</v>
      </c>
      <c r="AY11">
        <v>53.017000000000003</v>
      </c>
      <c r="AZ11">
        <v>52.069000000000003</v>
      </c>
      <c r="BA11">
        <v>51.149000000000001</v>
      </c>
      <c r="BB11">
        <v>50.24</v>
      </c>
      <c r="BC11">
        <v>49.34</v>
      </c>
      <c r="BD11">
        <v>48.45</v>
      </c>
      <c r="BE11">
        <v>47.543999999999997</v>
      </c>
      <c r="BF11">
        <v>46.634999999999998</v>
      </c>
      <c r="BG11">
        <v>2.44</v>
      </c>
    </row>
    <row r="12" spans="1:59">
      <c r="A12" t="s">
        <v>49</v>
      </c>
      <c r="B12" t="s">
        <v>33</v>
      </c>
      <c r="C12" t="s">
        <v>46</v>
      </c>
      <c r="D12">
        <v>314</v>
      </c>
      <c r="E12" t="s">
        <v>47</v>
      </c>
      <c r="F12" t="s">
        <v>3</v>
      </c>
      <c r="G12" t="s">
        <v>48</v>
      </c>
      <c r="H12">
        <v>171.28200000000001</v>
      </c>
      <c r="I12">
        <v>162.57300000000001</v>
      </c>
      <c r="J12">
        <v>157.297</v>
      </c>
      <c r="K12">
        <v>145.72499999999999</v>
      </c>
      <c r="L12">
        <v>123.91500000000001</v>
      </c>
      <c r="M12">
        <v>118.548</v>
      </c>
      <c r="N12">
        <v>117.14700000000001</v>
      </c>
      <c r="O12">
        <v>116.57899999999999</v>
      </c>
      <c r="P12">
        <v>114.20099999999999</v>
      </c>
      <c r="Q12">
        <v>114.873</v>
      </c>
      <c r="R12">
        <v>115.66800000000001</v>
      </c>
      <c r="S12">
        <v>116.28</v>
      </c>
      <c r="T12">
        <v>115.679</v>
      </c>
      <c r="U12">
        <v>116.238</v>
      </c>
      <c r="V12">
        <v>112.846</v>
      </c>
      <c r="W12">
        <v>101.143</v>
      </c>
      <c r="X12">
        <v>104.29</v>
      </c>
      <c r="Y12">
        <v>106.583</v>
      </c>
      <c r="Z12">
        <v>103.92400000000001</v>
      </c>
      <c r="AA12">
        <v>102.375</v>
      </c>
      <c r="AB12">
        <v>101.224</v>
      </c>
      <c r="AC12">
        <v>98.213999999999999</v>
      </c>
      <c r="AD12">
        <v>95.531000000000006</v>
      </c>
      <c r="AE12">
        <v>93.319000000000003</v>
      </c>
      <c r="AF12">
        <v>91.224000000000004</v>
      </c>
      <c r="AG12">
        <v>89.055000000000007</v>
      </c>
      <c r="AH12">
        <v>86.96</v>
      </c>
      <c r="AI12">
        <v>84.75</v>
      </c>
      <c r="AJ12">
        <v>82.512</v>
      </c>
      <c r="AK12">
        <v>80.394000000000005</v>
      </c>
      <c r="AL12">
        <v>78.275999999999996</v>
      </c>
      <c r="AM12">
        <v>76.22</v>
      </c>
      <c r="AN12">
        <v>74.2</v>
      </c>
      <c r="AO12">
        <v>72.248999999999995</v>
      </c>
      <c r="AP12">
        <v>70.346000000000004</v>
      </c>
      <c r="AQ12">
        <v>68.521000000000001</v>
      </c>
      <c r="AR12">
        <v>66.893000000000001</v>
      </c>
      <c r="AS12">
        <v>65.367999999999995</v>
      </c>
      <c r="AT12">
        <v>63.854999999999997</v>
      </c>
      <c r="AU12">
        <v>62.472999999999999</v>
      </c>
      <c r="AV12">
        <v>61.192999999999998</v>
      </c>
      <c r="AW12">
        <v>59.95</v>
      </c>
      <c r="AX12">
        <v>58.716000000000001</v>
      </c>
      <c r="AY12">
        <v>57.505000000000003</v>
      </c>
      <c r="AZ12">
        <v>56.325000000000003</v>
      </c>
      <c r="BA12">
        <v>55.171999999999997</v>
      </c>
      <c r="BB12">
        <v>54.033999999999999</v>
      </c>
      <c r="BC12">
        <v>52.908999999999999</v>
      </c>
      <c r="BD12">
        <v>51.796999999999997</v>
      </c>
      <c r="BE12">
        <v>50.676000000000002</v>
      </c>
      <c r="BF12">
        <v>49.555999999999997</v>
      </c>
      <c r="BG12">
        <v>2.75</v>
      </c>
    </row>
    <row r="13" spans="1:59">
      <c r="A13" t="s">
        <v>53</v>
      </c>
      <c r="B13" t="s">
        <v>33</v>
      </c>
      <c r="C13" t="s">
        <v>50</v>
      </c>
      <c r="D13">
        <v>315</v>
      </c>
      <c r="E13" t="s">
        <v>51</v>
      </c>
      <c r="F13" t="s">
        <v>3</v>
      </c>
      <c r="G13" t="s">
        <v>52</v>
      </c>
      <c r="H13">
        <v>251.46299999999999</v>
      </c>
      <c r="I13">
        <v>230.613</v>
      </c>
      <c r="J13">
        <v>210.239</v>
      </c>
      <c r="K13">
        <v>196.18700000000001</v>
      </c>
      <c r="L13">
        <v>164.91399999999999</v>
      </c>
      <c r="M13">
        <v>154.55799999999999</v>
      </c>
      <c r="N13">
        <v>148.51400000000001</v>
      </c>
      <c r="O13">
        <v>148.16900000000001</v>
      </c>
      <c r="P13">
        <v>142.97200000000001</v>
      </c>
      <c r="Q13">
        <v>139.19900000000001</v>
      </c>
      <c r="R13">
        <v>135.49299999999999</v>
      </c>
      <c r="S13">
        <v>129.88300000000001</v>
      </c>
      <c r="T13">
        <v>120.64100000000001</v>
      </c>
      <c r="U13">
        <v>113.614</v>
      </c>
      <c r="V13">
        <v>109.399</v>
      </c>
      <c r="W13">
        <v>89.185000000000002</v>
      </c>
      <c r="X13">
        <v>90.858000000000004</v>
      </c>
      <c r="Y13">
        <v>94.352000000000004</v>
      </c>
      <c r="Z13">
        <v>90.683000000000007</v>
      </c>
      <c r="AA13">
        <v>87.983999999999995</v>
      </c>
      <c r="AB13">
        <v>83.777000000000001</v>
      </c>
      <c r="AC13">
        <v>78.820999999999998</v>
      </c>
      <c r="AD13">
        <v>75.254999999999995</v>
      </c>
      <c r="AE13">
        <v>72.394999999999996</v>
      </c>
      <c r="AF13">
        <v>69.533000000000001</v>
      </c>
      <c r="AG13">
        <v>66.667000000000002</v>
      </c>
      <c r="AH13">
        <v>63.802999999999997</v>
      </c>
      <c r="AI13">
        <v>60.941000000000003</v>
      </c>
      <c r="AJ13">
        <v>58.1</v>
      </c>
      <c r="AK13">
        <v>55.37</v>
      </c>
      <c r="AL13">
        <v>52.817</v>
      </c>
      <c r="AM13">
        <v>50.41</v>
      </c>
      <c r="AN13">
        <v>48.134999999999998</v>
      </c>
      <c r="AO13">
        <v>45.981999999999999</v>
      </c>
      <c r="AP13">
        <v>43.970999999999997</v>
      </c>
      <c r="AQ13">
        <v>42.106999999999999</v>
      </c>
      <c r="AR13">
        <v>40.405999999999999</v>
      </c>
      <c r="AS13">
        <v>38.81</v>
      </c>
      <c r="AT13">
        <v>37.371000000000002</v>
      </c>
      <c r="AU13">
        <v>36.082000000000001</v>
      </c>
      <c r="AV13">
        <v>34.840000000000003</v>
      </c>
      <c r="AW13">
        <v>33.636000000000003</v>
      </c>
      <c r="AX13">
        <v>32.454999999999998</v>
      </c>
      <c r="AY13">
        <v>31.302</v>
      </c>
      <c r="AZ13">
        <v>30.187000000000001</v>
      </c>
      <c r="BA13">
        <v>29.114000000000001</v>
      </c>
      <c r="BB13">
        <v>28.07</v>
      </c>
      <c r="BC13">
        <v>27.059000000000001</v>
      </c>
      <c r="BD13">
        <v>26.074000000000002</v>
      </c>
      <c r="BE13">
        <v>25.105</v>
      </c>
      <c r="BF13">
        <v>24.16</v>
      </c>
      <c r="BG13">
        <v>0.21</v>
      </c>
    </row>
    <row r="14" spans="1:59">
      <c r="A14" t="s">
        <v>57</v>
      </c>
      <c r="B14" t="s">
        <v>33</v>
      </c>
      <c r="C14" t="s">
        <v>54</v>
      </c>
      <c r="D14">
        <v>316</v>
      </c>
      <c r="E14" t="s">
        <v>55</v>
      </c>
      <c r="F14" t="s">
        <v>3</v>
      </c>
      <c r="G14" t="s">
        <v>56</v>
      </c>
      <c r="H14">
        <v>37.816000000000003</v>
      </c>
      <c r="I14">
        <v>35.826000000000001</v>
      </c>
      <c r="J14">
        <v>34.192999999999998</v>
      </c>
      <c r="K14">
        <v>32.893000000000001</v>
      </c>
      <c r="L14">
        <v>29.143000000000001</v>
      </c>
      <c r="M14">
        <v>28.738</v>
      </c>
      <c r="N14">
        <v>29.562000000000001</v>
      </c>
      <c r="O14">
        <v>30.651</v>
      </c>
      <c r="P14">
        <v>30.039000000000001</v>
      </c>
      <c r="Q14">
        <v>29.248000000000001</v>
      </c>
      <c r="R14">
        <v>29.164999999999999</v>
      </c>
      <c r="S14">
        <v>28.657</v>
      </c>
      <c r="T14">
        <v>28.120999999999999</v>
      </c>
      <c r="U14">
        <v>27.513999999999999</v>
      </c>
      <c r="V14">
        <v>27.155999999999999</v>
      </c>
      <c r="W14">
        <v>24.074999999999999</v>
      </c>
      <c r="X14">
        <v>26.268000000000001</v>
      </c>
      <c r="Y14">
        <v>27.213000000000001</v>
      </c>
      <c r="Z14">
        <v>26.201000000000001</v>
      </c>
      <c r="AA14">
        <v>26.106999999999999</v>
      </c>
      <c r="AB14">
        <v>25.053999999999998</v>
      </c>
      <c r="AC14">
        <v>24.091999999999999</v>
      </c>
      <c r="AD14">
        <v>23.672000000000001</v>
      </c>
      <c r="AE14">
        <v>23.608000000000001</v>
      </c>
      <c r="AF14">
        <v>23.529</v>
      </c>
      <c r="AG14">
        <v>23.408000000000001</v>
      </c>
      <c r="AH14">
        <v>23.256</v>
      </c>
      <c r="AI14">
        <v>23.065000000000001</v>
      </c>
      <c r="AJ14">
        <v>22.881</v>
      </c>
      <c r="AK14">
        <v>22.739000000000001</v>
      </c>
      <c r="AL14">
        <v>22.536999999999999</v>
      </c>
      <c r="AM14">
        <v>22.385999999999999</v>
      </c>
      <c r="AN14">
        <v>22.206</v>
      </c>
      <c r="AO14">
        <v>22.097999999999999</v>
      </c>
      <c r="AP14">
        <v>22.1</v>
      </c>
      <c r="AQ14">
        <v>22.138000000000002</v>
      </c>
      <c r="AR14">
        <v>22.236000000000001</v>
      </c>
      <c r="AS14">
        <v>22.420999999999999</v>
      </c>
      <c r="AT14">
        <v>22.687999999999999</v>
      </c>
      <c r="AU14">
        <v>23.023</v>
      </c>
      <c r="AV14">
        <v>23.367999999999999</v>
      </c>
      <c r="AW14">
        <v>23.719000000000001</v>
      </c>
      <c r="AX14">
        <v>24.059000000000001</v>
      </c>
      <c r="AY14">
        <v>24.401</v>
      </c>
      <c r="AZ14">
        <v>24.751000000000001</v>
      </c>
      <c r="BA14">
        <v>25.103999999999999</v>
      </c>
      <c r="BB14">
        <v>25.452000000000002</v>
      </c>
      <c r="BC14">
        <v>25.795999999999999</v>
      </c>
      <c r="BD14">
        <v>26.141999999999999</v>
      </c>
      <c r="BE14">
        <v>26.48</v>
      </c>
      <c r="BF14">
        <v>26.812999999999999</v>
      </c>
      <c r="BG14">
        <v>1.2</v>
      </c>
    </row>
    <row r="15" spans="1:59">
      <c r="A15" t="s">
        <v>61</v>
      </c>
      <c r="B15" t="s">
        <v>33</v>
      </c>
      <c r="C15" t="s">
        <v>58</v>
      </c>
      <c r="D15">
        <v>321</v>
      </c>
      <c r="E15" t="s">
        <v>59</v>
      </c>
      <c r="F15" t="s">
        <v>3</v>
      </c>
      <c r="G15" t="s">
        <v>60</v>
      </c>
      <c r="H15">
        <v>563.44399999999996</v>
      </c>
      <c r="I15">
        <v>559.47900000000004</v>
      </c>
      <c r="J15">
        <v>517.91999999999996</v>
      </c>
      <c r="K15">
        <v>457.44900000000001</v>
      </c>
      <c r="L15">
        <v>360.32900000000001</v>
      </c>
      <c r="M15">
        <v>342</v>
      </c>
      <c r="N15">
        <v>338.38900000000001</v>
      </c>
      <c r="O15">
        <v>342.01499999999999</v>
      </c>
      <c r="P15">
        <v>356.024</v>
      </c>
      <c r="Q15">
        <v>372.84300000000002</v>
      </c>
      <c r="R15">
        <v>383.40100000000001</v>
      </c>
      <c r="S15">
        <v>393.75799999999998</v>
      </c>
      <c r="T15">
        <v>399.108</v>
      </c>
      <c r="U15">
        <v>407.524</v>
      </c>
      <c r="V15">
        <v>407.63099999999997</v>
      </c>
      <c r="W15">
        <v>395.17200000000003</v>
      </c>
      <c r="X15">
        <v>411.16300000000001</v>
      </c>
      <c r="Y15">
        <v>428.19499999999999</v>
      </c>
      <c r="Z15">
        <v>423.74599999999998</v>
      </c>
      <c r="AA15">
        <v>422.69400000000002</v>
      </c>
      <c r="AB15">
        <v>421.35599999999999</v>
      </c>
      <c r="AC15">
        <v>422.87299999999999</v>
      </c>
      <c r="AD15">
        <v>423.07799999999997</v>
      </c>
      <c r="AE15">
        <v>423.15300000000002</v>
      </c>
      <c r="AF15">
        <v>422.63</v>
      </c>
      <c r="AG15">
        <v>421.36399999999998</v>
      </c>
      <c r="AH15">
        <v>419.89699999999999</v>
      </c>
      <c r="AI15">
        <v>418.25700000000001</v>
      </c>
      <c r="AJ15">
        <v>416.53800000000001</v>
      </c>
      <c r="AK15">
        <v>414.61399999999998</v>
      </c>
      <c r="AL15">
        <v>412.63200000000001</v>
      </c>
      <c r="AM15">
        <v>410.37099999999998</v>
      </c>
      <c r="AN15">
        <v>407.77</v>
      </c>
      <c r="AO15">
        <v>405.06200000000001</v>
      </c>
      <c r="AP15">
        <v>402.56200000000001</v>
      </c>
      <c r="AQ15">
        <v>400.10300000000001</v>
      </c>
      <c r="AR15">
        <v>397.755</v>
      </c>
      <c r="AS15">
        <v>395.505</v>
      </c>
      <c r="AT15">
        <v>393.19400000000002</v>
      </c>
      <c r="AU15">
        <v>390.91199999999998</v>
      </c>
      <c r="AV15">
        <v>388.57400000000001</v>
      </c>
      <c r="AW15">
        <v>386.21499999999997</v>
      </c>
      <c r="AX15">
        <v>383.85500000000002</v>
      </c>
      <c r="AY15">
        <v>381.471</v>
      </c>
      <c r="AZ15">
        <v>379.16399999999999</v>
      </c>
      <c r="BA15">
        <v>376.87299999999999</v>
      </c>
      <c r="BB15">
        <v>374.61399999999998</v>
      </c>
      <c r="BC15">
        <v>372.36900000000003</v>
      </c>
      <c r="BD15">
        <v>370.07100000000003</v>
      </c>
      <c r="BE15">
        <v>367.61799999999999</v>
      </c>
      <c r="BF15">
        <v>365.036</v>
      </c>
      <c r="BG15">
        <v>1.93</v>
      </c>
    </row>
    <row r="16" spans="1:59">
      <c r="A16" t="s">
        <v>65</v>
      </c>
      <c r="B16" t="s">
        <v>33</v>
      </c>
      <c r="C16" t="s">
        <v>62</v>
      </c>
      <c r="D16">
        <v>322</v>
      </c>
      <c r="E16" t="s">
        <v>63</v>
      </c>
      <c r="F16" t="s">
        <v>3</v>
      </c>
      <c r="G16" t="s">
        <v>64</v>
      </c>
      <c r="H16">
        <v>481.26900000000001</v>
      </c>
      <c r="I16">
        <v>465.75900000000001</v>
      </c>
      <c r="J16">
        <v>452.90199999999999</v>
      </c>
      <c r="K16">
        <v>438.15300000000002</v>
      </c>
      <c r="L16">
        <v>401.83199999999999</v>
      </c>
      <c r="M16">
        <v>390.04899999999998</v>
      </c>
      <c r="N16">
        <v>383.52300000000002</v>
      </c>
      <c r="O16">
        <v>378.78199999999998</v>
      </c>
      <c r="P16">
        <v>373.56599999999997</v>
      </c>
      <c r="Q16">
        <v>370.745</v>
      </c>
      <c r="R16">
        <v>368.98200000000003</v>
      </c>
      <c r="S16">
        <v>367.53399999999999</v>
      </c>
      <c r="T16">
        <v>365.68700000000001</v>
      </c>
      <c r="U16">
        <v>364.30200000000002</v>
      </c>
      <c r="V16">
        <v>364.608</v>
      </c>
      <c r="W16">
        <v>353.79300000000001</v>
      </c>
      <c r="X16">
        <v>352.262</v>
      </c>
      <c r="Y16">
        <v>362.63200000000001</v>
      </c>
      <c r="Z16">
        <v>361.73200000000003</v>
      </c>
      <c r="AA16">
        <v>359.85700000000003</v>
      </c>
      <c r="AB16">
        <v>355.50700000000001</v>
      </c>
      <c r="AC16">
        <v>349.80500000000001</v>
      </c>
      <c r="AD16">
        <v>343.77300000000002</v>
      </c>
      <c r="AE16">
        <v>337.45100000000002</v>
      </c>
      <c r="AF16">
        <v>331.01299999999998</v>
      </c>
      <c r="AG16">
        <v>324.637</v>
      </c>
      <c r="AH16">
        <v>318.72800000000001</v>
      </c>
      <c r="AI16">
        <v>313.01900000000001</v>
      </c>
      <c r="AJ16">
        <v>307.44600000000003</v>
      </c>
      <c r="AK16">
        <v>302.21199999999999</v>
      </c>
      <c r="AL16">
        <v>297.05</v>
      </c>
      <c r="AM16">
        <v>291.64</v>
      </c>
      <c r="AN16">
        <v>286.01900000000001</v>
      </c>
      <c r="AO16">
        <v>280.363</v>
      </c>
      <c r="AP16">
        <v>274.97199999999998</v>
      </c>
      <c r="AQ16">
        <v>269.67399999999998</v>
      </c>
      <c r="AR16">
        <v>264.44</v>
      </c>
      <c r="AS16">
        <v>259.09899999999999</v>
      </c>
      <c r="AT16">
        <v>253.46600000000001</v>
      </c>
      <c r="AU16">
        <v>247.68</v>
      </c>
      <c r="AV16">
        <v>242.00800000000001</v>
      </c>
      <c r="AW16">
        <v>236.41200000000001</v>
      </c>
      <c r="AX16">
        <v>230.8</v>
      </c>
      <c r="AY16">
        <v>225.22900000000001</v>
      </c>
      <c r="AZ16">
        <v>219.76300000000001</v>
      </c>
      <c r="BA16">
        <v>214.39500000000001</v>
      </c>
      <c r="BB16">
        <v>209.13800000000001</v>
      </c>
      <c r="BC16">
        <v>203.941</v>
      </c>
      <c r="BD16">
        <v>198.78899999999999</v>
      </c>
      <c r="BE16">
        <v>193.63399999999999</v>
      </c>
      <c r="BF16">
        <v>188.50700000000001</v>
      </c>
      <c r="BG16">
        <v>4.03</v>
      </c>
    </row>
    <row r="17" spans="1:59">
      <c r="A17" t="s">
        <v>69</v>
      </c>
      <c r="B17" t="s">
        <v>33</v>
      </c>
      <c r="C17" t="s">
        <v>66</v>
      </c>
      <c r="D17">
        <v>323</v>
      </c>
      <c r="E17" t="s">
        <v>67</v>
      </c>
      <c r="F17" t="s">
        <v>3</v>
      </c>
      <c r="G17" t="s">
        <v>68</v>
      </c>
      <c r="H17">
        <v>645.39700000000005</v>
      </c>
      <c r="I17">
        <v>634.471</v>
      </c>
      <c r="J17">
        <v>622.40300000000002</v>
      </c>
      <c r="K17">
        <v>592.62599999999998</v>
      </c>
      <c r="L17">
        <v>519.11699999999996</v>
      </c>
      <c r="M17">
        <v>485.726</v>
      </c>
      <c r="N17">
        <v>470.84500000000003</v>
      </c>
      <c r="O17">
        <v>459.93400000000003</v>
      </c>
      <c r="P17">
        <v>454.99200000000002</v>
      </c>
      <c r="Q17">
        <v>454.40800000000002</v>
      </c>
      <c r="R17">
        <v>451.46800000000002</v>
      </c>
      <c r="S17">
        <v>449.03</v>
      </c>
      <c r="T17">
        <v>441.887</v>
      </c>
      <c r="U17">
        <v>432.77699999999999</v>
      </c>
      <c r="V17">
        <v>425.90499999999997</v>
      </c>
      <c r="W17">
        <v>376.63200000000001</v>
      </c>
      <c r="X17">
        <v>369.637</v>
      </c>
      <c r="Y17">
        <v>381.11099999999999</v>
      </c>
      <c r="Z17">
        <v>375.78500000000003</v>
      </c>
      <c r="AA17">
        <v>371.05099999999999</v>
      </c>
      <c r="AB17">
        <v>369.09800000000001</v>
      </c>
      <c r="AC17">
        <v>363.71800000000002</v>
      </c>
      <c r="AD17">
        <v>358.28100000000001</v>
      </c>
      <c r="AE17">
        <v>354.05099999999999</v>
      </c>
      <c r="AF17">
        <v>350.65100000000001</v>
      </c>
      <c r="AG17">
        <v>347.41399999999999</v>
      </c>
      <c r="AH17">
        <v>344.358</v>
      </c>
      <c r="AI17">
        <v>340.95299999999997</v>
      </c>
      <c r="AJ17">
        <v>337.85899999999998</v>
      </c>
      <c r="AK17">
        <v>335.072</v>
      </c>
      <c r="AL17">
        <v>332.572</v>
      </c>
      <c r="AM17">
        <v>330.62400000000002</v>
      </c>
      <c r="AN17">
        <v>328.99900000000002</v>
      </c>
      <c r="AO17">
        <v>327.654</v>
      </c>
      <c r="AP17">
        <v>326.40899999999999</v>
      </c>
      <c r="AQ17">
        <v>325.15100000000001</v>
      </c>
      <c r="AR17">
        <v>323.95100000000002</v>
      </c>
      <c r="AS17">
        <v>322.745</v>
      </c>
      <c r="AT17">
        <v>321.46499999999997</v>
      </c>
      <c r="AU17">
        <v>320.15100000000001</v>
      </c>
      <c r="AV17">
        <v>318.82</v>
      </c>
      <c r="AW17">
        <v>317.459</v>
      </c>
      <c r="AX17">
        <v>316.089</v>
      </c>
      <c r="AY17">
        <v>314.76299999999998</v>
      </c>
      <c r="AZ17">
        <v>313.52699999999999</v>
      </c>
      <c r="BA17">
        <v>312.38499999999999</v>
      </c>
      <c r="BB17">
        <v>311.29700000000003</v>
      </c>
      <c r="BC17">
        <v>310.23099999999999</v>
      </c>
      <c r="BD17">
        <v>309.161</v>
      </c>
      <c r="BE17">
        <v>307.95</v>
      </c>
      <c r="BF17">
        <v>306.68700000000001</v>
      </c>
      <c r="BG17">
        <v>3.22</v>
      </c>
    </row>
    <row r="18" spans="1:59">
      <c r="A18" t="s">
        <v>73</v>
      </c>
      <c r="B18" t="s">
        <v>33</v>
      </c>
      <c r="C18" t="s">
        <v>70</v>
      </c>
      <c r="D18">
        <v>324</v>
      </c>
      <c r="E18" t="s">
        <v>71</v>
      </c>
      <c r="F18" t="s">
        <v>3</v>
      </c>
      <c r="G18" t="s">
        <v>72</v>
      </c>
      <c r="H18">
        <v>111.32</v>
      </c>
      <c r="I18">
        <v>112.065</v>
      </c>
      <c r="J18">
        <v>114.294</v>
      </c>
      <c r="K18">
        <v>114.77200000000001</v>
      </c>
      <c r="L18">
        <v>112.399</v>
      </c>
      <c r="M18">
        <v>109.95099999999999</v>
      </c>
      <c r="N18">
        <v>110.092</v>
      </c>
      <c r="O18">
        <v>111.03</v>
      </c>
      <c r="P18">
        <v>110.752</v>
      </c>
      <c r="Q18">
        <v>111.202</v>
      </c>
      <c r="R18">
        <v>111.131</v>
      </c>
      <c r="S18">
        <v>112.446</v>
      </c>
      <c r="T18">
        <v>112.20399999999999</v>
      </c>
      <c r="U18">
        <v>111.96899999999999</v>
      </c>
      <c r="V18">
        <v>111.97499999999999</v>
      </c>
      <c r="W18">
        <v>109.15300000000001</v>
      </c>
      <c r="X18">
        <v>104.62</v>
      </c>
      <c r="Y18">
        <v>105.723</v>
      </c>
      <c r="Z18">
        <v>106.85599999999999</v>
      </c>
      <c r="AA18">
        <v>106.709</v>
      </c>
      <c r="AB18">
        <v>105.681</v>
      </c>
      <c r="AC18">
        <v>105.241</v>
      </c>
      <c r="AD18">
        <v>104.583</v>
      </c>
      <c r="AE18">
        <v>103.855</v>
      </c>
      <c r="AF18">
        <v>103.086</v>
      </c>
      <c r="AG18">
        <v>102.28700000000001</v>
      </c>
      <c r="AH18">
        <v>101.52200000000001</v>
      </c>
      <c r="AI18">
        <v>100.79900000000001</v>
      </c>
      <c r="AJ18">
        <v>100.081</v>
      </c>
      <c r="AK18">
        <v>99.313999999999993</v>
      </c>
      <c r="AL18">
        <v>98.561000000000007</v>
      </c>
      <c r="AM18">
        <v>97.748999999999995</v>
      </c>
      <c r="AN18">
        <v>96.869</v>
      </c>
      <c r="AO18">
        <v>95.965999999999994</v>
      </c>
      <c r="AP18">
        <v>95.108000000000004</v>
      </c>
      <c r="AQ18">
        <v>94.236999999999995</v>
      </c>
      <c r="AR18">
        <v>93.356999999999999</v>
      </c>
      <c r="AS18">
        <v>92.445999999999998</v>
      </c>
      <c r="AT18">
        <v>91.465999999999994</v>
      </c>
      <c r="AU18">
        <v>90.427999999999997</v>
      </c>
      <c r="AV18">
        <v>89.379000000000005</v>
      </c>
      <c r="AW18">
        <v>88.33</v>
      </c>
      <c r="AX18">
        <v>87.26</v>
      </c>
      <c r="AY18">
        <v>86.186999999999998</v>
      </c>
      <c r="AZ18">
        <v>85.138000000000005</v>
      </c>
      <c r="BA18">
        <v>84.102000000000004</v>
      </c>
      <c r="BB18">
        <v>83.088999999999999</v>
      </c>
      <c r="BC18">
        <v>82.084999999999994</v>
      </c>
      <c r="BD18">
        <v>81.093000000000004</v>
      </c>
      <c r="BE18">
        <v>80.078000000000003</v>
      </c>
      <c r="BF18">
        <v>79.039000000000001</v>
      </c>
      <c r="BG18">
        <v>3.56</v>
      </c>
    </row>
    <row r="19" spans="1:59">
      <c r="A19" t="s">
        <v>77</v>
      </c>
      <c r="B19" t="s">
        <v>33</v>
      </c>
      <c r="C19" t="s">
        <v>74</v>
      </c>
      <c r="D19">
        <v>325</v>
      </c>
      <c r="E19" t="s">
        <v>75</v>
      </c>
      <c r="F19" t="s">
        <v>3</v>
      </c>
      <c r="G19" t="s">
        <v>76</v>
      </c>
      <c r="H19">
        <v>865.96600000000001</v>
      </c>
      <c r="I19">
        <v>854.69</v>
      </c>
      <c r="J19">
        <v>850.36500000000001</v>
      </c>
      <c r="K19">
        <v>840.86400000000003</v>
      </c>
      <c r="L19">
        <v>789.67499999999995</v>
      </c>
      <c r="M19">
        <v>773.66499999999996</v>
      </c>
      <c r="N19">
        <v>772.09699999999998</v>
      </c>
      <c r="O19">
        <v>775.23199999999997</v>
      </c>
      <c r="P19">
        <v>781.495</v>
      </c>
      <c r="Q19">
        <v>791.82799999999997</v>
      </c>
      <c r="R19">
        <v>803.09799999999996</v>
      </c>
      <c r="S19">
        <v>813.63900000000001</v>
      </c>
      <c r="T19">
        <v>822.9</v>
      </c>
      <c r="U19">
        <v>835.97900000000004</v>
      </c>
      <c r="V19">
        <v>851.875</v>
      </c>
      <c r="W19">
        <v>846.90499999999997</v>
      </c>
      <c r="X19">
        <v>871.36300000000006</v>
      </c>
      <c r="Y19">
        <v>898.072</v>
      </c>
      <c r="Z19">
        <v>899.11599999999999</v>
      </c>
      <c r="AA19">
        <v>897.02800000000002</v>
      </c>
      <c r="AB19">
        <v>903.90099999999995</v>
      </c>
      <c r="AC19">
        <v>909.14</v>
      </c>
      <c r="AD19">
        <v>910.78899999999999</v>
      </c>
      <c r="AE19">
        <v>910.76599999999996</v>
      </c>
      <c r="AF19">
        <v>909.15700000000004</v>
      </c>
      <c r="AG19">
        <v>906.56200000000001</v>
      </c>
      <c r="AH19">
        <v>904.79399999999998</v>
      </c>
      <c r="AI19">
        <v>903.56</v>
      </c>
      <c r="AJ19">
        <v>902.34299999999996</v>
      </c>
      <c r="AK19">
        <v>901.66700000000003</v>
      </c>
      <c r="AL19">
        <v>901.16</v>
      </c>
      <c r="AM19">
        <v>900.21299999999997</v>
      </c>
      <c r="AN19">
        <v>898.56899999999996</v>
      </c>
      <c r="AO19">
        <v>896.70899999999995</v>
      </c>
      <c r="AP19">
        <v>895.30200000000002</v>
      </c>
      <c r="AQ19">
        <v>894.01199999999994</v>
      </c>
      <c r="AR19">
        <v>893.01</v>
      </c>
      <c r="AS19">
        <v>891.98500000000001</v>
      </c>
      <c r="AT19">
        <v>890.59699999999998</v>
      </c>
      <c r="AU19">
        <v>888.91399999999999</v>
      </c>
      <c r="AV19">
        <v>887.35199999999998</v>
      </c>
      <c r="AW19">
        <v>886.03599999999994</v>
      </c>
      <c r="AX19">
        <v>884.66</v>
      </c>
      <c r="AY19">
        <v>883.36400000000003</v>
      </c>
      <c r="AZ19">
        <v>882.54100000000005</v>
      </c>
      <c r="BA19">
        <v>882.15099999999995</v>
      </c>
      <c r="BB19">
        <v>882.21500000000003</v>
      </c>
      <c r="BC19">
        <v>882.51599999999996</v>
      </c>
      <c r="BD19">
        <v>883.02800000000002</v>
      </c>
      <c r="BE19">
        <v>883.29100000000005</v>
      </c>
      <c r="BF19">
        <v>883.29600000000005</v>
      </c>
      <c r="BG19">
        <v>4.9400000000000004</v>
      </c>
    </row>
    <row r="20" spans="1:59">
      <c r="A20" t="s">
        <v>81</v>
      </c>
      <c r="B20" t="s">
        <v>33</v>
      </c>
      <c r="C20" t="s">
        <v>78</v>
      </c>
      <c r="D20">
        <v>326</v>
      </c>
      <c r="E20" t="s">
        <v>79</v>
      </c>
      <c r="F20" t="s">
        <v>3</v>
      </c>
      <c r="G20" t="s">
        <v>80</v>
      </c>
      <c r="H20">
        <v>803.28899999999999</v>
      </c>
      <c r="I20">
        <v>788.96500000000003</v>
      </c>
      <c r="J20">
        <v>758.98299999999995</v>
      </c>
      <c r="K20">
        <v>728.43899999999996</v>
      </c>
      <c r="L20">
        <v>627.31299999999999</v>
      </c>
      <c r="M20">
        <v>625.23500000000001</v>
      </c>
      <c r="N20">
        <v>634.13499999999999</v>
      </c>
      <c r="O20">
        <v>645.93799999999999</v>
      </c>
      <c r="P20">
        <v>658.71600000000001</v>
      </c>
      <c r="Q20">
        <v>674.59400000000005</v>
      </c>
      <c r="R20">
        <v>689.29300000000001</v>
      </c>
      <c r="S20">
        <v>704.25699999999995</v>
      </c>
      <c r="T20">
        <v>716.14599999999996</v>
      </c>
      <c r="U20">
        <v>730.18700000000001</v>
      </c>
      <c r="V20">
        <v>731.96799999999996</v>
      </c>
      <c r="W20">
        <v>693.88199999999995</v>
      </c>
      <c r="X20">
        <v>724.11099999999999</v>
      </c>
      <c r="Y20">
        <v>753.51199999999994</v>
      </c>
      <c r="Z20">
        <v>745.95899999999995</v>
      </c>
      <c r="AA20">
        <v>737.97299999999996</v>
      </c>
      <c r="AB20">
        <v>737.82600000000002</v>
      </c>
      <c r="AC20">
        <v>739.48699999999997</v>
      </c>
      <c r="AD20">
        <v>736.66899999999998</v>
      </c>
      <c r="AE20">
        <v>730.90099999999995</v>
      </c>
      <c r="AF20">
        <v>723.56799999999998</v>
      </c>
      <c r="AG20">
        <v>715.22199999999998</v>
      </c>
      <c r="AH20">
        <v>706.97699999999998</v>
      </c>
      <c r="AI20">
        <v>698.95399999999995</v>
      </c>
      <c r="AJ20">
        <v>691.08100000000002</v>
      </c>
      <c r="AK20">
        <v>683.58100000000002</v>
      </c>
      <c r="AL20">
        <v>676.274</v>
      </c>
      <c r="AM20">
        <v>668.75</v>
      </c>
      <c r="AN20">
        <v>660.601</v>
      </c>
      <c r="AO20">
        <v>652.29399999999998</v>
      </c>
      <c r="AP20">
        <v>644.33600000000001</v>
      </c>
      <c r="AQ20">
        <v>636.50900000000001</v>
      </c>
      <c r="AR20">
        <v>628.98500000000001</v>
      </c>
      <c r="AS20">
        <v>621.50599999999997</v>
      </c>
      <c r="AT20">
        <v>613.88199999999995</v>
      </c>
      <c r="AU20">
        <v>606.17200000000003</v>
      </c>
      <c r="AV20">
        <v>598.351</v>
      </c>
      <c r="AW20">
        <v>590.62199999999996</v>
      </c>
      <c r="AX20">
        <v>582.721</v>
      </c>
      <c r="AY20">
        <v>574.57399999999996</v>
      </c>
      <c r="AZ20">
        <v>566.59400000000005</v>
      </c>
      <c r="BA20">
        <v>558.91899999999998</v>
      </c>
      <c r="BB20">
        <v>551.52800000000002</v>
      </c>
      <c r="BC20">
        <v>544.25300000000004</v>
      </c>
      <c r="BD20">
        <v>537.05100000000004</v>
      </c>
      <c r="BE20">
        <v>529.64800000000002</v>
      </c>
      <c r="BF20">
        <v>522.07100000000003</v>
      </c>
      <c r="BG20">
        <v>14.05</v>
      </c>
    </row>
    <row r="21" spans="1:59">
      <c r="A21" t="s">
        <v>85</v>
      </c>
      <c r="B21" t="s">
        <v>33</v>
      </c>
      <c r="C21" t="s">
        <v>82</v>
      </c>
      <c r="D21">
        <v>327</v>
      </c>
      <c r="E21" t="s">
        <v>83</v>
      </c>
      <c r="F21" t="s">
        <v>3</v>
      </c>
      <c r="G21" t="s">
        <v>84</v>
      </c>
      <c r="H21">
        <v>504.25099999999998</v>
      </c>
      <c r="I21">
        <v>511.37</v>
      </c>
      <c r="J21">
        <v>500.03</v>
      </c>
      <c r="K21">
        <v>463.40800000000002</v>
      </c>
      <c r="L21">
        <v>389.39499999999998</v>
      </c>
      <c r="M21">
        <v>367.95800000000003</v>
      </c>
      <c r="N21">
        <v>363.58800000000002</v>
      </c>
      <c r="O21">
        <v>366.101</v>
      </c>
      <c r="P21">
        <v>371.63799999999998</v>
      </c>
      <c r="Q21">
        <v>382.42099999999999</v>
      </c>
      <c r="R21">
        <v>397.471</v>
      </c>
      <c r="S21">
        <v>407.97800000000001</v>
      </c>
      <c r="T21">
        <v>412.31900000000002</v>
      </c>
      <c r="U21">
        <v>417.79399999999998</v>
      </c>
      <c r="V21">
        <v>418.50299999999999</v>
      </c>
      <c r="W21">
        <v>398.79700000000003</v>
      </c>
      <c r="X21">
        <v>403.91399999999999</v>
      </c>
      <c r="Y21">
        <v>417.69</v>
      </c>
      <c r="Z21">
        <v>419.71100000000001</v>
      </c>
      <c r="AA21">
        <v>420.63900000000001</v>
      </c>
      <c r="AB21">
        <v>424.01400000000001</v>
      </c>
      <c r="AC21">
        <v>425.41</v>
      </c>
      <c r="AD21">
        <v>425.48599999999999</v>
      </c>
      <c r="AE21">
        <v>425.19400000000002</v>
      </c>
      <c r="AF21">
        <v>424.28500000000003</v>
      </c>
      <c r="AG21">
        <v>422.72199999999998</v>
      </c>
      <c r="AH21">
        <v>420.904</v>
      </c>
      <c r="AI21">
        <v>419.17</v>
      </c>
      <c r="AJ21">
        <v>417.29</v>
      </c>
      <c r="AK21">
        <v>415.55</v>
      </c>
      <c r="AL21">
        <v>413.94099999999997</v>
      </c>
      <c r="AM21">
        <v>412.327</v>
      </c>
      <c r="AN21">
        <v>410.43700000000001</v>
      </c>
      <c r="AO21">
        <v>408.40600000000001</v>
      </c>
      <c r="AP21">
        <v>406.58300000000003</v>
      </c>
      <c r="AQ21">
        <v>404.77499999999998</v>
      </c>
      <c r="AR21">
        <v>403.048</v>
      </c>
      <c r="AS21">
        <v>401.37400000000002</v>
      </c>
      <c r="AT21">
        <v>399.63400000000001</v>
      </c>
      <c r="AU21">
        <v>397.80599999999998</v>
      </c>
      <c r="AV21">
        <v>395.88299999999998</v>
      </c>
      <c r="AW21">
        <v>393.99099999999999</v>
      </c>
      <c r="AX21">
        <v>392.12599999999998</v>
      </c>
      <c r="AY21">
        <v>390.16399999999999</v>
      </c>
      <c r="AZ21">
        <v>388.25</v>
      </c>
      <c r="BA21">
        <v>386.44400000000002</v>
      </c>
      <c r="BB21">
        <v>384.65499999999997</v>
      </c>
      <c r="BC21">
        <v>382.76</v>
      </c>
      <c r="BD21">
        <v>380.69</v>
      </c>
      <c r="BE21">
        <v>378.428</v>
      </c>
      <c r="BF21">
        <v>376.04</v>
      </c>
      <c r="BG21">
        <v>0.48</v>
      </c>
    </row>
    <row r="22" spans="1:59">
      <c r="A22" t="s">
        <v>89</v>
      </c>
      <c r="B22" t="s">
        <v>33</v>
      </c>
      <c r="C22" t="s">
        <v>86</v>
      </c>
      <c r="D22">
        <v>331</v>
      </c>
      <c r="E22" t="s">
        <v>87</v>
      </c>
      <c r="F22" t="s">
        <v>3</v>
      </c>
      <c r="G22" t="s">
        <v>88</v>
      </c>
      <c r="H22">
        <v>467.50099999999998</v>
      </c>
      <c r="I22">
        <v>466.089</v>
      </c>
      <c r="J22">
        <v>456.42099999999999</v>
      </c>
      <c r="K22">
        <v>444.714</v>
      </c>
      <c r="L22">
        <v>364.90899999999999</v>
      </c>
      <c r="M22">
        <v>362.76100000000002</v>
      </c>
      <c r="N22">
        <v>388.66399999999999</v>
      </c>
      <c r="O22">
        <v>401.80599999999998</v>
      </c>
      <c r="P22">
        <v>397.64100000000002</v>
      </c>
      <c r="Q22">
        <v>399.27100000000002</v>
      </c>
      <c r="R22">
        <v>394.51499999999999</v>
      </c>
      <c r="S22">
        <v>375.08100000000002</v>
      </c>
      <c r="T22">
        <v>370.76600000000002</v>
      </c>
      <c r="U22">
        <v>380.41800000000001</v>
      </c>
      <c r="V22">
        <v>387.09899999999999</v>
      </c>
      <c r="W22">
        <v>350.71300000000002</v>
      </c>
      <c r="X22">
        <v>348.56400000000002</v>
      </c>
      <c r="Y22">
        <v>363.42899999999997</v>
      </c>
      <c r="Z22">
        <v>367.21199999999999</v>
      </c>
      <c r="AA22">
        <v>365.24799999999999</v>
      </c>
      <c r="AB22">
        <v>357.40499999999997</v>
      </c>
      <c r="AC22">
        <v>346.77199999999999</v>
      </c>
      <c r="AD22">
        <v>336.28800000000001</v>
      </c>
      <c r="AE22">
        <v>326.09399999999999</v>
      </c>
      <c r="AF22">
        <v>315.86200000000002</v>
      </c>
      <c r="AG22">
        <v>305.88499999999999</v>
      </c>
      <c r="AH22">
        <v>296.572</v>
      </c>
      <c r="AI22">
        <v>288.00299999999999</v>
      </c>
      <c r="AJ22">
        <v>279.99</v>
      </c>
      <c r="AK22">
        <v>272.32900000000001</v>
      </c>
      <c r="AL22">
        <v>265.00200000000001</v>
      </c>
      <c r="AM22">
        <v>257.79399999999998</v>
      </c>
      <c r="AN22">
        <v>250.483</v>
      </c>
      <c r="AO22">
        <v>243.035</v>
      </c>
      <c r="AP22">
        <v>235.893</v>
      </c>
      <c r="AQ22">
        <v>229.01300000000001</v>
      </c>
      <c r="AR22">
        <v>222.37799999999999</v>
      </c>
      <c r="AS22">
        <v>215.732</v>
      </c>
      <c r="AT22">
        <v>208.81899999999999</v>
      </c>
      <c r="AU22">
        <v>201.86699999999999</v>
      </c>
      <c r="AV22">
        <v>195.11099999999999</v>
      </c>
      <c r="AW22">
        <v>188.489</v>
      </c>
      <c r="AX22">
        <v>181.92699999999999</v>
      </c>
      <c r="AY22">
        <v>175.435</v>
      </c>
      <c r="AZ22">
        <v>169.10599999999999</v>
      </c>
      <c r="BA22">
        <v>163.00700000000001</v>
      </c>
      <c r="BB22">
        <v>157.12200000000001</v>
      </c>
      <c r="BC22">
        <v>151.39400000000001</v>
      </c>
      <c r="BD22">
        <v>145.75</v>
      </c>
      <c r="BE22">
        <v>140.161</v>
      </c>
      <c r="BF22">
        <v>134.673</v>
      </c>
      <c r="BG22">
        <v>0.63</v>
      </c>
    </row>
    <row r="23" spans="1:59">
      <c r="A23" t="s">
        <v>93</v>
      </c>
      <c r="B23" t="s">
        <v>33</v>
      </c>
      <c r="C23" t="s">
        <v>90</v>
      </c>
      <c r="D23">
        <v>332</v>
      </c>
      <c r="E23" t="s">
        <v>91</v>
      </c>
      <c r="F23" t="s">
        <v>3</v>
      </c>
      <c r="G23" t="s">
        <v>92</v>
      </c>
      <c r="H23">
        <v>1515.981</v>
      </c>
      <c r="I23">
        <v>1548.8920000000001</v>
      </c>
      <c r="J23">
        <v>1557</v>
      </c>
      <c r="K23">
        <v>1536.414</v>
      </c>
      <c r="L23">
        <v>1309.0740000000001</v>
      </c>
      <c r="M23">
        <v>1280.3130000000001</v>
      </c>
      <c r="N23">
        <v>1347.472</v>
      </c>
      <c r="O23">
        <v>1405.636</v>
      </c>
      <c r="P23">
        <v>1424.954</v>
      </c>
      <c r="Q23">
        <v>1452.7619999999999</v>
      </c>
      <c r="R23">
        <v>1454.8989999999999</v>
      </c>
      <c r="S23">
        <v>1417.384</v>
      </c>
      <c r="T23">
        <v>1424.7460000000001</v>
      </c>
      <c r="U23">
        <v>1467.68</v>
      </c>
      <c r="V23">
        <v>1483.309</v>
      </c>
      <c r="W23">
        <v>1374.681</v>
      </c>
      <c r="X23">
        <v>1383.317</v>
      </c>
      <c r="Y23">
        <v>1430.703</v>
      </c>
      <c r="Z23">
        <v>1444.046</v>
      </c>
      <c r="AA23">
        <v>1442.22</v>
      </c>
      <c r="AB23">
        <v>1446.8630000000001</v>
      </c>
      <c r="AC23">
        <v>1454.29</v>
      </c>
      <c r="AD23">
        <v>1457.84</v>
      </c>
      <c r="AE23">
        <v>1461.1289999999999</v>
      </c>
      <c r="AF23">
        <v>1460.097</v>
      </c>
      <c r="AG23">
        <v>1454.1479999999999</v>
      </c>
      <c r="AH23">
        <v>1445.9559999999999</v>
      </c>
      <c r="AI23">
        <v>1436.9939999999999</v>
      </c>
      <c r="AJ23">
        <v>1426.95</v>
      </c>
      <c r="AK23">
        <v>1416.3889999999999</v>
      </c>
      <c r="AL23">
        <v>1405.625</v>
      </c>
      <c r="AM23">
        <v>1394.9839999999999</v>
      </c>
      <c r="AN23">
        <v>1383.652</v>
      </c>
      <c r="AO23">
        <v>1372.1279999999999</v>
      </c>
      <c r="AP23">
        <v>1361.1010000000001</v>
      </c>
      <c r="AQ23">
        <v>1350.229</v>
      </c>
      <c r="AR23">
        <v>1339.5170000000001</v>
      </c>
      <c r="AS23">
        <v>1328.69</v>
      </c>
      <c r="AT23">
        <v>1317.5160000000001</v>
      </c>
      <c r="AU23">
        <v>1306.432</v>
      </c>
      <c r="AV23">
        <v>1295.4549999999999</v>
      </c>
      <c r="AW23">
        <v>1284.7349999999999</v>
      </c>
      <c r="AX23">
        <v>1274.07</v>
      </c>
      <c r="AY23">
        <v>1262.807</v>
      </c>
      <c r="AZ23">
        <v>1251.5940000000001</v>
      </c>
      <c r="BA23">
        <v>1241.019</v>
      </c>
      <c r="BB23">
        <v>1230.664</v>
      </c>
      <c r="BC23">
        <v>1220.174</v>
      </c>
      <c r="BD23">
        <v>1209.2159999999999</v>
      </c>
      <c r="BE23">
        <v>1197.549</v>
      </c>
      <c r="BF23">
        <v>1185.4469999999999</v>
      </c>
      <c r="BG23">
        <v>0.05</v>
      </c>
    </row>
    <row r="24" spans="1:59">
      <c r="A24" t="s">
        <v>97</v>
      </c>
      <c r="B24" t="s">
        <v>33</v>
      </c>
      <c r="C24" t="s">
        <v>94</v>
      </c>
      <c r="D24">
        <v>333</v>
      </c>
      <c r="E24" t="s">
        <v>95</v>
      </c>
      <c r="F24" t="s">
        <v>3</v>
      </c>
      <c r="G24" t="s">
        <v>96</v>
      </c>
      <c r="H24">
        <v>1163.117</v>
      </c>
      <c r="I24">
        <v>1181.9590000000001</v>
      </c>
      <c r="J24">
        <v>1186.7159999999999</v>
      </c>
      <c r="K24">
        <v>1184.06</v>
      </c>
      <c r="L24">
        <v>1023.152</v>
      </c>
      <c r="M24">
        <v>995.26199999999994</v>
      </c>
      <c r="N24">
        <v>1057.4860000000001</v>
      </c>
      <c r="O24">
        <v>1100.941</v>
      </c>
      <c r="P24">
        <v>1107.7840000000001</v>
      </c>
      <c r="Q24">
        <v>1125.4069999999999</v>
      </c>
      <c r="R24">
        <v>1121.039</v>
      </c>
      <c r="S24">
        <v>1076.058</v>
      </c>
      <c r="T24">
        <v>1078.498</v>
      </c>
      <c r="U24">
        <v>1115.155</v>
      </c>
      <c r="V24">
        <v>1126.2159999999999</v>
      </c>
      <c r="W24">
        <v>1047.845</v>
      </c>
      <c r="X24">
        <v>1056.2909999999999</v>
      </c>
      <c r="Y24">
        <v>1104.998</v>
      </c>
      <c r="Z24">
        <v>1121.4670000000001</v>
      </c>
      <c r="AA24">
        <v>1115.0239999999999</v>
      </c>
      <c r="AB24">
        <v>1123.98</v>
      </c>
      <c r="AC24">
        <v>1125.0989999999999</v>
      </c>
      <c r="AD24">
        <v>1123.5650000000001</v>
      </c>
      <c r="AE24">
        <v>1123.971</v>
      </c>
      <c r="AF24">
        <v>1121.7760000000001</v>
      </c>
      <c r="AG24">
        <v>1116.6210000000001</v>
      </c>
      <c r="AH24">
        <v>1110.671</v>
      </c>
      <c r="AI24">
        <v>1104.5509999999999</v>
      </c>
      <c r="AJ24">
        <v>1098.3030000000001</v>
      </c>
      <c r="AK24">
        <v>1091.68</v>
      </c>
      <c r="AL24">
        <v>1084.866</v>
      </c>
      <c r="AM24">
        <v>1078.5519999999999</v>
      </c>
      <c r="AN24">
        <v>1071.78</v>
      </c>
      <c r="AO24">
        <v>1064.742</v>
      </c>
      <c r="AP24">
        <v>1058.2090000000001</v>
      </c>
      <c r="AQ24">
        <v>1051.6600000000001</v>
      </c>
      <c r="AR24">
        <v>1045.1510000000001</v>
      </c>
      <c r="AS24">
        <v>1038.5719999999999</v>
      </c>
      <c r="AT24">
        <v>1031.759</v>
      </c>
      <c r="AU24">
        <v>1025.1890000000001</v>
      </c>
      <c r="AV24">
        <v>1018.631</v>
      </c>
      <c r="AW24">
        <v>1012.0940000000001</v>
      </c>
      <c r="AX24">
        <v>1005.7</v>
      </c>
      <c r="AY24">
        <v>999.12400000000002</v>
      </c>
      <c r="AZ24">
        <v>992.49099999999999</v>
      </c>
      <c r="BA24">
        <v>986.38699999999994</v>
      </c>
      <c r="BB24">
        <v>980.55799999999999</v>
      </c>
      <c r="BC24">
        <v>974.74</v>
      </c>
      <c r="BD24">
        <v>968.81299999999999</v>
      </c>
      <c r="BE24">
        <v>962.27200000000005</v>
      </c>
      <c r="BF24">
        <v>955.30499999999995</v>
      </c>
      <c r="BG24">
        <v>2.65</v>
      </c>
    </row>
    <row r="25" spans="1:59">
      <c r="A25" t="s">
        <v>101</v>
      </c>
      <c r="B25" t="s">
        <v>33</v>
      </c>
      <c r="C25" t="s">
        <v>98</v>
      </c>
      <c r="D25">
        <v>334</v>
      </c>
      <c r="E25" t="s">
        <v>99</v>
      </c>
      <c r="F25" t="s">
        <v>3</v>
      </c>
      <c r="G25" t="s">
        <v>100</v>
      </c>
      <c r="H25">
        <v>1298.741</v>
      </c>
      <c r="I25">
        <v>1293.4690000000001</v>
      </c>
      <c r="J25">
        <v>1277.8969999999999</v>
      </c>
      <c r="K25">
        <v>1250.133</v>
      </c>
      <c r="L25">
        <v>1140.2829999999999</v>
      </c>
      <c r="M25">
        <v>1103.847</v>
      </c>
      <c r="N25">
        <v>1114.306</v>
      </c>
      <c r="O25">
        <v>1101.3720000000001</v>
      </c>
      <c r="P25">
        <v>1073.8610000000001</v>
      </c>
      <c r="Q25">
        <v>1057.6210000000001</v>
      </c>
      <c r="R25">
        <v>1059.9459999999999</v>
      </c>
      <c r="S25">
        <v>1051.634</v>
      </c>
      <c r="T25">
        <v>1045.528</v>
      </c>
      <c r="U25">
        <v>1059.22</v>
      </c>
      <c r="V25">
        <v>1075.9259999999999</v>
      </c>
      <c r="W25">
        <v>1055.6010000000001</v>
      </c>
      <c r="X25">
        <v>1049.2349999999999</v>
      </c>
      <c r="Y25">
        <v>1085.6300000000001</v>
      </c>
      <c r="Z25">
        <v>1097.652</v>
      </c>
      <c r="AA25">
        <v>1085.982</v>
      </c>
      <c r="AB25">
        <v>1087.3989999999999</v>
      </c>
      <c r="AC25">
        <v>1095.3430000000001</v>
      </c>
      <c r="AD25">
        <v>1094.7329999999999</v>
      </c>
      <c r="AE25">
        <v>1089.6559999999999</v>
      </c>
      <c r="AF25">
        <v>1082.184</v>
      </c>
      <c r="AG25">
        <v>1073.4829999999999</v>
      </c>
      <c r="AH25">
        <v>1065.298</v>
      </c>
      <c r="AI25">
        <v>1057.518</v>
      </c>
      <c r="AJ25">
        <v>1050.114</v>
      </c>
      <c r="AK25">
        <v>1043.25</v>
      </c>
      <c r="AL25">
        <v>1036.9000000000001</v>
      </c>
      <c r="AM25">
        <v>1030.6969999999999</v>
      </c>
      <c r="AN25">
        <v>1024.0830000000001</v>
      </c>
      <c r="AO25">
        <v>1017.3440000000001</v>
      </c>
      <c r="AP25">
        <v>1011.0650000000001</v>
      </c>
      <c r="AQ25">
        <v>1004.708</v>
      </c>
      <c r="AR25">
        <v>998.60400000000004</v>
      </c>
      <c r="AS25">
        <v>992.63499999999999</v>
      </c>
      <c r="AT25">
        <v>986.49400000000003</v>
      </c>
      <c r="AU25">
        <v>980.24800000000005</v>
      </c>
      <c r="AV25">
        <v>973.66700000000003</v>
      </c>
      <c r="AW25">
        <v>966.97</v>
      </c>
      <c r="AX25">
        <v>960.20299999999997</v>
      </c>
      <c r="AY25">
        <v>953.18200000000002</v>
      </c>
      <c r="AZ25">
        <v>946.12</v>
      </c>
      <c r="BA25">
        <v>939.21199999999999</v>
      </c>
      <c r="BB25">
        <v>932.43100000000004</v>
      </c>
      <c r="BC25">
        <v>925.58900000000006</v>
      </c>
      <c r="BD25">
        <v>918.59500000000003</v>
      </c>
      <c r="BE25">
        <v>911.05700000000002</v>
      </c>
      <c r="BF25">
        <v>903.04499999999996</v>
      </c>
      <c r="BG25">
        <v>3.26</v>
      </c>
    </row>
    <row r="26" spans="1:59">
      <c r="A26" t="s">
        <v>105</v>
      </c>
      <c r="B26" t="s">
        <v>33</v>
      </c>
      <c r="C26" t="s">
        <v>102</v>
      </c>
      <c r="D26">
        <v>335</v>
      </c>
      <c r="E26" t="s">
        <v>103</v>
      </c>
      <c r="F26" t="s">
        <v>3</v>
      </c>
      <c r="G26" t="s">
        <v>104</v>
      </c>
      <c r="H26">
        <v>437.471</v>
      </c>
      <c r="I26">
        <v>434.74</v>
      </c>
      <c r="J26">
        <v>431.26499999999999</v>
      </c>
      <c r="K26">
        <v>425.404</v>
      </c>
      <c r="L26">
        <v>373.55399999999997</v>
      </c>
      <c r="M26">
        <v>358.822</v>
      </c>
      <c r="N26">
        <v>367.78800000000001</v>
      </c>
      <c r="O26">
        <v>375.51100000000002</v>
      </c>
      <c r="P26">
        <v>377</v>
      </c>
      <c r="Q26">
        <v>381.94900000000001</v>
      </c>
      <c r="R26">
        <v>385.11599999999999</v>
      </c>
      <c r="S26">
        <v>385.11799999999999</v>
      </c>
      <c r="T26">
        <v>388.23599999999999</v>
      </c>
      <c r="U26">
        <v>398.13799999999998</v>
      </c>
      <c r="V26">
        <v>401.459</v>
      </c>
      <c r="W26">
        <v>382.06900000000002</v>
      </c>
      <c r="X26">
        <v>390.714</v>
      </c>
      <c r="Y26">
        <v>406.25599999999997</v>
      </c>
      <c r="Z26">
        <v>409.97</v>
      </c>
      <c r="AA26">
        <v>408.38499999999999</v>
      </c>
      <c r="AB26">
        <v>406.70699999999999</v>
      </c>
      <c r="AC26">
        <v>403.64400000000001</v>
      </c>
      <c r="AD26">
        <v>398.85199999999998</v>
      </c>
      <c r="AE26">
        <v>393.37299999999999</v>
      </c>
      <c r="AF26">
        <v>387.125</v>
      </c>
      <c r="AG26">
        <v>380.233</v>
      </c>
      <c r="AH26">
        <v>373.32</v>
      </c>
      <c r="AI26">
        <v>366.42200000000003</v>
      </c>
      <c r="AJ26">
        <v>359.81</v>
      </c>
      <c r="AK26">
        <v>353.15199999999999</v>
      </c>
      <c r="AL26">
        <v>346.678</v>
      </c>
      <c r="AM26">
        <v>340.34500000000003</v>
      </c>
      <c r="AN26">
        <v>333.95699999999999</v>
      </c>
      <c r="AO26">
        <v>327.78100000000001</v>
      </c>
      <c r="AP26">
        <v>322.17700000000002</v>
      </c>
      <c r="AQ26">
        <v>317.01299999999998</v>
      </c>
      <c r="AR26">
        <v>312.31400000000002</v>
      </c>
      <c r="AS26">
        <v>307.88799999999998</v>
      </c>
      <c r="AT26">
        <v>303.69900000000001</v>
      </c>
      <c r="AU26">
        <v>299.69900000000001</v>
      </c>
      <c r="AV26">
        <v>295.61500000000001</v>
      </c>
      <c r="AW26">
        <v>291.50400000000002</v>
      </c>
      <c r="AX26">
        <v>287.35599999999999</v>
      </c>
      <c r="AY26">
        <v>283.10599999999999</v>
      </c>
      <c r="AZ26">
        <v>278.90199999999999</v>
      </c>
      <c r="BA26">
        <v>274.80200000000002</v>
      </c>
      <c r="BB26">
        <v>270.76799999999997</v>
      </c>
      <c r="BC26">
        <v>266.76600000000002</v>
      </c>
      <c r="BD26">
        <v>262.76900000000001</v>
      </c>
      <c r="BE26">
        <v>258.65699999999998</v>
      </c>
      <c r="BF26">
        <v>254.459</v>
      </c>
      <c r="BG26">
        <v>2.2999999999999998</v>
      </c>
    </row>
    <row r="27" spans="1:59">
      <c r="A27" t="s">
        <v>109</v>
      </c>
      <c r="B27" t="s">
        <v>33</v>
      </c>
      <c r="C27" t="s">
        <v>106</v>
      </c>
      <c r="D27">
        <v>336</v>
      </c>
      <c r="E27" t="s">
        <v>107</v>
      </c>
      <c r="F27" t="s">
        <v>3</v>
      </c>
      <c r="G27" t="s">
        <v>108</v>
      </c>
      <c r="H27">
        <v>1789.56</v>
      </c>
      <c r="I27">
        <v>1775.9960000000001</v>
      </c>
      <c r="J27">
        <v>1721.769</v>
      </c>
      <c r="K27">
        <v>1619.953</v>
      </c>
      <c r="L27">
        <v>1364.9359999999999</v>
      </c>
      <c r="M27">
        <v>1346.337</v>
      </c>
      <c r="N27">
        <v>1404.69</v>
      </c>
      <c r="O27">
        <v>1480.8689999999999</v>
      </c>
      <c r="P27">
        <v>1526.0060000000001</v>
      </c>
      <c r="Q27">
        <v>1573.7819999999999</v>
      </c>
      <c r="R27">
        <v>1631.1849999999999</v>
      </c>
      <c r="S27">
        <v>1648.43</v>
      </c>
      <c r="T27">
        <v>1661.2729999999999</v>
      </c>
      <c r="U27">
        <v>1708.643</v>
      </c>
      <c r="V27">
        <v>1739.752</v>
      </c>
      <c r="W27">
        <v>1599.31</v>
      </c>
      <c r="X27">
        <v>1642.7919999999999</v>
      </c>
      <c r="Y27">
        <v>1711.18</v>
      </c>
      <c r="Z27">
        <v>1761.6849999999999</v>
      </c>
      <c r="AA27">
        <v>1770.6089999999999</v>
      </c>
      <c r="AB27">
        <v>1730.6869999999999</v>
      </c>
      <c r="AC27">
        <v>1726.992</v>
      </c>
      <c r="AD27">
        <v>1732.711</v>
      </c>
      <c r="AE27">
        <v>1746.0229999999999</v>
      </c>
      <c r="AF27">
        <v>1757.4749999999999</v>
      </c>
      <c r="AG27">
        <v>1764.655</v>
      </c>
      <c r="AH27">
        <v>1768.9939999999999</v>
      </c>
      <c r="AI27">
        <v>1770.5730000000001</v>
      </c>
      <c r="AJ27">
        <v>1767.8150000000001</v>
      </c>
      <c r="AK27">
        <v>1761.566</v>
      </c>
      <c r="AL27">
        <v>1754.521</v>
      </c>
      <c r="AM27">
        <v>1748.8230000000001</v>
      </c>
      <c r="AN27">
        <v>1742.9190000000001</v>
      </c>
      <c r="AO27">
        <v>1736.9079999999999</v>
      </c>
      <c r="AP27">
        <v>1730.568</v>
      </c>
      <c r="AQ27">
        <v>1723.588</v>
      </c>
      <c r="AR27">
        <v>1715.8050000000001</v>
      </c>
      <c r="AS27">
        <v>1708.2049999999999</v>
      </c>
      <c r="AT27">
        <v>1700.0989999999999</v>
      </c>
      <c r="AU27">
        <v>1691.636</v>
      </c>
      <c r="AV27">
        <v>1683.213</v>
      </c>
      <c r="AW27">
        <v>1674.9639999999999</v>
      </c>
      <c r="AX27">
        <v>1666.3869999999999</v>
      </c>
      <c r="AY27">
        <v>1657.54</v>
      </c>
      <c r="AZ27">
        <v>1649.3209999999999</v>
      </c>
      <c r="BA27">
        <v>1641.721</v>
      </c>
      <c r="BB27">
        <v>1634.0260000000001</v>
      </c>
      <c r="BC27">
        <v>1626.412</v>
      </c>
      <c r="BD27">
        <v>1618.819</v>
      </c>
      <c r="BE27">
        <v>1610.396</v>
      </c>
      <c r="BF27">
        <v>1601.4359999999999</v>
      </c>
      <c r="BG27">
        <v>1.37</v>
      </c>
    </row>
    <row r="28" spans="1:59">
      <c r="A28" t="s">
        <v>113</v>
      </c>
      <c r="B28" t="s">
        <v>33</v>
      </c>
      <c r="C28" t="s">
        <v>110</v>
      </c>
      <c r="D28">
        <v>337</v>
      </c>
      <c r="E28" t="s">
        <v>111</v>
      </c>
      <c r="F28" t="s">
        <v>3</v>
      </c>
      <c r="G28" t="s">
        <v>112</v>
      </c>
      <c r="H28">
        <v>569.29899999999998</v>
      </c>
      <c r="I28">
        <v>560.85599999999999</v>
      </c>
      <c r="J28">
        <v>530.88699999999994</v>
      </c>
      <c r="K28">
        <v>480.57400000000001</v>
      </c>
      <c r="L28">
        <v>384.5</v>
      </c>
      <c r="M28">
        <v>357.04300000000001</v>
      </c>
      <c r="N28">
        <v>352.90499999999997</v>
      </c>
      <c r="O28">
        <v>356.57100000000003</v>
      </c>
      <c r="P28">
        <v>360.03500000000003</v>
      </c>
      <c r="Q28">
        <v>367.39400000000001</v>
      </c>
      <c r="R28">
        <v>375.851</v>
      </c>
      <c r="S28">
        <v>382.59699999999998</v>
      </c>
      <c r="T28">
        <v>385.86700000000002</v>
      </c>
      <c r="U28">
        <v>388.16</v>
      </c>
      <c r="V28">
        <v>386.05399999999997</v>
      </c>
      <c r="W28">
        <v>362.22300000000001</v>
      </c>
      <c r="X28">
        <v>371.02300000000002</v>
      </c>
      <c r="Y28">
        <v>379.245</v>
      </c>
      <c r="Z28">
        <v>368.69</v>
      </c>
      <c r="AA28">
        <v>363.14600000000002</v>
      </c>
      <c r="AB28">
        <v>363.01799999999997</v>
      </c>
      <c r="AC28">
        <v>365.91800000000001</v>
      </c>
      <c r="AD28">
        <v>366.54700000000003</v>
      </c>
      <c r="AE28">
        <v>366.72500000000002</v>
      </c>
      <c r="AF28">
        <v>366.97199999999998</v>
      </c>
      <c r="AG28">
        <v>366.98099999999999</v>
      </c>
      <c r="AH28">
        <v>366.27600000000001</v>
      </c>
      <c r="AI28">
        <v>365.322</v>
      </c>
      <c r="AJ28">
        <v>363.65499999999997</v>
      </c>
      <c r="AK28">
        <v>361.32499999999999</v>
      </c>
      <c r="AL28">
        <v>359.09699999999998</v>
      </c>
      <c r="AM28">
        <v>356.959</v>
      </c>
      <c r="AN28">
        <v>354.678</v>
      </c>
      <c r="AO28">
        <v>352.48700000000002</v>
      </c>
      <c r="AP28">
        <v>350.36500000000001</v>
      </c>
      <c r="AQ28">
        <v>348.24</v>
      </c>
      <c r="AR28">
        <v>346.29399999999998</v>
      </c>
      <c r="AS28">
        <v>344.37599999999998</v>
      </c>
      <c r="AT28">
        <v>342.26100000000002</v>
      </c>
      <c r="AU28">
        <v>339.69200000000001</v>
      </c>
      <c r="AV28">
        <v>337.02100000000002</v>
      </c>
      <c r="AW28">
        <v>334.71</v>
      </c>
      <c r="AX28">
        <v>332.16699999999997</v>
      </c>
      <c r="AY28">
        <v>329.053</v>
      </c>
      <c r="AZ28">
        <v>325.99</v>
      </c>
      <c r="BA28">
        <v>323.08</v>
      </c>
      <c r="BB28">
        <v>320.10599999999999</v>
      </c>
      <c r="BC28">
        <v>316.87700000000001</v>
      </c>
      <c r="BD28">
        <v>313.46800000000002</v>
      </c>
      <c r="BE28">
        <v>309.97699999999998</v>
      </c>
      <c r="BF28">
        <v>306.40699999999998</v>
      </c>
      <c r="BG28">
        <v>3.91</v>
      </c>
    </row>
    <row r="29" spans="1:59">
      <c r="A29" t="s">
        <v>117</v>
      </c>
      <c r="B29" t="s">
        <v>33</v>
      </c>
      <c r="C29" t="s">
        <v>114</v>
      </c>
      <c r="D29">
        <v>339</v>
      </c>
      <c r="E29" t="s">
        <v>115</v>
      </c>
      <c r="F29" t="s">
        <v>3</v>
      </c>
      <c r="G29" t="s">
        <v>116</v>
      </c>
      <c r="H29">
        <v>649.12800000000004</v>
      </c>
      <c r="I29">
        <v>646.83600000000001</v>
      </c>
      <c r="J29">
        <v>640.94000000000005</v>
      </c>
      <c r="K29">
        <v>628.08000000000004</v>
      </c>
      <c r="L29">
        <v>579.399</v>
      </c>
      <c r="M29">
        <v>567.39499999999998</v>
      </c>
      <c r="N29">
        <v>572.16700000000003</v>
      </c>
      <c r="O29">
        <v>577.19799999999998</v>
      </c>
      <c r="P29">
        <v>580.38199999999995</v>
      </c>
      <c r="Q29">
        <v>587.07399999999996</v>
      </c>
      <c r="R29">
        <v>590.38300000000004</v>
      </c>
      <c r="S29">
        <v>594.26599999999996</v>
      </c>
      <c r="T29">
        <v>597.35699999999997</v>
      </c>
      <c r="U29">
        <v>608.49400000000003</v>
      </c>
      <c r="V29">
        <v>617.48</v>
      </c>
      <c r="W29">
        <v>581.80600000000004</v>
      </c>
      <c r="X29">
        <v>604</v>
      </c>
      <c r="Y29">
        <v>627.10400000000004</v>
      </c>
      <c r="Z29">
        <v>627.51199999999994</v>
      </c>
      <c r="AA29">
        <v>623.95500000000004</v>
      </c>
      <c r="AB29">
        <v>627.30499999999995</v>
      </c>
      <c r="AC29">
        <v>630.47900000000004</v>
      </c>
      <c r="AD29">
        <v>631.61300000000006</v>
      </c>
      <c r="AE29">
        <v>631.69899999999996</v>
      </c>
      <c r="AF29">
        <v>630.697</v>
      </c>
      <c r="AG29">
        <v>628.72500000000002</v>
      </c>
      <c r="AH29">
        <v>626.178</v>
      </c>
      <c r="AI29">
        <v>623.17899999999997</v>
      </c>
      <c r="AJ29">
        <v>619.39599999999996</v>
      </c>
      <c r="AK29">
        <v>615.96900000000005</v>
      </c>
      <c r="AL29">
        <v>612.85199999999998</v>
      </c>
      <c r="AM29">
        <v>609.66099999999994</v>
      </c>
      <c r="AN29">
        <v>606.14300000000003</v>
      </c>
      <c r="AO29">
        <v>602.35500000000002</v>
      </c>
      <c r="AP29">
        <v>598.904</v>
      </c>
      <c r="AQ29">
        <v>595.58900000000006</v>
      </c>
      <c r="AR29">
        <v>592.39499999999998</v>
      </c>
      <c r="AS29">
        <v>589.25699999999995</v>
      </c>
      <c r="AT29">
        <v>586.07299999999998</v>
      </c>
      <c r="AU29">
        <v>582.80499999999995</v>
      </c>
      <c r="AV29">
        <v>579.43899999999996</v>
      </c>
      <c r="AW29">
        <v>576.01</v>
      </c>
      <c r="AX29">
        <v>572.55100000000004</v>
      </c>
      <c r="AY29">
        <v>569.03800000000001</v>
      </c>
      <c r="AZ29">
        <v>565.59299999999996</v>
      </c>
      <c r="BA29">
        <v>562.16800000000001</v>
      </c>
      <c r="BB29">
        <v>558.76499999999999</v>
      </c>
      <c r="BC29">
        <v>555.24199999999996</v>
      </c>
      <c r="BD29">
        <v>551.25900000000001</v>
      </c>
      <c r="BE29">
        <v>546.87099999999998</v>
      </c>
      <c r="BF29">
        <v>542.22799999999995</v>
      </c>
      <c r="BG29">
        <v>1.7</v>
      </c>
    </row>
    <row r="30" spans="1:59">
      <c r="A30" t="s">
        <v>332</v>
      </c>
      <c r="B30" t="s">
        <v>33</v>
      </c>
      <c r="C30" t="s">
        <v>333</v>
      </c>
      <c r="D30">
        <v>423</v>
      </c>
      <c r="E30" t="s">
        <v>334</v>
      </c>
      <c r="F30" t="s">
        <v>3</v>
      </c>
      <c r="G30" t="s">
        <v>335</v>
      </c>
      <c r="H30">
        <v>3119.8890000000001</v>
      </c>
      <c r="I30">
        <v>3193.087</v>
      </c>
      <c r="J30">
        <v>3229.9270000000001</v>
      </c>
      <c r="K30">
        <v>3190.9029999999998</v>
      </c>
      <c r="L30">
        <v>2911.2539999999999</v>
      </c>
      <c r="M30">
        <v>2832.1289999999999</v>
      </c>
      <c r="N30">
        <v>2884.692</v>
      </c>
      <c r="O30">
        <v>2949.953</v>
      </c>
      <c r="P30">
        <v>2990.77</v>
      </c>
      <c r="Q30">
        <v>3041.904</v>
      </c>
      <c r="R30">
        <v>3071.7570000000001</v>
      </c>
      <c r="S30">
        <v>3066.5239999999999</v>
      </c>
      <c r="T30">
        <v>3096.98</v>
      </c>
      <c r="U30">
        <v>3153.5549999999998</v>
      </c>
      <c r="V30">
        <v>3200.56</v>
      </c>
      <c r="W30">
        <v>3077.5830000000001</v>
      </c>
      <c r="X30">
        <v>3137.2109999999998</v>
      </c>
      <c r="Y30">
        <v>3303.63</v>
      </c>
      <c r="Z30">
        <v>3387.9290000000001</v>
      </c>
      <c r="AA30">
        <v>3425.6370000000002</v>
      </c>
      <c r="AB30">
        <v>3461.1039999999998</v>
      </c>
      <c r="AC30">
        <v>3496.6579999999999</v>
      </c>
      <c r="AD30">
        <v>3532.5169999999998</v>
      </c>
      <c r="AE30">
        <v>3563.5920000000001</v>
      </c>
      <c r="AF30">
        <v>3587.491</v>
      </c>
      <c r="AG30">
        <v>3602.4380000000001</v>
      </c>
      <c r="AH30">
        <v>3615.0259999999998</v>
      </c>
      <c r="AI30">
        <v>3628.0680000000002</v>
      </c>
      <c r="AJ30">
        <v>3640.3020000000001</v>
      </c>
      <c r="AK30">
        <v>3652.4870000000001</v>
      </c>
      <c r="AL30">
        <v>3664.3209999999999</v>
      </c>
      <c r="AM30">
        <v>3674.6959999999999</v>
      </c>
      <c r="AN30">
        <v>3681.7220000000002</v>
      </c>
      <c r="AO30">
        <v>3686.422</v>
      </c>
      <c r="AP30">
        <v>3691.2919999999999</v>
      </c>
      <c r="AQ30">
        <v>3694.8710000000001</v>
      </c>
      <c r="AR30">
        <v>3697.0619999999999</v>
      </c>
      <c r="AS30">
        <v>3697.4389999999999</v>
      </c>
      <c r="AT30">
        <v>3695.7959999999998</v>
      </c>
      <c r="AU30">
        <v>3692.7150000000001</v>
      </c>
      <c r="AV30">
        <v>3688.2809999999999</v>
      </c>
      <c r="AW30">
        <v>3682.2130000000002</v>
      </c>
      <c r="AX30">
        <v>3675.0479999999998</v>
      </c>
      <c r="AY30">
        <v>3666.9540000000002</v>
      </c>
      <c r="AZ30">
        <v>3658.6370000000002</v>
      </c>
      <c r="BA30">
        <v>3650.2950000000001</v>
      </c>
      <c r="BB30">
        <v>3641.817</v>
      </c>
      <c r="BC30">
        <v>3632.4830000000002</v>
      </c>
      <c r="BD30">
        <v>3621.17</v>
      </c>
      <c r="BE30">
        <v>3607.116</v>
      </c>
      <c r="BF30">
        <v>3590.8159999999998</v>
      </c>
      <c r="BG30">
        <v>9</v>
      </c>
    </row>
    <row r="31" spans="1:59">
      <c r="A31" t="s">
        <v>336</v>
      </c>
      <c r="B31" t="s">
        <v>33</v>
      </c>
      <c r="C31" t="s">
        <v>337</v>
      </c>
      <c r="D31">
        <v>424</v>
      </c>
      <c r="E31" t="s">
        <v>338</v>
      </c>
      <c r="F31" t="s">
        <v>3</v>
      </c>
      <c r="G31" t="s">
        <v>339</v>
      </c>
      <c r="H31">
        <v>2105.1729999999998</v>
      </c>
      <c r="I31">
        <v>2120.2689999999998</v>
      </c>
      <c r="J31">
        <v>2142.8670000000002</v>
      </c>
      <c r="K31">
        <v>2133.125</v>
      </c>
      <c r="L31">
        <v>2045.921</v>
      </c>
      <c r="M31">
        <v>2016.075</v>
      </c>
      <c r="N31">
        <v>2019.0640000000001</v>
      </c>
      <c r="O31">
        <v>2040.075</v>
      </c>
      <c r="P31">
        <v>2068.7640000000001</v>
      </c>
      <c r="Q31">
        <v>2097.3980000000001</v>
      </c>
      <c r="R31">
        <v>2118.377</v>
      </c>
      <c r="S31">
        <v>2131.8139999999999</v>
      </c>
      <c r="T31">
        <v>2146.37</v>
      </c>
      <c r="U31">
        <v>2154.9340000000002</v>
      </c>
      <c r="V31">
        <v>2160.1860000000001</v>
      </c>
      <c r="W31">
        <v>2051.817</v>
      </c>
      <c r="X31">
        <v>2077.2849999999999</v>
      </c>
      <c r="Y31">
        <v>2165.2440000000001</v>
      </c>
      <c r="Z31">
        <v>2213.42</v>
      </c>
      <c r="AA31">
        <v>2225.5320000000002</v>
      </c>
      <c r="AB31">
        <v>2232.326</v>
      </c>
      <c r="AC31">
        <v>2238.66</v>
      </c>
      <c r="AD31">
        <v>2245.4679999999998</v>
      </c>
      <c r="AE31">
        <v>2249.567</v>
      </c>
      <c r="AF31">
        <v>2249.569</v>
      </c>
      <c r="AG31">
        <v>2244.6219999999998</v>
      </c>
      <c r="AH31">
        <v>2238.7779999999998</v>
      </c>
      <c r="AI31">
        <v>2233.7069999999999</v>
      </c>
      <c r="AJ31">
        <v>2228.634</v>
      </c>
      <c r="AK31">
        <v>2224.0010000000002</v>
      </c>
      <c r="AL31">
        <v>2219.6640000000002</v>
      </c>
      <c r="AM31">
        <v>2214.9760000000001</v>
      </c>
      <c r="AN31">
        <v>2208.8470000000002</v>
      </c>
      <c r="AO31">
        <v>2201.8719999999998</v>
      </c>
      <c r="AP31">
        <v>2195.5079999999998</v>
      </c>
      <c r="AQ31">
        <v>2188.904</v>
      </c>
      <c r="AR31">
        <v>2182.0050000000001</v>
      </c>
      <c r="AS31">
        <v>2174.5819999999999</v>
      </c>
      <c r="AT31">
        <v>2166.518</v>
      </c>
      <c r="AU31">
        <v>2158.1410000000001</v>
      </c>
      <c r="AV31">
        <v>2149.502</v>
      </c>
      <c r="AW31">
        <v>2140.451</v>
      </c>
      <c r="AX31">
        <v>2131.317</v>
      </c>
      <c r="AY31">
        <v>2122.1849999999999</v>
      </c>
      <c r="AZ31">
        <v>2113.4479999999999</v>
      </c>
      <c r="BA31">
        <v>2105.2020000000002</v>
      </c>
      <c r="BB31">
        <v>2097.384</v>
      </c>
      <c r="BC31">
        <v>2089.5859999999998</v>
      </c>
      <c r="BD31">
        <v>2081.1489999999999</v>
      </c>
      <c r="BE31">
        <v>2071.654</v>
      </c>
      <c r="BF31">
        <v>2061.393</v>
      </c>
      <c r="BG31">
        <v>0.63</v>
      </c>
    </row>
    <row r="32" spans="1:59">
      <c r="A32" t="s">
        <v>340</v>
      </c>
      <c r="B32" t="s">
        <v>33</v>
      </c>
      <c r="C32" t="s">
        <v>341</v>
      </c>
      <c r="D32">
        <v>425</v>
      </c>
      <c r="E32" t="s">
        <v>342</v>
      </c>
      <c r="F32" t="s">
        <v>3</v>
      </c>
      <c r="G32" t="s">
        <v>343</v>
      </c>
      <c r="H32">
        <v>468.827</v>
      </c>
      <c r="I32">
        <v>503.315</v>
      </c>
      <c r="J32">
        <v>532.995</v>
      </c>
      <c r="K32">
        <v>544.99400000000003</v>
      </c>
      <c r="L32">
        <v>523.08000000000004</v>
      </c>
      <c r="M32">
        <v>525.39700000000005</v>
      </c>
      <c r="N32">
        <v>544.11</v>
      </c>
      <c r="O32">
        <v>559.03099999999995</v>
      </c>
      <c r="P32">
        <v>558.71600000000001</v>
      </c>
      <c r="Q32">
        <v>556.822</v>
      </c>
      <c r="R32">
        <v>557.74900000000002</v>
      </c>
      <c r="S32">
        <v>544.63699999999994</v>
      </c>
      <c r="T32">
        <v>537.09199999999998</v>
      </c>
      <c r="U32">
        <v>537.70299999999997</v>
      </c>
      <c r="V32">
        <v>526.00400000000002</v>
      </c>
      <c r="W32">
        <v>488.20800000000003</v>
      </c>
      <c r="X32">
        <v>492.387</v>
      </c>
      <c r="Y32">
        <v>512.87599999999998</v>
      </c>
      <c r="Z32">
        <v>515.70899999999995</v>
      </c>
      <c r="AA32">
        <v>513.78</v>
      </c>
      <c r="AB32">
        <v>509.56799999999998</v>
      </c>
      <c r="AC32">
        <v>504.92200000000003</v>
      </c>
      <c r="AD32">
        <v>500.63400000000001</v>
      </c>
      <c r="AE32">
        <v>495.98200000000003</v>
      </c>
      <c r="AF32">
        <v>490.66</v>
      </c>
      <c r="AG32">
        <v>484.46</v>
      </c>
      <c r="AH32">
        <v>478.31</v>
      </c>
      <c r="AI32">
        <v>472.58699999999999</v>
      </c>
      <c r="AJ32">
        <v>467.113</v>
      </c>
      <c r="AK32">
        <v>461.97699999999998</v>
      </c>
      <c r="AL32">
        <v>457.13799999999998</v>
      </c>
      <c r="AM32">
        <v>452.45499999999998</v>
      </c>
      <c r="AN32">
        <v>447.70400000000001</v>
      </c>
      <c r="AO32">
        <v>443.00599999999997</v>
      </c>
      <c r="AP32">
        <v>438.65699999999998</v>
      </c>
      <c r="AQ32">
        <v>434.476</v>
      </c>
      <c r="AR32">
        <v>430.447</v>
      </c>
      <c r="AS32">
        <v>426.52100000000002</v>
      </c>
      <c r="AT32">
        <v>422.673</v>
      </c>
      <c r="AU32">
        <v>418.96300000000002</v>
      </c>
      <c r="AV32">
        <v>415.39699999999999</v>
      </c>
      <c r="AW32">
        <v>411.94200000000001</v>
      </c>
      <c r="AX32">
        <v>408.65800000000002</v>
      </c>
      <c r="AY32">
        <v>405.55799999999999</v>
      </c>
      <c r="AZ32">
        <v>402.71300000000002</v>
      </c>
      <c r="BA32">
        <v>400.14100000000002</v>
      </c>
      <c r="BB32">
        <v>397.82400000000001</v>
      </c>
      <c r="BC32">
        <v>395.68</v>
      </c>
      <c r="BD32">
        <v>393.58100000000002</v>
      </c>
      <c r="BE32">
        <v>391.44499999999999</v>
      </c>
      <c r="BF32">
        <v>389.32600000000002</v>
      </c>
      <c r="BG32">
        <v>0.24</v>
      </c>
    </row>
    <row r="33" spans="1:59">
      <c r="A33" t="s">
        <v>121</v>
      </c>
      <c r="B33" t="s">
        <v>33</v>
      </c>
      <c r="C33" t="s">
        <v>118</v>
      </c>
      <c r="D33">
        <v>441</v>
      </c>
      <c r="E33" t="s">
        <v>119</v>
      </c>
      <c r="F33" t="s">
        <v>3</v>
      </c>
      <c r="G33" t="s">
        <v>120</v>
      </c>
      <c r="H33">
        <v>1920.4079999999999</v>
      </c>
      <c r="I33">
        <v>1913.6510000000001</v>
      </c>
      <c r="J33">
        <v>1910.3510000000001</v>
      </c>
      <c r="K33">
        <v>1832.7760000000001</v>
      </c>
      <c r="L33">
        <v>1637.6610000000001</v>
      </c>
      <c r="M33">
        <v>1634.8109999999999</v>
      </c>
      <c r="N33">
        <v>1687.6569999999999</v>
      </c>
      <c r="O33">
        <v>1739.5070000000001</v>
      </c>
      <c r="P33">
        <v>1794.6510000000001</v>
      </c>
      <c r="Q33">
        <v>1864.1120000000001</v>
      </c>
      <c r="R33">
        <v>1936.213</v>
      </c>
      <c r="S33">
        <v>1983.537</v>
      </c>
      <c r="T33">
        <v>2004.5239999999999</v>
      </c>
      <c r="U33">
        <v>2015.557</v>
      </c>
      <c r="V33">
        <v>2027.875</v>
      </c>
      <c r="W33">
        <v>1893.046</v>
      </c>
      <c r="X33">
        <v>1953.029</v>
      </c>
      <c r="Y33">
        <v>1999.06</v>
      </c>
      <c r="Z33">
        <v>2029.826</v>
      </c>
      <c r="AA33">
        <v>2050.4920000000002</v>
      </c>
      <c r="AB33">
        <v>2070.8339999999998</v>
      </c>
      <c r="AC33">
        <v>2091.1179999999999</v>
      </c>
      <c r="AD33">
        <v>2104.3589999999999</v>
      </c>
      <c r="AE33">
        <v>2115.6060000000002</v>
      </c>
      <c r="AF33">
        <v>2127.6439999999998</v>
      </c>
      <c r="AG33">
        <v>2139.2600000000002</v>
      </c>
      <c r="AH33">
        <v>2150.3679999999999</v>
      </c>
      <c r="AI33">
        <v>2161.8000000000002</v>
      </c>
      <c r="AJ33">
        <v>2173.5300000000002</v>
      </c>
      <c r="AK33">
        <v>2184.8739999999998</v>
      </c>
      <c r="AL33">
        <v>2195.3850000000002</v>
      </c>
      <c r="AM33">
        <v>2205.0610000000001</v>
      </c>
      <c r="AN33">
        <v>2212.3580000000002</v>
      </c>
      <c r="AO33">
        <v>2218.38</v>
      </c>
      <c r="AP33">
        <v>2224.915</v>
      </c>
      <c r="AQ33">
        <v>2230.9589999999998</v>
      </c>
      <c r="AR33">
        <v>2236.7660000000001</v>
      </c>
      <c r="AS33">
        <v>2241.991</v>
      </c>
      <c r="AT33">
        <v>2246.1750000000002</v>
      </c>
      <c r="AU33">
        <v>2249.5450000000001</v>
      </c>
      <c r="AV33">
        <v>2251.3760000000002</v>
      </c>
      <c r="AW33">
        <v>2251.9879999999998</v>
      </c>
      <c r="AX33">
        <v>2251.5479999999998</v>
      </c>
      <c r="AY33">
        <v>2250.404</v>
      </c>
      <c r="AZ33">
        <v>2249.35</v>
      </c>
      <c r="BA33">
        <v>2248.1120000000001</v>
      </c>
      <c r="BB33">
        <v>2246.364</v>
      </c>
      <c r="BC33">
        <v>2243.66</v>
      </c>
      <c r="BD33">
        <v>2238.4389999999999</v>
      </c>
      <c r="BE33">
        <v>2231.17</v>
      </c>
      <c r="BF33">
        <v>2222.7820000000002</v>
      </c>
      <c r="BG33">
        <v>0.82</v>
      </c>
    </row>
    <row r="34" spans="1:59">
      <c r="A34" t="s">
        <v>125</v>
      </c>
      <c r="B34" t="s">
        <v>33</v>
      </c>
      <c r="C34" t="s">
        <v>122</v>
      </c>
      <c r="D34">
        <v>442</v>
      </c>
      <c r="E34" t="s">
        <v>123</v>
      </c>
      <c r="F34" t="s">
        <v>3</v>
      </c>
      <c r="G34" t="s">
        <v>124</v>
      </c>
      <c r="H34">
        <v>573.62900000000002</v>
      </c>
      <c r="I34">
        <v>582.90300000000002</v>
      </c>
      <c r="J34">
        <v>569.92200000000003</v>
      </c>
      <c r="K34">
        <v>524.65300000000002</v>
      </c>
      <c r="L34">
        <v>443.92599999999999</v>
      </c>
      <c r="M34">
        <v>433.77100000000002</v>
      </c>
      <c r="N34">
        <v>434.27800000000002</v>
      </c>
      <c r="O34">
        <v>436.36</v>
      </c>
      <c r="P34">
        <v>440.62799999999999</v>
      </c>
      <c r="Q34">
        <v>449.99400000000003</v>
      </c>
      <c r="R34">
        <v>463.66399999999999</v>
      </c>
      <c r="S34">
        <v>466.89800000000002</v>
      </c>
      <c r="T34">
        <v>472.14699999999999</v>
      </c>
      <c r="U34">
        <v>472.35399999999998</v>
      </c>
      <c r="V34">
        <v>466.33499999999998</v>
      </c>
      <c r="W34">
        <v>406.15699999999998</v>
      </c>
      <c r="X34">
        <v>441.08499999999998</v>
      </c>
      <c r="Y34">
        <v>442.96300000000002</v>
      </c>
      <c r="Z34">
        <v>436.24299999999999</v>
      </c>
      <c r="AA34">
        <v>423.08</v>
      </c>
      <c r="AB34">
        <v>421.74700000000001</v>
      </c>
      <c r="AC34">
        <v>421.34500000000003</v>
      </c>
      <c r="AD34">
        <v>419.62900000000002</v>
      </c>
      <c r="AE34">
        <v>417.64800000000002</v>
      </c>
      <c r="AF34">
        <v>415.96899999999999</v>
      </c>
      <c r="AG34">
        <v>414.37200000000001</v>
      </c>
      <c r="AH34">
        <v>412.82900000000001</v>
      </c>
      <c r="AI34">
        <v>411.49400000000003</v>
      </c>
      <c r="AJ34">
        <v>410.36099999999999</v>
      </c>
      <c r="AK34">
        <v>409.298</v>
      </c>
      <c r="AL34">
        <v>408.22</v>
      </c>
      <c r="AM34">
        <v>407.13099999999997</v>
      </c>
      <c r="AN34">
        <v>405.74700000000001</v>
      </c>
      <c r="AO34">
        <v>404.27800000000002</v>
      </c>
      <c r="AP34">
        <v>403.05</v>
      </c>
      <c r="AQ34">
        <v>401.87900000000002</v>
      </c>
      <c r="AR34">
        <v>400.81099999999998</v>
      </c>
      <c r="AS34">
        <v>399.78199999999998</v>
      </c>
      <c r="AT34">
        <v>398.714</v>
      </c>
      <c r="AU34">
        <v>397.64600000000002</v>
      </c>
      <c r="AV34">
        <v>396.452</v>
      </c>
      <c r="AW34">
        <v>395.18900000000002</v>
      </c>
      <c r="AX34">
        <v>393.88799999999998</v>
      </c>
      <c r="AY34">
        <v>392.608</v>
      </c>
      <c r="AZ34">
        <v>391.488</v>
      </c>
      <c r="BA34">
        <v>390.48</v>
      </c>
      <c r="BB34">
        <v>389.52699999999999</v>
      </c>
      <c r="BC34">
        <v>388.55099999999999</v>
      </c>
      <c r="BD34">
        <v>387.28100000000001</v>
      </c>
      <c r="BE34">
        <v>385.79700000000003</v>
      </c>
      <c r="BF34">
        <v>384.26</v>
      </c>
      <c r="BG34">
        <v>10.76</v>
      </c>
    </row>
    <row r="35" spans="1:59">
      <c r="A35" t="s">
        <v>129</v>
      </c>
      <c r="B35" t="s">
        <v>33</v>
      </c>
      <c r="C35" t="s">
        <v>126</v>
      </c>
      <c r="D35">
        <v>443</v>
      </c>
      <c r="E35" t="s">
        <v>127</v>
      </c>
      <c r="F35" t="s">
        <v>3</v>
      </c>
      <c r="G35" t="s">
        <v>128</v>
      </c>
      <c r="H35">
        <v>558.18200000000002</v>
      </c>
      <c r="I35">
        <v>570.73800000000006</v>
      </c>
      <c r="J35">
        <v>568.93399999999997</v>
      </c>
      <c r="K35">
        <v>567.05999999999995</v>
      </c>
      <c r="L35">
        <v>514.57000000000005</v>
      </c>
      <c r="M35">
        <v>523.06100000000004</v>
      </c>
      <c r="N35">
        <v>529.46100000000001</v>
      </c>
      <c r="O35">
        <v>511.09</v>
      </c>
      <c r="P35">
        <v>494.94799999999998</v>
      </c>
      <c r="Q35">
        <v>495.92200000000003</v>
      </c>
      <c r="R35">
        <v>510.01900000000001</v>
      </c>
      <c r="S35">
        <v>512.08799999999997</v>
      </c>
      <c r="T35">
        <v>495.036</v>
      </c>
      <c r="U35">
        <v>481.274</v>
      </c>
      <c r="V35">
        <v>463.40100000000001</v>
      </c>
      <c r="W35">
        <v>426.79500000000002</v>
      </c>
      <c r="X35">
        <v>411.70100000000002</v>
      </c>
      <c r="Y35">
        <v>413.62799999999999</v>
      </c>
      <c r="Z35">
        <v>407.31400000000002</v>
      </c>
      <c r="AA35">
        <v>394.31799999999998</v>
      </c>
      <c r="AB35">
        <v>384.89699999999999</v>
      </c>
      <c r="AC35">
        <v>376.13299999999998</v>
      </c>
      <c r="AD35">
        <v>366.68400000000003</v>
      </c>
      <c r="AE35">
        <v>357.49400000000003</v>
      </c>
      <c r="AF35">
        <v>349.03300000000002</v>
      </c>
      <c r="AG35">
        <v>341.08199999999999</v>
      </c>
      <c r="AH35">
        <v>333.59800000000001</v>
      </c>
      <c r="AI35">
        <v>326.68099999999998</v>
      </c>
      <c r="AJ35">
        <v>320.29700000000003</v>
      </c>
      <c r="AK35">
        <v>314.32</v>
      </c>
      <c r="AL35">
        <v>308.67200000000003</v>
      </c>
      <c r="AM35">
        <v>303.33800000000002</v>
      </c>
      <c r="AN35">
        <v>298.10300000000001</v>
      </c>
      <c r="AO35">
        <v>293.108</v>
      </c>
      <c r="AP35">
        <v>288.57799999999997</v>
      </c>
      <c r="AQ35">
        <v>284.36399999999998</v>
      </c>
      <c r="AR35">
        <v>280.48700000000002</v>
      </c>
      <c r="AS35">
        <v>276.89400000000001</v>
      </c>
      <c r="AT35">
        <v>273.51900000000001</v>
      </c>
      <c r="AU35">
        <v>270.38499999999999</v>
      </c>
      <c r="AV35">
        <v>267.39600000000002</v>
      </c>
      <c r="AW35">
        <v>264.58800000000002</v>
      </c>
      <c r="AX35">
        <v>261.976</v>
      </c>
      <c r="AY35">
        <v>259.59199999999998</v>
      </c>
      <c r="AZ35">
        <v>257.52199999999999</v>
      </c>
      <c r="BA35">
        <v>255.72800000000001</v>
      </c>
      <c r="BB35">
        <v>254.16800000000001</v>
      </c>
      <c r="BC35">
        <v>252.78800000000001</v>
      </c>
      <c r="BD35">
        <v>251.40899999999999</v>
      </c>
      <c r="BE35">
        <v>250.08099999999999</v>
      </c>
      <c r="BF35">
        <v>248.90600000000001</v>
      </c>
      <c r="BG35">
        <v>12.95</v>
      </c>
    </row>
    <row r="36" spans="1:59">
      <c r="A36" t="s">
        <v>133</v>
      </c>
      <c r="B36" t="s">
        <v>33</v>
      </c>
      <c r="C36" t="s">
        <v>130</v>
      </c>
      <c r="D36">
        <v>444</v>
      </c>
      <c r="E36" t="s">
        <v>131</v>
      </c>
      <c r="F36" t="s">
        <v>3</v>
      </c>
      <c r="G36" t="s">
        <v>132</v>
      </c>
      <c r="H36">
        <v>1276.037</v>
      </c>
      <c r="I36">
        <v>1320.5989999999999</v>
      </c>
      <c r="J36">
        <v>1304.2170000000001</v>
      </c>
      <c r="K36">
        <v>1247.377</v>
      </c>
      <c r="L36">
        <v>1159.2950000000001</v>
      </c>
      <c r="M36">
        <v>1143.1859999999999</v>
      </c>
      <c r="N36">
        <v>1148.2059999999999</v>
      </c>
      <c r="O36">
        <v>1161.0540000000001</v>
      </c>
      <c r="P36">
        <v>1199.06</v>
      </c>
      <c r="Q36">
        <v>1222.57</v>
      </c>
      <c r="R36">
        <v>1238.7470000000001</v>
      </c>
      <c r="S36">
        <v>1271.8240000000001</v>
      </c>
      <c r="T36">
        <v>1284.0619999999999</v>
      </c>
      <c r="U36">
        <v>1308.3510000000001</v>
      </c>
      <c r="V36">
        <v>1293.5809999999999</v>
      </c>
      <c r="W36">
        <v>1358.298</v>
      </c>
      <c r="X36">
        <v>1408.9780000000001</v>
      </c>
      <c r="Y36">
        <v>1420.8409999999999</v>
      </c>
      <c r="Z36">
        <v>1412.6420000000001</v>
      </c>
      <c r="AA36">
        <v>1383.2049999999999</v>
      </c>
      <c r="AB36">
        <v>1388.8209999999999</v>
      </c>
      <c r="AC36">
        <v>1400.202</v>
      </c>
      <c r="AD36">
        <v>1406.9449999999999</v>
      </c>
      <c r="AE36">
        <v>1412.395</v>
      </c>
      <c r="AF36">
        <v>1418.3869999999999</v>
      </c>
      <c r="AG36">
        <v>1424.0889999999999</v>
      </c>
      <c r="AH36">
        <v>1429.4760000000001</v>
      </c>
      <c r="AI36">
        <v>1435.12</v>
      </c>
      <c r="AJ36">
        <v>1441.0060000000001</v>
      </c>
      <c r="AK36">
        <v>1446.683</v>
      </c>
      <c r="AL36">
        <v>1451.856</v>
      </c>
      <c r="AM36">
        <v>1456.5309999999999</v>
      </c>
      <c r="AN36">
        <v>1459.6869999999999</v>
      </c>
      <c r="AO36">
        <v>1462.06</v>
      </c>
      <c r="AP36">
        <v>1464.8309999999999</v>
      </c>
      <c r="AQ36">
        <v>1467.336</v>
      </c>
      <c r="AR36">
        <v>1469.742</v>
      </c>
      <c r="AS36">
        <v>1471.8240000000001</v>
      </c>
      <c r="AT36">
        <v>1473.2819999999999</v>
      </c>
      <c r="AU36">
        <v>1474.268</v>
      </c>
      <c r="AV36">
        <v>1474.31</v>
      </c>
      <c r="AW36">
        <v>1473.617</v>
      </c>
      <c r="AX36">
        <v>1472.3030000000001</v>
      </c>
      <c r="AY36">
        <v>1470.596</v>
      </c>
      <c r="AZ36">
        <v>1469.0170000000001</v>
      </c>
      <c r="BA36">
        <v>1467.3869999999999</v>
      </c>
      <c r="BB36">
        <v>1465.4939999999999</v>
      </c>
      <c r="BC36">
        <v>1463.0509999999999</v>
      </c>
      <c r="BD36">
        <v>1459.066</v>
      </c>
      <c r="BE36">
        <v>1453.8219999999999</v>
      </c>
      <c r="BF36">
        <v>1447.921</v>
      </c>
      <c r="BG36">
        <v>2.3199999999999998</v>
      </c>
    </row>
    <row r="37" spans="1:59">
      <c r="A37" t="s">
        <v>137</v>
      </c>
      <c r="B37" t="s">
        <v>33</v>
      </c>
      <c r="C37" t="s">
        <v>134</v>
      </c>
      <c r="D37">
        <v>445</v>
      </c>
      <c r="E37" t="s">
        <v>135</v>
      </c>
      <c r="F37" t="s">
        <v>3</v>
      </c>
      <c r="G37" t="s">
        <v>136</v>
      </c>
      <c r="H37">
        <v>2870.7640000000001</v>
      </c>
      <c r="I37">
        <v>2877.7289999999998</v>
      </c>
      <c r="J37">
        <v>2902.846</v>
      </c>
      <c r="K37">
        <v>2918.194</v>
      </c>
      <c r="L37">
        <v>2880.7860000000001</v>
      </c>
      <c r="M37">
        <v>2856.201</v>
      </c>
      <c r="N37">
        <v>2870.8449999999998</v>
      </c>
      <c r="O37">
        <v>2906.701</v>
      </c>
      <c r="P37">
        <v>2975.1089999999999</v>
      </c>
      <c r="Q37">
        <v>3043.143</v>
      </c>
      <c r="R37">
        <v>3107.1190000000001</v>
      </c>
      <c r="S37">
        <v>3131.5430000000001</v>
      </c>
      <c r="T37">
        <v>3138.953</v>
      </c>
      <c r="U37">
        <v>3118.6129999999998</v>
      </c>
      <c r="V37">
        <v>3108.6790000000001</v>
      </c>
      <c r="W37">
        <v>3126.6729999999998</v>
      </c>
      <c r="X37">
        <v>3152.3530000000001</v>
      </c>
      <c r="Y37">
        <v>3171.4349999999999</v>
      </c>
      <c r="Z37">
        <v>3225.114</v>
      </c>
      <c r="AA37">
        <v>3234.74</v>
      </c>
      <c r="AB37">
        <v>3249.31</v>
      </c>
      <c r="AC37">
        <v>3262.846</v>
      </c>
      <c r="AD37">
        <v>3265.4479999999999</v>
      </c>
      <c r="AE37">
        <v>3265.2930000000001</v>
      </c>
      <c r="AF37">
        <v>3266.7759999999998</v>
      </c>
      <c r="AG37">
        <v>3268.3809999999999</v>
      </c>
      <c r="AH37">
        <v>3269.8510000000001</v>
      </c>
      <c r="AI37">
        <v>3272.31</v>
      </c>
      <c r="AJ37">
        <v>3275.7179999999998</v>
      </c>
      <c r="AK37">
        <v>3279.058</v>
      </c>
      <c r="AL37">
        <v>3281.6790000000001</v>
      </c>
      <c r="AM37">
        <v>3283.6060000000002</v>
      </c>
      <c r="AN37">
        <v>3282.585</v>
      </c>
      <c r="AO37">
        <v>3280.2620000000002</v>
      </c>
      <c r="AP37">
        <v>3279.2370000000001</v>
      </c>
      <c r="AQ37">
        <v>3278.0219999999999</v>
      </c>
      <c r="AR37">
        <v>3276.9839999999999</v>
      </c>
      <c r="AS37">
        <v>3275.6320000000001</v>
      </c>
      <c r="AT37">
        <v>3273.3240000000001</v>
      </c>
      <c r="AU37">
        <v>3270.4009999999998</v>
      </c>
      <c r="AV37">
        <v>3265.81</v>
      </c>
      <c r="AW37">
        <v>3260.03</v>
      </c>
      <c r="AX37">
        <v>3253.326</v>
      </c>
      <c r="AY37">
        <v>3246.1759999999999</v>
      </c>
      <c r="AZ37">
        <v>3239.7040000000002</v>
      </c>
      <c r="BA37">
        <v>3233.5430000000001</v>
      </c>
      <c r="BB37">
        <v>3227.2350000000001</v>
      </c>
      <c r="BC37">
        <v>3220.1529999999998</v>
      </c>
      <c r="BD37">
        <v>3210.1149999999998</v>
      </c>
      <c r="BE37">
        <v>3197.7510000000002</v>
      </c>
      <c r="BF37">
        <v>3184.377</v>
      </c>
      <c r="BG37">
        <v>5.03</v>
      </c>
    </row>
    <row r="38" spans="1:59">
      <c r="A38" t="s">
        <v>141</v>
      </c>
      <c r="B38" t="s">
        <v>33</v>
      </c>
      <c r="C38" t="s">
        <v>138</v>
      </c>
      <c r="D38">
        <v>446</v>
      </c>
      <c r="E38" t="s">
        <v>139</v>
      </c>
      <c r="F38" t="s">
        <v>3</v>
      </c>
      <c r="G38" t="s">
        <v>140</v>
      </c>
      <c r="H38">
        <v>947.38300000000004</v>
      </c>
      <c r="I38">
        <v>963.16300000000001</v>
      </c>
      <c r="J38">
        <v>991.351</v>
      </c>
      <c r="K38">
        <v>1000.857</v>
      </c>
      <c r="L38">
        <v>979.226</v>
      </c>
      <c r="M38">
        <v>976.79399999999998</v>
      </c>
      <c r="N38">
        <v>985.48900000000003</v>
      </c>
      <c r="O38">
        <v>996.36099999999999</v>
      </c>
      <c r="P38">
        <v>1008.614</v>
      </c>
      <c r="Q38">
        <v>1015.4880000000001</v>
      </c>
      <c r="R38">
        <v>1027.8689999999999</v>
      </c>
      <c r="S38">
        <v>1048.49</v>
      </c>
      <c r="T38">
        <v>1063.7370000000001</v>
      </c>
      <c r="U38">
        <v>1051.8320000000001</v>
      </c>
      <c r="V38">
        <v>1039.2470000000001</v>
      </c>
      <c r="W38">
        <v>969.35199999999998</v>
      </c>
      <c r="X38">
        <v>1022.232</v>
      </c>
      <c r="Y38">
        <v>1053.2560000000001</v>
      </c>
      <c r="Z38">
        <v>1045.0630000000001</v>
      </c>
      <c r="AA38">
        <v>1032.3779999999999</v>
      </c>
      <c r="AB38">
        <v>1032.3810000000001</v>
      </c>
      <c r="AC38">
        <v>1035.5</v>
      </c>
      <c r="AD38">
        <v>1035.17</v>
      </c>
      <c r="AE38">
        <v>1033.99</v>
      </c>
      <c r="AF38">
        <v>1033.3510000000001</v>
      </c>
      <c r="AG38">
        <v>1032.7629999999999</v>
      </c>
      <c r="AH38">
        <v>1032.1590000000001</v>
      </c>
      <c r="AI38">
        <v>1031.9059999999999</v>
      </c>
      <c r="AJ38">
        <v>1031.982</v>
      </c>
      <c r="AK38">
        <v>1032.068</v>
      </c>
      <c r="AL38">
        <v>1031.962</v>
      </c>
      <c r="AM38">
        <v>1031.6690000000001</v>
      </c>
      <c r="AN38">
        <v>1030.4870000000001</v>
      </c>
      <c r="AO38">
        <v>1028.931</v>
      </c>
      <c r="AP38">
        <v>1027.807</v>
      </c>
      <c r="AQ38">
        <v>1026.6569999999999</v>
      </c>
      <c r="AR38">
        <v>1025.5989999999999</v>
      </c>
      <c r="AS38">
        <v>1024.4780000000001</v>
      </c>
      <c r="AT38">
        <v>1023.092</v>
      </c>
      <c r="AU38">
        <v>1021.548</v>
      </c>
      <c r="AV38">
        <v>1019.519</v>
      </c>
      <c r="AW38">
        <v>1017.154</v>
      </c>
      <c r="AX38">
        <v>1014.532</v>
      </c>
      <c r="AY38">
        <v>1011.81</v>
      </c>
      <c r="AZ38">
        <v>1009.342</v>
      </c>
      <c r="BA38">
        <v>1007.008</v>
      </c>
      <c r="BB38">
        <v>1004.6660000000001</v>
      </c>
      <c r="BC38">
        <v>1002.12</v>
      </c>
      <c r="BD38">
        <v>998.69600000000003</v>
      </c>
      <c r="BE38">
        <v>994.58199999999999</v>
      </c>
      <c r="BF38">
        <v>990.18899999999996</v>
      </c>
      <c r="BG38">
        <v>18.02</v>
      </c>
    </row>
    <row r="39" spans="1:59">
      <c r="A39" t="s">
        <v>145</v>
      </c>
      <c r="B39" t="s">
        <v>33</v>
      </c>
      <c r="C39" t="s">
        <v>142</v>
      </c>
      <c r="D39">
        <v>447</v>
      </c>
      <c r="E39" t="s">
        <v>143</v>
      </c>
      <c r="F39" t="s">
        <v>3</v>
      </c>
      <c r="G39" t="s">
        <v>144</v>
      </c>
      <c r="H39">
        <v>864.64800000000002</v>
      </c>
      <c r="I39">
        <v>862.68299999999999</v>
      </c>
      <c r="J39">
        <v>861.62699999999995</v>
      </c>
      <c r="K39">
        <v>844.23400000000004</v>
      </c>
      <c r="L39">
        <v>823.07799999999997</v>
      </c>
      <c r="M39">
        <v>819.42100000000005</v>
      </c>
      <c r="N39">
        <v>823.99099999999999</v>
      </c>
      <c r="O39">
        <v>841.03499999999997</v>
      </c>
      <c r="P39">
        <v>858.76400000000001</v>
      </c>
      <c r="Q39">
        <v>875.91399999999999</v>
      </c>
      <c r="R39">
        <v>899.90599999999995</v>
      </c>
      <c r="S39">
        <v>914.10900000000004</v>
      </c>
      <c r="T39">
        <v>921.49900000000002</v>
      </c>
      <c r="U39">
        <v>923.822</v>
      </c>
      <c r="V39">
        <v>930.66300000000001</v>
      </c>
      <c r="W39">
        <v>910.12300000000005</v>
      </c>
      <c r="X39">
        <v>922.86900000000003</v>
      </c>
      <c r="Y39">
        <v>939.79200000000003</v>
      </c>
      <c r="Z39">
        <v>951.976</v>
      </c>
      <c r="AA39">
        <v>958.69500000000005</v>
      </c>
      <c r="AB39">
        <v>968.42600000000004</v>
      </c>
      <c r="AC39">
        <v>978.98299999999995</v>
      </c>
      <c r="AD39">
        <v>986.40099999999995</v>
      </c>
      <c r="AE39">
        <v>992.86400000000003</v>
      </c>
      <c r="AF39">
        <v>999.60199999999998</v>
      </c>
      <c r="AG39">
        <v>1005.925</v>
      </c>
      <c r="AH39">
        <v>1011.875</v>
      </c>
      <c r="AI39">
        <v>1017.914</v>
      </c>
      <c r="AJ39">
        <v>1024.037</v>
      </c>
      <c r="AK39">
        <v>1029.924</v>
      </c>
      <c r="AL39">
        <v>1035.3689999999999</v>
      </c>
      <c r="AM39">
        <v>1040.3689999999999</v>
      </c>
      <c r="AN39">
        <v>1044.204</v>
      </c>
      <c r="AO39">
        <v>1047.3900000000001</v>
      </c>
      <c r="AP39">
        <v>1050.7539999999999</v>
      </c>
      <c r="AQ39">
        <v>1053.835</v>
      </c>
      <c r="AR39">
        <v>1056.7560000000001</v>
      </c>
      <c r="AS39">
        <v>1059.3520000000001</v>
      </c>
      <c r="AT39">
        <v>1061.404</v>
      </c>
      <c r="AU39">
        <v>1063.0160000000001</v>
      </c>
      <c r="AV39">
        <v>1063.856</v>
      </c>
      <c r="AW39">
        <v>1064.069</v>
      </c>
      <c r="AX39">
        <v>1063.7360000000001</v>
      </c>
      <c r="AY39">
        <v>1063.018</v>
      </c>
      <c r="AZ39">
        <v>1062.288</v>
      </c>
      <c r="BA39">
        <v>1061.412</v>
      </c>
      <c r="BB39">
        <v>1060.2370000000001</v>
      </c>
      <c r="BC39">
        <v>1058.5609999999999</v>
      </c>
      <c r="BD39">
        <v>1055.673</v>
      </c>
      <c r="BE39">
        <v>1051.787</v>
      </c>
      <c r="BF39">
        <v>1047.336</v>
      </c>
      <c r="BG39">
        <v>0.74</v>
      </c>
    </row>
    <row r="40" spans="1:59">
      <c r="A40" t="s">
        <v>149</v>
      </c>
      <c r="B40" t="s">
        <v>33</v>
      </c>
      <c r="C40" t="s">
        <v>146</v>
      </c>
      <c r="D40">
        <v>448</v>
      </c>
      <c r="E40" t="s">
        <v>147</v>
      </c>
      <c r="F40" t="s">
        <v>3</v>
      </c>
      <c r="G40" t="s">
        <v>148</v>
      </c>
      <c r="H40">
        <v>1406.54</v>
      </c>
      <c r="I40">
        <v>1439.682</v>
      </c>
      <c r="J40">
        <v>1483.39</v>
      </c>
      <c r="K40">
        <v>1467.537</v>
      </c>
      <c r="L40">
        <v>1359.9580000000001</v>
      </c>
      <c r="M40">
        <v>1360.56</v>
      </c>
      <c r="N40">
        <v>1358.11</v>
      </c>
      <c r="O40">
        <v>1388.32</v>
      </c>
      <c r="P40">
        <v>1391.7650000000001</v>
      </c>
      <c r="Q40">
        <v>1376.16</v>
      </c>
      <c r="R40">
        <v>1362.2260000000001</v>
      </c>
      <c r="S40">
        <v>1359.126</v>
      </c>
      <c r="T40">
        <v>1358.354</v>
      </c>
      <c r="U40">
        <v>1328.902</v>
      </c>
      <c r="V40">
        <v>1269.761</v>
      </c>
      <c r="W40">
        <v>931.64800000000002</v>
      </c>
      <c r="X40">
        <v>1023.41</v>
      </c>
      <c r="Y40">
        <v>1068.2919999999999</v>
      </c>
      <c r="Z40">
        <v>1080.0519999999999</v>
      </c>
      <c r="AA40">
        <v>1071.914</v>
      </c>
      <c r="AB40">
        <v>1064.3389999999999</v>
      </c>
      <c r="AC40">
        <v>1063.002</v>
      </c>
      <c r="AD40">
        <v>1058.2439999999999</v>
      </c>
      <c r="AE40">
        <v>1052.7750000000001</v>
      </c>
      <c r="AF40">
        <v>1048.0360000000001</v>
      </c>
      <c r="AG40">
        <v>1043.5719999999999</v>
      </c>
      <c r="AH40">
        <v>1039.2909999999999</v>
      </c>
      <c r="AI40">
        <v>1035.5360000000001</v>
      </c>
      <c r="AJ40">
        <v>1032.287</v>
      </c>
      <c r="AK40">
        <v>1029.2190000000001</v>
      </c>
      <c r="AL40">
        <v>1026.1279999999999</v>
      </c>
      <c r="AM40">
        <v>1023.019</v>
      </c>
      <c r="AN40">
        <v>1019.1950000000001</v>
      </c>
      <c r="AO40">
        <v>1015.168</v>
      </c>
      <c r="AP40">
        <v>1011.742</v>
      </c>
      <c r="AQ40">
        <v>1008.453</v>
      </c>
      <c r="AR40">
        <v>1005.412</v>
      </c>
      <c r="AS40">
        <v>1002.467</v>
      </c>
      <c r="AT40">
        <v>999.42399999999998</v>
      </c>
      <c r="AU40">
        <v>996.38800000000003</v>
      </c>
      <c r="AV40">
        <v>993.03700000000003</v>
      </c>
      <c r="AW40">
        <v>989.51599999999996</v>
      </c>
      <c r="AX40">
        <v>985.90700000000004</v>
      </c>
      <c r="AY40">
        <v>982.35400000000004</v>
      </c>
      <c r="AZ40">
        <v>979.19299999999998</v>
      </c>
      <c r="BA40">
        <v>976.31299999999999</v>
      </c>
      <c r="BB40">
        <v>973.57299999999998</v>
      </c>
      <c r="BC40">
        <v>970.78399999999999</v>
      </c>
      <c r="BD40">
        <v>967.28</v>
      </c>
      <c r="BE40">
        <v>963.25300000000004</v>
      </c>
      <c r="BF40">
        <v>959.1</v>
      </c>
      <c r="BG40">
        <v>11.65</v>
      </c>
    </row>
    <row r="41" spans="1:59">
      <c r="A41" t="s">
        <v>153</v>
      </c>
      <c r="B41" t="s">
        <v>33</v>
      </c>
      <c r="C41" t="s">
        <v>150</v>
      </c>
      <c r="D41">
        <v>451</v>
      </c>
      <c r="E41" t="s">
        <v>151</v>
      </c>
      <c r="F41" t="s">
        <v>3</v>
      </c>
      <c r="G41" t="s">
        <v>152</v>
      </c>
      <c r="H41">
        <v>641.39099999999996</v>
      </c>
      <c r="I41">
        <v>643.03300000000002</v>
      </c>
      <c r="J41">
        <v>647.63099999999997</v>
      </c>
      <c r="K41">
        <v>640.28</v>
      </c>
      <c r="L41">
        <v>604.77200000000005</v>
      </c>
      <c r="M41">
        <v>590.904</v>
      </c>
      <c r="N41">
        <v>585.11199999999997</v>
      </c>
      <c r="O41">
        <v>590.94799999999998</v>
      </c>
      <c r="P41">
        <v>604.85900000000004</v>
      </c>
      <c r="Q41">
        <v>619.84</v>
      </c>
      <c r="R41">
        <v>625.10500000000002</v>
      </c>
      <c r="S41">
        <v>610.77</v>
      </c>
      <c r="T41">
        <v>587.07500000000005</v>
      </c>
      <c r="U41">
        <v>560.85400000000004</v>
      </c>
      <c r="V41">
        <v>535.51700000000005</v>
      </c>
      <c r="W41">
        <v>458.96899999999999</v>
      </c>
      <c r="X41">
        <v>508.62</v>
      </c>
      <c r="Y41">
        <v>506.04599999999999</v>
      </c>
      <c r="Z41">
        <v>513.154</v>
      </c>
      <c r="AA41">
        <v>513.63300000000004</v>
      </c>
      <c r="AB41">
        <v>510.976</v>
      </c>
      <c r="AC41">
        <v>508.61500000000001</v>
      </c>
      <c r="AD41">
        <v>504.77800000000002</v>
      </c>
      <c r="AE41">
        <v>500.71100000000001</v>
      </c>
      <c r="AF41">
        <v>497.07600000000002</v>
      </c>
      <c r="AG41">
        <v>493.58199999999999</v>
      </c>
      <c r="AH41">
        <v>490.21100000000001</v>
      </c>
      <c r="AI41">
        <v>487.15600000000001</v>
      </c>
      <c r="AJ41">
        <v>484.40600000000001</v>
      </c>
      <c r="AK41">
        <v>481.80399999999997</v>
      </c>
      <c r="AL41">
        <v>479.25200000000001</v>
      </c>
      <c r="AM41">
        <v>476.75200000000001</v>
      </c>
      <c r="AN41">
        <v>473.976</v>
      </c>
      <c r="AO41">
        <v>471.166</v>
      </c>
      <c r="AP41">
        <v>468.702</v>
      </c>
      <c r="AQ41">
        <v>466.36599999999999</v>
      </c>
      <c r="AR41">
        <v>464.21100000000001</v>
      </c>
      <c r="AS41">
        <v>462.16300000000001</v>
      </c>
      <c r="AT41">
        <v>460.12799999999999</v>
      </c>
      <c r="AU41">
        <v>458.15499999999997</v>
      </c>
      <c r="AV41">
        <v>456.096</v>
      </c>
      <c r="AW41">
        <v>454.01799999999997</v>
      </c>
      <c r="AX41">
        <v>451.95600000000002</v>
      </c>
      <c r="AY41">
        <v>449.976</v>
      </c>
      <c r="AZ41">
        <v>448.23500000000001</v>
      </c>
      <c r="BA41">
        <v>446.67700000000002</v>
      </c>
      <c r="BB41">
        <v>445.23500000000001</v>
      </c>
      <c r="BC41">
        <v>443.822</v>
      </c>
      <c r="BD41">
        <v>442.13400000000001</v>
      </c>
      <c r="BE41">
        <v>440.26</v>
      </c>
      <c r="BF41">
        <v>438.37900000000002</v>
      </c>
      <c r="BG41">
        <v>0.1</v>
      </c>
    </row>
    <row r="42" spans="1:59">
      <c r="A42" t="s">
        <v>157</v>
      </c>
      <c r="B42" t="s">
        <v>33</v>
      </c>
      <c r="C42" t="s">
        <v>154</v>
      </c>
      <c r="D42">
        <v>452</v>
      </c>
      <c r="E42" t="s">
        <v>155</v>
      </c>
      <c r="F42" t="s">
        <v>3</v>
      </c>
      <c r="G42" t="s">
        <v>156</v>
      </c>
      <c r="H42">
        <v>2927.1170000000002</v>
      </c>
      <c r="I42">
        <v>2948.02</v>
      </c>
      <c r="J42">
        <v>3022.598</v>
      </c>
      <c r="K42">
        <v>3038.2260000000001</v>
      </c>
      <c r="L42">
        <v>2994.1959999999999</v>
      </c>
      <c r="M42">
        <v>3004.6489999999999</v>
      </c>
      <c r="N42">
        <v>3081.9810000000002</v>
      </c>
      <c r="O42">
        <v>3085.6219999999998</v>
      </c>
      <c r="P42">
        <v>3063.2759999999998</v>
      </c>
      <c r="Q42">
        <v>3102.4409999999998</v>
      </c>
      <c r="R42">
        <v>3160.0070000000001</v>
      </c>
      <c r="S42">
        <v>3191.0479999999998</v>
      </c>
      <c r="T42">
        <v>3137.7860000000001</v>
      </c>
      <c r="U42">
        <v>3123.2530000000002</v>
      </c>
      <c r="V42">
        <v>3046.2579999999998</v>
      </c>
      <c r="W42">
        <v>2965.6210000000001</v>
      </c>
      <c r="X42">
        <v>3057.886</v>
      </c>
      <c r="Y42">
        <v>3147.107</v>
      </c>
      <c r="Z42">
        <v>3116.779</v>
      </c>
      <c r="AA42">
        <v>3175.049</v>
      </c>
      <c r="AB42">
        <v>3214.5</v>
      </c>
      <c r="AC42">
        <v>3233.0749999999998</v>
      </c>
      <c r="AD42">
        <v>3241.0940000000001</v>
      </c>
      <c r="AE42">
        <v>3246.3209999999999</v>
      </c>
      <c r="AF42">
        <v>3253</v>
      </c>
      <c r="AG42">
        <v>3259.2260000000001</v>
      </c>
      <c r="AH42">
        <v>3264.9479999999999</v>
      </c>
      <c r="AI42">
        <v>3271.48</v>
      </c>
      <c r="AJ42">
        <v>3278.7820000000002</v>
      </c>
      <c r="AK42">
        <v>3285.8270000000002</v>
      </c>
      <c r="AL42">
        <v>3291.9630000000002</v>
      </c>
      <c r="AM42">
        <v>3297.2069999999999</v>
      </c>
      <c r="AN42">
        <v>3299.2739999999999</v>
      </c>
      <c r="AO42">
        <v>3299.828</v>
      </c>
      <c r="AP42">
        <v>3301.5129999999999</v>
      </c>
      <c r="AQ42">
        <v>3302.8470000000002</v>
      </c>
      <c r="AR42">
        <v>3304.2150000000001</v>
      </c>
      <c r="AS42">
        <v>3305.1129999999998</v>
      </c>
      <c r="AT42">
        <v>3304.87</v>
      </c>
      <c r="AU42">
        <v>3303.83</v>
      </c>
      <c r="AV42">
        <v>3300.942</v>
      </c>
      <c r="AW42">
        <v>3296.6790000000001</v>
      </c>
      <c r="AX42">
        <v>3291.3009999999999</v>
      </c>
      <c r="AY42">
        <v>3285.3159999999998</v>
      </c>
      <c r="AZ42">
        <v>3279.8870000000002</v>
      </c>
      <c r="BA42">
        <v>3274.6109999999999</v>
      </c>
      <c r="BB42">
        <v>3269.0120000000002</v>
      </c>
      <c r="BC42">
        <v>3262.453</v>
      </c>
      <c r="BD42">
        <v>3252.7109999999998</v>
      </c>
      <c r="BE42">
        <v>3240.4319999999998</v>
      </c>
      <c r="BF42">
        <v>3226.9569999999999</v>
      </c>
      <c r="BG42">
        <v>0.72</v>
      </c>
    </row>
    <row r="43" spans="1:59">
      <c r="A43" t="s">
        <v>161</v>
      </c>
      <c r="B43" t="s">
        <v>33</v>
      </c>
      <c r="C43" t="s">
        <v>158</v>
      </c>
      <c r="D43">
        <v>453</v>
      </c>
      <c r="E43" t="s">
        <v>159</v>
      </c>
      <c r="F43" t="s">
        <v>3</v>
      </c>
      <c r="G43" t="s">
        <v>160</v>
      </c>
      <c r="H43">
        <v>893.827</v>
      </c>
      <c r="I43">
        <v>877.27300000000002</v>
      </c>
      <c r="J43">
        <v>866.59900000000005</v>
      </c>
      <c r="K43">
        <v>839.34699999999998</v>
      </c>
      <c r="L43">
        <v>782.01599999999996</v>
      </c>
      <c r="M43">
        <v>771.03499999999997</v>
      </c>
      <c r="N43">
        <v>778.32799999999997</v>
      </c>
      <c r="O43">
        <v>795.71699999999998</v>
      </c>
      <c r="P43">
        <v>804.26099999999997</v>
      </c>
      <c r="Q43">
        <v>815.12</v>
      </c>
      <c r="R43">
        <v>822.93399999999997</v>
      </c>
      <c r="S43">
        <v>820.62699999999995</v>
      </c>
      <c r="T43">
        <v>818.54100000000005</v>
      </c>
      <c r="U43">
        <v>821.09900000000005</v>
      </c>
      <c r="V43">
        <v>827.61699999999996</v>
      </c>
      <c r="W43">
        <v>720.07799999999997</v>
      </c>
      <c r="X43">
        <v>792.04600000000005</v>
      </c>
      <c r="Y43">
        <v>824.86800000000005</v>
      </c>
      <c r="Z43">
        <v>815.91200000000003</v>
      </c>
      <c r="AA43">
        <v>814.52800000000002</v>
      </c>
      <c r="AB43">
        <v>815.91899999999998</v>
      </c>
      <c r="AC43">
        <v>823.42399999999998</v>
      </c>
      <c r="AD43">
        <v>828.16800000000001</v>
      </c>
      <c r="AE43">
        <v>832.13699999999994</v>
      </c>
      <c r="AF43">
        <v>836.40899999999999</v>
      </c>
      <c r="AG43">
        <v>840.505</v>
      </c>
      <c r="AH43">
        <v>844.399</v>
      </c>
      <c r="AI43">
        <v>848.42499999999995</v>
      </c>
      <c r="AJ43">
        <v>852.57299999999998</v>
      </c>
      <c r="AK43">
        <v>856.57500000000005</v>
      </c>
      <c r="AL43">
        <v>860.25699999999995</v>
      </c>
      <c r="AM43">
        <v>863.62400000000002</v>
      </c>
      <c r="AN43">
        <v>866.06299999999999</v>
      </c>
      <c r="AO43">
        <v>868.01199999999994</v>
      </c>
      <c r="AP43">
        <v>870.173</v>
      </c>
      <c r="AQ43">
        <v>872.15</v>
      </c>
      <c r="AR43">
        <v>874.04100000000005</v>
      </c>
      <c r="AS43">
        <v>875.71</v>
      </c>
      <c r="AT43">
        <v>876.97900000000004</v>
      </c>
      <c r="AU43">
        <v>877.94</v>
      </c>
      <c r="AV43">
        <v>878.30899999999997</v>
      </c>
      <c r="AW43">
        <v>878.21100000000001</v>
      </c>
      <c r="AX43">
        <v>877.71199999999999</v>
      </c>
      <c r="AY43">
        <v>876.94799999999998</v>
      </c>
      <c r="AZ43">
        <v>876.23400000000004</v>
      </c>
      <c r="BA43">
        <v>875.46199999999999</v>
      </c>
      <c r="BB43">
        <v>874.50400000000002</v>
      </c>
      <c r="BC43">
        <v>873.18799999999999</v>
      </c>
      <c r="BD43">
        <v>870.90700000000004</v>
      </c>
      <c r="BE43">
        <v>867.84</v>
      </c>
      <c r="BF43">
        <v>864.35</v>
      </c>
      <c r="BG43">
        <v>0.47</v>
      </c>
    </row>
    <row r="44" spans="1:59">
      <c r="A44" t="s">
        <v>165</v>
      </c>
      <c r="B44" t="s">
        <v>33</v>
      </c>
      <c r="C44" t="s">
        <v>162</v>
      </c>
      <c r="D44">
        <v>454</v>
      </c>
      <c r="E44" t="s">
        <v>163</v>
      </c>
      <c r="F44" t="s">
        <v>3</v>
      </c>
      <c r="G44" t="s">
        <v>164</v>
      </c>
      <c r="H44">
        <v>362.21499999999997</v>
      </c>
      <c r="I44">
        <v>364.44200000000001</v>
      </c>
      <c r="J44">
        <v>372.04199999999997</v>
      </c>
      <c r="K44">
        <v>373.25900000000001</v>
      </c>
      <c r="L44">
        <v>355.91500000000002</v>
      </c>
      <c r="M44">
        <v>355.87599999999998</v>
      </c>
      <c r="N44">
        <v>366.52499999999998</v>
      </c>
      <c r="O44">
        <v>378.80099999999999</v>
      </c>
      <c r="P44">
        <v>393.72500000000002</v>
      </c>
      <c r="Q44">
        <v>415.464</v>
      </c>
      <c r="R44">
        <v>431.125</v>
      </c>
      <c r="S44">
        <v>454.10700000000003</v>
      </c>
      <c r="T44">
        <v>471.27800000000002</v>
      </c>
      <c r="U44">
        <v>487.87099999999998</v>
      </c>
      <c r="V44">
        <v>497.83499999999998</v>
      </c>
      <c r="W44">
        <v>496.048</v>
      </c>
      <c r="X44">
        <v>536.22500000000002</v>
      </c>
      <c r="Y44">
        <v>536.27800000000002</v>
      </c>
      <c r="Z44">
        <v>540.86699999999996</v>
      </c>
      <c r="AA44">
        <v>535.94399999999996</v>
      </c>
      <c r="AB44">
        <v>543.81500000000005</v>
      </c>
      <c r="AC44">
        <v>556.11500000000001</v>
      </c>
      <c r="AD44">
        <v>566.54999999999995</v>
      </c>
      <c r="AE44">
        <v>576.39400000000001</v>
      </c>
      <c r="AF44">
        <v>586.36800000000005</v>
      </c>
      <c r="AG44">
        <v>596.11199999999997</v>
      </c>
      <c r="AH44">
        <v>605.59199999999998</v>
      </c>
      <c r="AI44">
        <v>615.04100000000005</v>
      </c>
      <c r="AJ44">
        <v>624.45399999999995</v>
      </c>
      <c r="AK44">
        <v>633.61599999999999</v>
      </c>
      <c r="AL44">
        <v>642.38099999999997</v>
      </c>
      <c r="AM44">
        <v>650.74099999999999</v>
      </c>
      <c r="AN44">
        <v>658.20500000000004</v>
      </c>
      <c r="AO44">
        <v>665.09199999999998</v>
      </c>
      <c r="AP44">
        <v>671.93499999999995</v>
      </c>
      <c r="AQ44">
        <v>678.41099999999994</v>
      </c>
      <c r="AR44">
        <v>684.58600000000001</v>
      </c>
      <c r="AS44">
        <v>690.34100000000001</v>
      </c>
      <c r="AT44">
        <v>695.52800000000002</v>
      </c>
      <c r="AU44">
        <v>700.20899999999995</v>
      </c>
      <c r="AV44">
        <v>704.14099999999996</v>
      </c>
      <c r="AW44">
        <v>707.41200000000003</v>
      </c>
      <c r="AX44">
        <v>710.06899999999996</v>
      </c>
      <c r="AY44">
        <v>712.21199999999999</v>
      </c>
      <c r="AZ44">
        <v>714.08600000000001</v>
      </c>
      <c r="BA44">
        <v>715.60900000000004</v>
      </c>
      <c r="BB44">
        <v>716.67399999999998</v>
      </c>
      <c r="BC44">
        <v>717.13800000000003</v>
      </c>
      <c r="BD44">
        <v>716.51400000000001</v>
      </c>
      <c r="BE44">
        <v>714.928</v>
      </c>
      <c r="BF44">
        <v>712.67700000000002</v>
      </c>
      <c r="BG44">
        <v>341.22</v>
      </c>
    </row>
    <row r="45" spans="1:59">
      <c r="A45" t="s">
        <v>169</v>
      </c>
      <c r="B45" t="s">
        <v>33</v>
      </c>
      <c r="C45" t="s">
        <v>166</v>
      </c>
      <c r="D45">
        <v>481</v>
      </c>
      <c r="E45" t="s">
        <v>167</v>
      </c>
      <c r="F45" t="s">
        <v>3</v>
      </c>
      <c r="G45" t="s">
        <v>168</v>
      </c>
      <c r="H45">
        <v>479.40100000000001</v>
      </c>
      <c r="I45">
        <v>463.09300000000002</v>
      </c>
      <c r="J45">
        <v>471.30799999999999</v>
      </c>
      <c r="K45">
        <v>469.99599999999998</v>
      </c>
      <c r="L45">
        <v>439.93</v>
      </c>
      <c r="M45">
        <v>427.85199999999998</v>
      </c>
      <c r="N45">
        <v>432.33800000000002</v>
      </c>
      <c r="O45">
        <v>433.53100000000001</v>
      </c>
      <c r="P45">
        <v>424.98200000000003</v>
      </c>
      <c r="Q45">
        <v>429.81799999999998</v>
      </c>
      <c r="R45">
        <v>445.92899999999997</v>
      </c>
      <c r="S45">
        <v>463.28899999999999</v>
      </c>
      <c r="T45">
        <v>480.80700000000002</v>
      </c>
      <c r="U45">
        <v>494.42599999999999</v>
      </c>
      <c r="V45">
        <v>506.75400000000002</v>
      </c>
      <c r="W45">
        <v>461.74099999999999</v>
      </c>
      <c r="X45">
        <v>458.35700000000003</v>
      </c>
      <c r="Y45">
        <v>510.709</v>
      </c>
      <c r="Z45">
        <v>547.36599999999999</v>
      </c>
      <c r="AA45">
        <v>563.572</v>
      </c>
      <c r="AB45">
        <v>563.47199999999998</v>
      </c>
      <c r="AC45">
        <v>560.92899999999997</v>
      </c>
      <c r="AD45">
        <v>556.86300000000006</v>
      </c>
      <c r="AE45">
        <v>552.38699999999994</v>
      </c>
      <c r="AF45">
        <v>547.77200000000005</v>
      </c>
      <c r="AG45">
        <v>542.572</v>
      </c>
      <c r="AH45">
        <v>537.09299999999996</v>
      </c>
      <c r="AI45">
        <v>531.38599999999997</v>
      </c>
      <c r="AJ45">
        <v>525.5</v>
      </c>
      <c r="AK45">
        <v>519.54200000000003</v>
      </c>
      <c r="AL45">
        <v>513.78700000000003</v>
      </c>
      <c r="AM45">
        <v>508.09100000000001</v>
      </c>
      <c r="AN45">
        <v>502.28100000000001</v>
      </c>
      <c r="AO45">
        <v>496.65800000000002</v>
      </c>
      <c r="AP45">
        <v>491.39299999999997</v>
      </c>
      <c r="AQ45">
        <v>486.33800000000002</v>
      </c>
      <c r="AR45">
        <v>481.66800000000001</v>
      </c>
      <c r="AS45">
        <v>477.29</v>
      </c>
      <c r="AT45">
        <v>473.214</v>
      </c>
      <c r="AU45">
        <v>469.54300000000001</v>
      </c>
      <c r="AV45">
        <v>466.24799999999999</v>
      </c>
      <c r="AW45">
        <v>463.30599999999998</v>
      </c>
      <c r="AX45">
        <v>460.53300000000002</v>
      </c>
      <c r="AY45">
        <v>458.125</v>
      </c>
      <c r="AZ45">
        <v>456.22500000000002</v>
      </c>
      <c r="BA45">
        <v>454.80500000000001</v>
      </c>
      <c r="BB45">
        <v>453.70800000000003</v>
      </c>
      <c r="BC45">
        <v>452.9</v>
      </c>
      <c r="BD45">
        <v>452.44900000000001</v>
      </c>
      <c r="BE45">
        <v>452.233</v>
      </c>
      <c r="BF45">
        <v>452.40800000000002</v>
      </c>
      <c r="BG45">
        <v>2.33</v>
      </c>
    </row>
    <row r="46" spans="1:59">
      <c r="A46" t="s">
        <v>173</v>
      </c>
      <c r="B46" t="s">
        <v>33</v>
      </c>
      <c r="C46" t="s">
        <v>170</v>
      </c>
      <c r="D46">
        <v>482</v>
      </c>
      <c r="E46" t="s">
        <v>171</v>
      </c>
      <c r="F46" t="s">
        <v>3</v>
      </c>
      <c r="G46" t="s">
        <v>172</v>
      </c>
      <c r="H46">
        <v>159.14400000000001</v>
      </c>
      <c r="I46">
        <v>160.88200000000001</v>
      </c>
      <c r="J46">
        <v>163.989</v>
      </c>
      <c r="K46">
        <v>161.505</v>
      </c>
      <c r="L46">
        <v>152.52000000000001</v>
      </c>
      <c r="M46">
        <v>153.40700000000001</v>
      </c>
      <c r="N46">
        <v>156.636</v>
      </c>
      <c r="O46">
        <v>160.65600000000001</v>
      </c>
      <c r="P46">
        <v>163.13399999999999</v>
      </c>
      <c r="Q46">
        <v>167.452</v>
      </c>
      <c r="R46">
        <v>170.10900000000001</v>
      </c>
      <c r="S46">
        <v>161.99199999999999</v>
      </c>
      <c r="T46">
        <v>160.40899999999999</v>
      </c>
      <c r="U46">
        <v>158.697</v>
      </c>
      <c r="V46">
        <v>154.72999999999999</v>
      </c>
      <c r="W46">
        <v>140.86199999999999</v>
      </c>
      <c r="X46">
        <v>142.21100000000001</v>
      </c>
      <c r="Y46">
        <v>149.50399999999999</v>
      </c>
      <c r="Z46">
        <v>152.905</v>
      </c>
      <c r="AA46">
        <v>152.17400000000001</v>
      </c>
      <c r="AB46">
        <v>143.88800000000001</v>
      </c>
      <c r="AC46">
        <v>136.054</v>
      </c>
      <c r="AD46">
        <v>128.52099999999999</v>
      </c>
      <c r="AE46">
        <v>121.51300000000001</v>
      </c>
      <c r="AF46">
        <v>115.038</v>
      </c>
      <c r="AG46">
        <v>108.94799999999999</v>
      </c>
      <c r="AH46">
        <v>103.28</v>
      </c>
      <c r="AI46">
        <v>98.018000000000001</v>
      </c>
      <c r="AJ46">
        <v>93.14</v>
      </c>
      <c r="AK46">
        <v>88.629000000000005</v>
      </c>
      <c r="AL46">
        <v>84.5</v>
      </c>
      <c r="AM46">
        <v>80.697000000000003</v>
      </c>
      <c r="AN46">
        <v>77.165000000000006</v>
      </c>
      <c r="AO46">
        <v>73.930000000000007</v>
      </c>
      <c r="AP46">
        <v>70.995999999999995</v>
      </c>
      <c r="AQ46">
        <v>68.317999999999998</v>
      </c>
      <c r="AR46">
        <v>65.900000000000006</v>
      </c>
      <c r="AS46">
        <v>63.71</v>
      </c>
      <c r="AT46">
        <v>61.734000000000002</v>
      </c>
      <c r="AU46">
        <v>59.966999999999999</v>
      </c>
      <c r="AV46">
        <v>58.398000000000003</v>
      </c>
      <c r="AW46">
        <v>57.009</v>
      </c>
      <c r="AX46">
        <v>55.768000000000001</v>
      </c>
      <c r="AY46">
        <v>54.69</v>
      </c>
      <c r="AZ46">
        <v>53.783999999999999</v>
      </c>
      <c r="BA46">
        <v>53.039000000000001</v>
      </c>
      <c r="BB46">
        <v>52.43</v>
      </c>
      <c r="BC46">
        <v>51.948999999999998</v>
      </c>
      <c r="BD46">
        <v>51.593000000000004</v>
      </c>
      <c r="BE46">
        <v>51.351999999999997</v>
      </c>
      <c r="BF46">
        <v>51.241999999999997</v>
      </c>
      <c r="BG46">
        <v>140.55000000000001</v>
      </c>
    </row>
    <row r="47" spans="1:59">
      <c r="A47" t="s">
        <v>177</v>
      </c>
      <c r="B47" t="s">
        <v>33</v>
      </c>
      <c r="C47" t="s">
        <v>174</v>
      </c>
      <c r="D47">
        <v>483</v>
      </c>
      <c r="E47" t="s">
        <v>175</v>
      </c>
      <c r="F47" t="s">
        <v>3</v>
      </c>
      <c r="G47" t="s">
        <v>176</v>
      </c>
      <c r="H47">
        <v>60.134</v>
      </c>
      <c r="I47">
        <v>62.603999999999999</v>
      </c>
      <c r="J47">
        <v>64.040000000000006</v>
      </c>
      <c r="K47">
        <v>65.676000000000002</v>
      </c>
      <c r="L47">
        <v>62.744</v>
      </c>
      <c r="M47">
        <v>63.832999999999998</v>
      </c>
      <c r="N47">
        <v>64.789000000000001</v>
      </c>
      <c r="O47">
        <v>67.09</v>
      </c>
      <c r="P47">
        <v>68.123999999999995</v>
      </c>
      <c r="Q47">
        <v>70.186000000000007</v>
      </c>
      <c r="R47">
        <v>69.070999999999998</v>
      </c>
      <c r="S47">
        <v>67.528000000000006</v>
      </c>
      <c r="T47">
        <v>66.146000000000001</v>
      </c>
      <c r="U47">
        <v>66.158000000000001</v>
      </c>
      <c r="V47">
        <v>68.415999999999997</v>
      </c>
      <c r="W47">
        <v>61.069000000000003</v>
      </c>
      <c r="X47">
        <v>58.344999999999999</v>
      </c>
      <c r="Y47">
        <v>61.94</v>
      </c>
      <c r="Z47">
        <v>64.521000000000001</v>
      </c>
      <c r="AA47">
        <v>64.936000000000007</v>
      </c>
      <c r="AB47">
        <v>63.927999999999997</v>
      </c>
      <c r="AC47">
        <v>62.646999999999998</v>
      </c>
      <c r="AD47">
        <v>61.238</v>
      </c>
      <c r="AE47">
        <v>59.847000000000001</v>
      </c>
      <c r="AF47">
        <v>58.503999999999998</v>
      </c>
      <c r="AG47">
        <v>57.161000000000001</v>
      </c>
      <c r="AH47">
        <v>55.847000000000001</v>
      </c>
      <c r="AI47">
        <v>54.558999999999997</v>
      </c>
      <c r="AJ47">
        <v>53.307000000000002</v>
      </c>
      <c r="AK47">
        <v>52.097000000000001</v>
      </c>
      <c r="AL47">
        <v>50.956000000000003</v>
      </c>
      <c r="AM47">
        <v>49.862000000000002</v>
      </c>
      <c r="AN47">
        <v>48.798000000000002</v>
      </c>
      <c r="AO47">
        <v>47.79</v>
      </c>
      <c r="AP47">
        <v>46.856000000000002</v>
      </c>
      <c r="AQ47">
        <v>45.975999999999999</v>
      </c>
      <c r="AR47">
        <v>45.167000000000002</v>
      </c>
      <c r="AS47">
        <v>44.414999999999999</v>
      </c>
      <c r="AT47">
        <v>43.72</v>
      </c>
      <c r="AU47">
        <v>43.09</v>
      </c>
      <c r="AV47">
        <v>42.524999999999999</v>
      </c>
      <c r="AW47">
        <v>42.021999999999998</v>
      </c>
      <c r="AX47">
        <v>41.561</v>
      </c>
      <c r="AY47">
        <v>41.155999999999999</v>
      </c>
      <c r="AZ47">
        <v>40.822000000000003</v>
      </c>
      <c r="BA47">
        <v>40.554000000000002</v>
      </c>
      <c r="BB47">
        <v>40.338000000000001</v>
      </c>
      <c r="BC47">
        <v>40.167999999999999</v>
      </c>
      <c r="BD47">
        <v>40.048000000000002</v>
      </c>
      <c r="BE47">
        <v>39.969000000000001</v>
      </c>
      <c r="BF47">
        <v>39.941000000000003</v>
      </c>
      <c r="BG47">
        <v>8.58</v>
      </c>
    </row>
    <row r="48" spans="1:59">
      <c r="A48" t="s">
        <v>181</v>
      </c>
      <c r="B48" t="s">
        <v>33</v>
      </c>
      <c r="C48" t="s">
        <v>178</v>
      </c>
      <c r="D48">
        <v>484</v>
      </c>
      <c r="E48" t="s">
        <v>179</v>
      </c>
      <c r="F48" t="s">
        <v>3</v>
      </c>
      <c r="G48" t="s">
        <v>180</v>
      </c>
      <c r="H48">
        <v>1395.875</v>
      </c>
      <c r="I48">
        <v>1430.7360000000001</v>
      </c>
      <c r="J48">
        <v>1442.075</v>
      </c>
      <c r="K48">
        <v>1396.499</v>
      </c>
      <c r="L48">
        <v>1263.2339999999999</v>
      </c>
      <c r="M48">
        <v>1253.912</v>
      </c>
      <c r="N48">
        <v>1304.5160000000001</v>
      </c>
      <c r="O48">
        <v>1343.518</v>
      </c>
      <c r="P48">
        <v>1374.63</v>
      </c>
      <c r="Q48">
        <v>1413.008</v>
      </c>
      <c r="R48">
        <v>1452.69</v>
      </c>
      <c r="S48">
        <v>1452.8140000000001</v>
      </c>
      <c r="T48">
        <v>1457.857</v>
      </c>
      <c r="U48">
        <v>1499.7429999999999</v>
      </c>
      <c r="V48">
        <v>1532.472</v>
      </c>
      <c r="W48">
        <v>1474.9570000000001</v>
      </c>
      <c r="X48">
        <v>1510.8510000000001</v>
      </c>
      <c r="Y48">
        <v>1571.069</v>
      </c>
      <c r="Z48">
        <v>1563.684</v>
      </c>
      <c r="AA48">
        <v>1550.7809999999999</v>
      </c>
      <c r="AB48">
        <v>1522.9059999999999</v>
      </c>
      <c r="AC48">
        <v>1486.1389999999999</v>
      </c>
      <c r="AD48">
        <v>1447.367</v>
      </c>
      <c r="AE48">
        <v>1409.4069999999999</v>
      </c>
      <c r="AF48">
        <v>1372.8</v>
      </c>
      <c r="AG48">
        <v>1336.2170000000001</v>
      </c>
      <c r="AH48">
        <v>1300.4690000000001</v>
      </c>
      <c r="AI48">
        <v>1265.76</v>
      </c>
      <c r="AJ48">
        <v>1232.21</v>
      </c>
      <c r="AK48">
        <v>1199.9659999999999</v>
      </c>
      <c r="AL48">
        <v>1169.5909999999999</v>
      </c>
      <c r="AM48">
        <v>1140.665</v>
      </c>
      <c r="AN48">
        <v>1112.71</v>
      </c>
      <c r="AO48">
        <v>1086.364</v>
      </c>
      <c r="AP48">
        <v>1061.991</v>
      </c>
      <c r="AQ48">
        <v>1039.1980000000001</v>
      </c>
      <c r="AR48">
        <v>1018.2859999999999</v>
      </c>
      <c r="AS48">
        <v>998.98599999999999</v>
      </c>
      <c r="AT48">
        <v>981.25300000000004</v>
      </c>
      <c r="AU48">
        <v>965.23099999999999</v>
      </c>
      <c r="AV48">
        <v>950.83600000000001</v>
      </c>
      <c r="AW48">
        <v>937.97900000000004</v>
      </c>
      <c r="AX48">
        <v>926.21</v>
      </c>
      <c r="AY48">
        <v>915.88300000000004</v>
      </c>
      <c r="AZ48">
        <v>907.27300000000002</v>
      </c>
      <c r="BA48">
        <v>900.27499999999998</v>
      </c>
      <c r="BB48">
        <v>894.553</v>
      </c>
      <c r="BC48">
        <v>890.00300000000004</v>
      </c>
      <c r="BD48">
        <v>886.63900000000001</v>
      </c>
      <c r="BE48">
        <v>884.29200000000003</v>
      </c>
      <c r="BF48">
        <v>883.25</v>
      </c>
      <c r="BG48">
        <v>2.6</v>
      </c>
    </row>
    <row r="49" spans="1:59">
      <c r="A49" t="s">
        <v>185</v>
      </c>
      <c r="B49" t="s">
        <v>33</v>
      </c>
      <c r="C49" t="s">
        <v>182</v>
      </c>
      <c r="D49">
        <v>485</v>
      </c>
      <c r="E49" t="s">
        <v>183</v>
      </c>
      <c r="F49" t="s">
        <v>3</v>
      </c>
      <c r="G49" t="s">
        <v>184</v>
      </c>
      <c r="H49">
        <v>401.30700000000002</v>
      </c>
      <c r="I49">
        <v>409.30799999999999</v>
      </c>
      <c r="J49">
        <v>419.27600000000001</v>
      </c>
      <c r="K49">
        <v>430.25099999999998</v>
      </c>
      <c r="L49">
        <v>433.28199999999998</v>
      </c>
      <c r="M49">
        <v>437.54199999999997</v>
      </c>
      <c r="N49">
        <v>447.16</v>
      </c>
      <c r="O49">
        <v>454.392</v>
      </c>
      <c r="P49">
        <v>462.38400000000001</v>
      </c>
      <c r="Q49">
        <v>473.6</v>
      </c>
      <c r="R49">
        <v>485.34300000000002</v>
      </c>
      <c r="S49">
        <v>492.17399999999998</v>
      </c>
      <c r="T49">
        <v>494.22199999999998</v>
      </c>
      <c r="U49">
        <v>495.846</v>
      </c>
      <c r="V49">
        <v>499.52699999999999</v>
      </c>
      <c r="W49">
        <v>365.25099999999998</v>
      </c>
      <c r="X49">
        <v>383.44200000000001</v>
      </c>
      <c r="Y49">
        <v>415.327</v>
      </c>
      <c r="Z49">
        <v>429.49700000000001</v>
      </c>
      <c r="AA49">
        <v>440.32900000000001</v>
      </c>
      <c r="AB49">
        <v>436.83699999999999</v>
      </c>
      <c r="AC49">
        <v>424.291</v>
      </c>
      <c r="AD49">
        <v>411.14699999999999</v>
      </c>
      <c r="AE49">
        <v>398.37099999999998</v>
      </c>
      <c r="AF49">
        <v>386.10700000000003</v>
      </c>
      <c r="AG49">
        <v>374.03399999999999</v>
      </c>
      <c r="AH49">
        <v>362.37599999999998</v>
      </c>
      <c r="AI49">
        <v>351.173</v>
      </c>
      <c r="AJ49">
        <v>340.428</v>
      </c>
      <c r="AK49">
        <v>330.18</v>
      </c>
      <c r="AL49">
        <v>320.57900000000001</v>
      </c>
      <c r="AM49">
        <v>311.50599999999997</v>
      </c>
      <c r="AN49">
        <v>302.82100000000003</v>
      </c>
      <c r="AO49">
        <v>294.678</v>
      </c>
      <c r="AP49">
        <v>287.15300000000002</v>
      </c>
      <c r="AQ49">
        <v>280.12400000000002</v>
      </c>
      <c r="AR49">
        <v>273.66500000000002</v>
      </c>
      <c r="AS49">
        <v>267.697</v>
      </c>
      <c r="AT49">
        <v>262.20600000000002</v>
      </c>
      <c r="AU49">
        <v>257.22699999999998</v>
      </c>
      <c r="AV49">
        <v>252.72900000000001</v>
      </c>
      <c r="AW49">
        <v>248.69499999999999</v>
      </c>
      <c r="AX49">
        <v>245.00200000000001</v>
      </c>
      <c r="AY49">
        <v>241.73500000000001</v>
      </c>
      <c r="AZ49">
        <v>238.95400000000001</v>
      </c>
      <c r="BA49">
        <v>236.63499999999999</v>
      </c>
      <c r="BB49">
        <v>234.68600000000001</v>
      </c>
      <c r="BC49">
        <v>233.07900000000001</v>
      </c>
      <c r="BD49">
        <v>231.80500000000001</v>
      </c>
      <c r="BE49">
        <v>230.82499999999999</v>
      </c>
      <c r="BF49">
        <v>230.244</v>
      </c>
      <c r="BG49">
        <v>0.27</v>
      </c>
    </row>
    <row r="50" spans="1:59">
      <c r="A50" t="s">
        <v>189</v>
      </c>
      <c r="B50" t="s">
        <v>33</v>
      </c>
      <c r="C50" t="s">
        <v>186</v>
      </c>
      <c r="D50">
        <v>486</v>
      </c>
      <c r="E50" t="s">
        <v>187</v>
      </c>
      <c r="F50" t="s">
        <v>3</v>
      </c>
      <c r="G50" t="s">
        <v>188</v>
      </c>
      <c r="H50">
        <v>38.433</v>
      </c>
      <c r="I50">
        <v>39.39</v>
      </c>
      <c r="J50">
        <v>40.618000000000002</v>
      </c>
      <c r="K50">
        <v>42.234999999999999</v>
      </c>
      <c r="L50">
        <v>43.497999999999998</v>
      </c>
      <c r="M50">
        <v>43.81</v>
      </c>
      <c r="N50">
        <v>44.414999999999999</v>
      </c>
      <c r="O50">
        <v>44.872999999999998</v>
      </c>
      <c r="P50">
        <v>45.83</v>
      </c>
      <c r="Q50">
        <v>49.246000000000002</v>
      </c>
      <c r="R50">
        <v>50.881</v>
      </c>
      <c r="S50">
        <v>52.148000000000003</v>
      </c>
      <c r="T50">
        <v>52.113</v>
      </c>
      <c r="U50">
        <v>52.008000000000003</v>
      </c>
      <c r="V50">
        <v>52.942999999999998</v>
      </c>
      <c r="W50">
        <v>52.585999999999999</v>
      </c>
      <c r="X50">
        <v>50.383000000000003</v>
      </c>
      <c r="Y50">
        <v>51.252000000000002</v>
      </c>
      <c r="Z50">
        <v>52.695</v>
      </c>
      <c r="AA50">
        <v>53.363999999999997</v>
      </c>
      <c r="AB50">
        <v>52.728000000000002</v>
      </c>
      <c r="AC50">
        <v>51.912999999999997</v>
      </c>
      <c r="AD50">
        <v>50.99</v>
      </c>
      <c r="AE50">
        <v>50.061</v>
      </c>
      <c r="AF50">
        <v>49.15</v>
      </c>
      <c r="AG50">
        <v>48.213999999999999</v>
      </c>
      <c r="AH50">
        <v>47.274999999999999</v>
      </c>
      <c r="AI50">
        <v>46.34</v>
      </c>
      <c r="AJ50">
        <v>45.418999999999997</v>
      </c>
      <c r="AK50">
        <v>44.52</v>
      </c>
      <c r="AL50">
        <v>43.665999999999997</v>
      </c>
      <c r="AM50">
        <v>42.841999999999999</v>
      </c>
      <c r="AN50">
        <v>42.03</v>
      </c>
      <c r="AO50">
        <v>41.258000000000003</v>
      </c>
      <c r="AP50">
        <v>40.539000000000001</v>
      </c>
      <c r="AQ50">
        <v>39.86</v>
      </c>
      <c r="AR50">
        <v>39.235999999999997</v>
      </c>
      <c r="AS50">
        <v>38.655999999999999</v>
      </c>
      <c r="AT50">
        <v>38.121000000000002</v>
      </c>
      <c r="AU50">
        <v>37.637999999999998</v>
      </c>
      <c r="AV50">
        <v>37.204999999999998</v>
      </c>
      <c r="AW50">
        <v>36.82</v>
      </c>
      <c r="AX50">
        <v>36.465000000000003</v>
      </c>
      <c r="AY50">
        <v>36.152000000000001</v>
      </c>
      <c r="AZ50">
        <v>35.895000000000003</v>
      </c>
      <c r="BA50">
        <v>35.691000000000003</v>
      </c>
      <c r="BB50">
        <v>35.524000000000001</v>
      </c>
      <c r="BC50">
        <v>35.393999999999998</v>
      </c>
      <c r="BD50">
        <v>35.302999999999997</v>
      </c>
      <c r="BE50">
        <v>35.244999999999997</v>
      </c>
      <c r="BF50">
        <v>35.228000000000002</v>
      </c>
      <c r="BG50">
        <v>1.02</v>
      </c>
    </row>
    <row r="51" spans="1:59">
      <c r="A51" t="s">
        <v>193</v>
      </c>
      <c r="B51" t="s">
        <v>33</v>
      </c>
      <c r="C51" t="s">
        <v>190</v>
      </c>
      <c r="D51">
        <v>487</v>
      </c>
      <c r="E51" t="s">
        <v>191</v>
      </c>
      <c r="F51" t="s">
        <v>3</v>
      </c>
      <c r="G51" t="s">
        <v>192</v>
      </c>
      <c r="H51">
        <v>27.283999999999999</v>
      </c>
      <c r="I51">
        <v>27.146000000000001</v>
      </c>
      <c r="J51">
        <v>28.129000000000001</v>
      </c>
      <c r="K51">
        <v>28.277000000000001</v>
      </c>
      <c r="L51">
        <v>26.59</v>
      </c>
      <c r="M51">
        <v>27.009</v>
      </c>
      <c r="N51">
        <v>27.484000000000002</v>
      </c>
      <c r="O51">
        <v>28.617000000000001</v>
      </c>
      <c r="P51">
        <v>29.405000000000001</v>
      </c>
      <c r="Q51">
        <v>30.454000000000001</v>
      </c>
      <c r="R51">
        <v>30.722999999999999</v>
      </c>
      <c r="S51">
        <v>32.287999999999997</v>
      </c>
      <c r="T51">
        <v>32.472999999999999</v>
      </c>
      <c r="U51">
        <v>32.622</v>
      </c>
      <c r="V51">
        <v>33.863999999999997</v>
      </c>
      <c r="W51">
        <v>20.56</v>
      </c>
      <c r="X51">
        <v>23.402999999999999</v>
      </c>
      <c r="Y51">
        <v>27.994</v>
      </c>
      <c r="Z51">
        <v>29.184000000000001</v>
      </c>
      <c r="AA51">
        <v>28.63</v>
      </c>
      <c r="AB51">
        <v>28.611999999999998</v>
      </c>
      <c r="AC51">
        <v>28.847000000000001</v>
      </c>
      <c r="AD51">
        <v>28.992000000000001</v>
      </c>
      <c r="AE51">
        <v>29.1</v>
      </c>
      <c r="AF51">
        <v>29.181999999999999</v>
      </c>
      <c r="AG51">
        <v>29.218</v>
      </c>
      <c r="AH51">
        <v>29.227</v>
      </c>
      <c r="AI51">
        <v>29.206</v>
      </c>
      <c r="AJ51">
        <v>29.158999999999999</v>
      </c>
      <c r="AK51">
        <v>29.093</v>
      </c>
      <c r="AL51">
        <v>29.023</v>
      </c>
      <c r="AM51">
        <v>28.940999999999999</v>
      </c>
      <c r="AN51">
        <v>28.837</v>
      </c>
      <c r="AO51">
        <v>28.727</v>
      </c>
      <c r="AP51">
        <v>28.620999999999999</v>
      </c>
      <c r="AQ51">
        <v>28.51</v>
      </c>
      <c r="AR51">
        <v>28.404</v>
      </c>
      <c r="AS51">
        <v>28.297000000000001</v>
      </c>
      <c r="AT51">
        <v>28.190999999999999</v>
      </c>
      <c r="AU51">
        <v>28.093</v>
      </c>
      <c r="AV51">
        <v>28.001999999999999</v>
      </c>
      <c r="AW51">
        <v>27.917000000000002</v>
      </c>
      <c r="AX51">
        <v>27.827000000000002</v>
      </c>
      <c r="AY51">
        <v>27.742999999999999</v>
      </c>
      <c r="AZ51">
        <v>27.673999999999999</v>
      </c>
      <c r="BA51">
        <v>27.62</v>
      </c>
      <c r="BB51">
        <v>27.57</v>
      </c>
      <c r="BC51">
        <v>27.524000000000001</v>
      </c>
      <c r="BD51">
        <v>27.481999999999999</v>
      </c>
      <c r="BE51">
        <v>27.440999999999999</v>
      </c>
      <c r="BF51">
        <v>27.407</v>
      </c>
      <c r="BG51">
        <v>1.76</v>
      </c>
    </row>
    <row r="52" spans="1:59">
      <c r="A52" t="s">
        <v>197</v>
      </c>
      <c r="B52" t="s">
        <v>33</v>
      </c>
      <c r="C52" t="s">
        <v>194</v>
      </c>
      <c r="D52">
        <v>488</v>
      </c>
      <c r="E52" t="s">
        <v>195</v>
      </c>
      <c r="F52" t="s">
        <v>3</v>
      </c>
      <c r="G52" t="s">
        <v>196</v>
      </c>
      <c r="H52">
        <v>578.96100000000001</v>
      </c>
      <c r="I52">
        <v>599.28800000000001</v>
      </c>
      <c r="J52">
        <v>611.72</v>
      </c>
      <c r="K52">
        <v>610.27499999999998</v>
      </c>
      <c r="L52">
        <v>564.57299999999998</v>
      </c>
      <c r="M52">
        <v>562.81600000000003</v>
      </c>
      <c r="N52">
        <v>583.64300000000003</v>
      </c>
      <c r="O52">
        <v>601.41300000000001</v>
      </c>
      <c r="P52">
        <v>618.72799999999995</v>
      </c>
      <c r="Q52">
        <v>646.71199999999999</v>
      </c>
      <c r="R52">
        <v>675.95100000000002</v>
      </c>
      <c r="S52">
        <v>689.36</v>
      </c>
      <c r="T52">
        <v>714.46900000000005</v>
      </c>
      <c r="U52">
        <v>739.42499999999995</v>
      </c>
      <c r="V52">
        <v>769.61</v>
      </c>
      <c r="W52">
        <v>709.68</v>
      </c>
      <c r="X52">
        <v>737.53200000000004</v>
      </c>
      <c r="Y52">
        <v>795.94600000000003</v>
      </c>
      <c r="Z52">
        <v>809.79899999999998</v>
      </c>
      <c r="AA52">
        <v>812.16600000000005</v>
      </c>
      <c r="AB52">
        <v>810.27499999999998</v>
      </c>
      <c r="AC52">
        <v>806.63599999999997</v>
      </c>
      <c r="AD52">
        <v>800.81500000000005</v>
      </c>
      <c r="AE52">
        <v>794.39300000000003</v>
      </c>
      <c r="AF52">
        <v>787.745</v>
      </c>
      <c r="AG52">
        <v>780.19100000000003</v>
      </c>
      <c r="AH52">
        <v>772.17600000000004</v>
      </c>
      <c r="AI52">
        <v>763.80399999999997</v>
      </c>
      <c r="AJ52">
        <v>755.16800000000001</v>
      </c>
      <c r="AK52">
        <v>746.41</v>
      </c>
      <c r="AL52">
        <v>737.928</v>
      </c>
      <c r="AM52">
        <v>729.51099999999997</v>
      </c>
      <c r="AN52">
        <v>720.91</v>
      </c>
      <c r="AO52">
        <v>712.55799999999999</v>
      </c>
      <c r="AP52">
        <v>704.71799999999996</v>
      </c>
      <c r="AQ52">
        <v>697.18200000000002</v>
      </c>
      <c r="AR52">
        <v>690.19600000000003</v>
      </c>
      <c r="AS52">
        <v>683.62900000000002</v>
      </c>
      <c r="AT52">
        <v>677.5</v>
      </c>
      <c r="AU52">
        <v>671.95100000000002</v>
      </c>
      <c r="AV52">
        <v>666.95399999999995</v>
      </c>
      <c r="AW52">
        <v>662.50099999999998</v>
      </c>
      <c r="AX52">
        <v>658.29300000000001</v>
      </c>
      <c r="AY52">
        <v>654.60599999999999</v>
      </c>
      <c r="AZ52">
        <v>651.64800000000002</v>
      </c>
      <c r="BA52">
        <v>649.37</v>
      </c>
      <c r="BB52">
        <v>647.54999999999995</v>
      </c>
      <c r="BC52">
        <v>646.13</v>
      </c>
      <c r="BD52">
        <v>645.16300000000001</v>
      </c>
      <c r="BE52">
        <v>644.51</v>
      </c>
      <c r="BF52">
        <v>644.38699999999994</v>
      </c>
      <c r="BG52">
        <v>4.5</v>
      </c>
    </row>
    <row r="53" spans="1:59">
      <c r="A53" t="s">
        <v>201</v>
      </c>
      <c r="B53" t="s">
        <v>33</v>
      </c>
      <c r="C53" t="s">
        <v>198</v>
      </c>
      <c r="D53">
        <v>492</v>
      </c>
      <c r="E53" t="s">
        <v>199</v>
      </c>
      <c r="F53" t="s">
        <v>3</v>
      </c>
      <c r="G53" t="s">
        <v>200</v>
      </c>
      <c r="H53">
        <v>581.98299999999995</v>
      </c>
      <c r="I53">
        <v>595.40599999999995</v>
      </c>
      <c r="J53">
        <v>598.51900000000001</v>
      </c>
      <c r="K53">
        <v>592.96100000000001</v>
      </c>
      <c r="L53">
        <v>551.66899999999998</v>
      </c>
      <c r="M53">
        <v>537.76</v>
      </c>
      <c r="N53">
        <v>539.29300000000001</v>
      </c>
      <c r="O53">
        <v>542.97900000000004</v>
      </c>
      <c r="P53">
        <v>553.64800000000002</v>
      </c>
      <c r="Q53">
        <v>582.10900000000004</v>
      </c>
      <c r="R53">
        <v>617.45899999999995</v>
      </c>
      <c r="S53">
        <v>649.71400000000006</v>
      </c>
      <c r="T53">
        <v>682.94899999999996</v>
      </c>
      <c r="U53">
        <v>747.05499999999995</v>
      </c>
      <c r="V53">
        <v>830.67899999999997</v>
      </c>
      <c r="W53">
        <v>984.6</v>
      </c>
      <c r="X53">
        <v>1095.587</v>
      </c>
      <c r="Y53">
        <v>1120.242</v>
      </c>
      <c r="Z53">
        <v>1093.856</v>
      </c>
      <c r="AA53">
        <v>1103.6500000000001</v>
      </c>
      <c r="AB53">
        <v>1146.9349999999999</v>
      </c>
      <c r="AC53">
        <v>1180.934</v>
      </c>
      <c r="AD53">
        <v>1211.289</v>
      </c>
      <c r="AE53">
        <v>1240.019</v>
      </c>
      <c r="AF53">
        <v>1267.482</v>
      </c>
      <c r="AG53">
        <v>1292.404</v>
      </c>
      <c r="AH53">
        <v>1315.3679999999999</v>
      </c>
      <c r="AI53">
        <v>1336.4570000000001</v>
      </c>
      <c r="AJ53">
        <v>1355.7190000000001</v>
      </c>
      <c r="AK53">
        <v>1373.2919999999999</v>
      </c>
      <c r="AL53">
        <v>1389.8330000000001</v>
      </c>
      <c r="AM53">
        <v>1404.912</v>
      </c>
      <c r="AN53">
        <v>1417.961</v>
      </c>
      <c r="AO53">
        <v>1429.7860000000001</v>
      </c>
      <c r="AP53">
        <v>1440.9359999999999</v>
      </c>
      <c r="AQ53">
        <v>1450.9870000000001</v>
      </c>
      <c r="AR53">
        <v>1460.4449999999999</v>
      </c>
      <c r="AS53">
        <v>1469.046</v>
      </c>
      <c r="AT53">
        <v>1476.8240000000001</v>
      </c>
      <c r="AU53">
        <v>1484.104</v>
      </c>
      <c r="AV53">
        <v>1490.83</v>
      </c>
      <c r="AW53">
        <v>1496.97</v>
      </c>
      <c r="AX53">
        <v>1501.89</v>
      </c>
      <c r="AY53">
        <v>1506.242</v>
      </c>
      <c r="AZ53">
        <v>1510.5219999999999</v>
      </c>
      <c r="BA53">
        <v>1514.635</v>
      </c>
      <c r="BB53">
        <v>1518.0709999999999</v>
      </c>
      <c r="BC53">
        <v>1520.6969999999999</v>
      </c>
      <c r="BD53">
        <v>1522.568</v>
      </c>
      <c r="BE53">
        <v>1523.403</v>
      </c>
      <c r="BF53">
        <v>1523.751</v>
      </c>
      <c r="BG53">
        <v>9.2200000000000006</v>
      </c>
    </row>
    <row r="54" spans="1:59">
      <c r="A54" t="s">
        <v>205</v>
      </c>
      <c r="B54" t="s">
        <v>33</v>
      </c>
      <c r="C54" t="s">
        <v>202</v>
      </c>
      <c r="D54">
        <v>493</v>
      </c>
      <c r="E54" t="s">
        <v>203</v>
      </c>
      <c r="F54" t="s">
        <v>3</v>
      </c>
      <c r="G54" t="s">
        <v>204</v>
      </c>
      <c r="H54">
        <v>612.30200000000002</v>
      </c>
      <c r="I54">
        <v>651.27700000000004</v>
      </c>
      <c r="J54">
        <v>682.495</v>
      </c>
      <c r="K54">
        <v>686.69399999999996</v>
      </c>
      <c r="L54">
        <v>654.53899999999999</v>
      </c>
      <c r="M54">
        <v>648.077</v>
      </c>
      <c r="N54">
        <v>671.15099999999995</v>
      </c>
      <c r="O54">
        <v>702.29300000000001</v>
      </c>
      <c r="P54">
        <v>736.99199999999996</v>
      </c>
      <c r="Q54">
        <v>781.91399999999999</v>
      </c>
      <c r="R54">
        <v>868.73599999999999</v>
      </c>
      <c r="S54">
        <v>984.726</v>
      </c>
      <c r="T54">
        <v>1094.7239999999999</v>
      </c>
      <c r="U54">
        <v>1180.152</v>
      </c>
      <c r="V54">
        <v>1290.4010000000001</v>
      </c>
      <c r="W54">
        <v>1516.3579999999999</v>
      </c>
      <c r="X54">
        <v>1736.472</v>
      </c>
      <c r="Y54">
        <v>1914.481</v>
      </c>
      <c r="Z54">
        <v>1869.0450000000001</v>
      </c>
      <c r="AA54">
        <v>1875.29</v>
      </c>
      <c r="AB54">
        <v>1972.76</v>
      </c>
      <c r="AC54">
        <v>2067.4929999999999</v>
      </c>
      <c r="AD54">
        <v>2157.299</v>
      </c>
      <c r="AE54">
        <v>2245.3850000000002</v>
      </c>
      <c r="AF54">
        <v>2332.085</v>
      </c>
      <c r="AG54">
        <v>2414.7739999999999</v>
      </c>
      <c r="AH54">
        <v>2494.232</v>
      </c>
      <c r="AI54">
        <v>2570.3780000000002</v>
      </c>
      <c r="AJ54">
        <v>2643.0340000000001</v>
      </c>
      <c r="AK54">
        <v>2712.2429999999999</v>
      </c>
      <c r="AL54">
        <v>2779.0810000000001</v>
      </c>
      <c r="AM54">
        <v>2842.5259999999998</v>
      </c>
      <c r="AN54">
        <v>2901.2269999999999</v>
      </c>
      <c r="AO54">
        <v>2956.6039999999998</v>
      </c>
      <c r="AP54">
        <v>3009.6840000000002</v>
      </c>
      <c r="AQ54">
        <v>3059.433</v>
      </c>
      <c r="AR54">
        <v>3106.78</v>
      </c>
      <c r="AS54">
        <v>3151.0709999999999</v>
      </c>
      <c r="AT54">
        <v>3192.2510000000002</v>
      </c>
      <c r="AU54">
        <v>3230.8939999999998</v>
      </c>
      <c r="AV54">
        <v>3266.7950000000001</v>
      </c>
      <c r="AW54">
        <v>3299.8429999999998</v>
      </c>
      <c r="AX54">
        <v>3328.5070000000001</v>
      </c>
      <c r="AY54">
        <v>3354.1439999999998</v>
      </c>
      <c r="AZ54">
        <v>3377.8209999999999</v>
      </c>
      <c r="BA54">
        <v>3399.2730000000001</v>
      </c>
      <c r="BB54">
        <v>3417.299</v>
      </c>
      <c r="BC54">
        <v>3431.547</v>
      </c>
      <c r="BD54">
        <v>3442.2</v>
      </c>
      <c r="BE54">
        <v>3448.5059999999999</v>
      </c>
      <c r="BF54">
        <v>3451.57</v>
      </c>
      <c r="BG54">
        <v>1.31</v>
      </c>
    </row>
    <row r="55" spans="1:59">
      <c r="A55" t="s">
        <v>344</v>
      </c>
      <c r="B55" t="s">
        <v>33</v>
      </c>
      <c r="C55" t="s">
        <v>345</v>
      </c>
      <c r="D55">
        <v>511</v>
      </c>
      <c r="E55" t="s">
        <v>346</v>
      </c>
      <c r="F55" t="s">
        <v>3</v>
      </c>
      <c r="G55" t="s">
        <v>347</v>
      </c>
      <c r="H55">
        <v>916.38599999999997</v>
      </c>
      <c r="I55">
        <v>911.90499999999997</v>
      </c>
      <c r="J55">
        <v>906.41300000000001</v>
      </c>
      <c r="K55">
        <v>881.99800000000005</v>
      </c>
      <c r="L55">
        <v>802.44399999999996</v>
      </c>
      <c r="M55">
        <v>762.89099999999996</v>
      </c>
      <c r="N55">
        <v>754.29200000000003</v>
      </c>
      <c r="O55">
        <v>748.654</v>
      </c>
      <c r="P55">
        <v>743.75699999999995</v>
      </c>
      <c r="Q55">
        <v>743.15499999999997</v>
      </c>
      <c r="R55">
        <v>745.19500000000005</v>
      </c>
      <c r="S55">
        <v>745.51700000000005</v>
      </c>
      <c r="T55">
        <v>746.78</v>
      </c>
      <c r="U55">
        <v>751.88499999999999</v>
      </c>
      <c r="V55">
        <v>770.59699999999998</v>
      </c>
      <c r="W55">
        <v>771.178</v>
      </c>
      <c r="X55">
        <v>800.48199999999997</v>
      </c>
      <c r="Y55">
        <v>839.74900000000002</v>
      </c>
      <c r="Z55">
        <v>829.15</v>
      </c>
      <c r="AA55">
        <v>799.03</v>
      </c>
      <c r="AB55">
        <v>791.23599999999999</v>
      </c>
      <c r="AC55">
        <v>787.39599999999996</v>
      </c>
      <c r="AD55">
        <v>781.24699999999996</v>
      </c>
      <c r="AE55">
        <v>774.21600000000001</v>
      </c>
      <c r="AF55">
        <v>766.23900000000003</v>
      </c>
      <c r="AG55">
        <v>757.73699999999997</v>
      </c>
      <c r="AH55">
        <v>749.46799999999996</v>
      </c>
      <c r="AI55">
        <v>741.29</v>
      </c>
      <c r="AJ55">
        <v>733.76599999999996</v>
      </c>
      <c r="AK55">
        <v>726.47299999999996</v>
      </c>
      <c r="AL55">
        <v>718.76599999999996</v>
      </c>
      <c r="AM55">
        <v>710.75300000000004</v>
      </c>
      <c r="AN55">
        <v>702.49</v>
      </c>
      <c r="AO55">
        <v>694.16399999999999</v>
      </c>
      <c r="AP55">
        <v>686.01900000000001</v>
      </c>
      <c r="AQ55">
        <v>678.27800000000002</v>
      </c>
      <c r="AR55">
        <v>671.14499999999998</v>
      </c>
      <c r="AS55">
        <v>664.36900000000003</v>
      </c>
      <c r="AT55">
        <v>658.08</v>
      </c>
      <c r="AU55">
        <v>652.29100000000005</v>
      </c>
      <c r="AV55">
        <v>646.84699999999998</v>
      </c>
      <c r="AW55">
        <v>641.65899999999999</v>
      </c>
      <c r="AX55">
        <v>636.48599999999999</v>
      </c>
      <c r="AY55">
        <v>631.65099999999995</v>
      </c>
      <c r="AZ55">
        <v>627.31100000000004</v>
      </c>
      <c r="BA55">
        <v>623.32600000000002</v>
      </c>
      <c r="BB55">
        <v>619.72299999999996</v>
      </c>
      <c r="BC55">
        <v>616.38400000000001</v>
      </c>
      <c r="BD55">
        <v>613.30100000000004</v>
      </c>
      <c r="BE55">
        <v>610.29</v>
      </c>
      <c r="BF55">
        <v>607.44200000000001</v>
      </c>
      <c r="BG55">
        <v>8.1999999999999993</v>
      </c>
    </row>
    <row r="56" spans="1:59">
      <c r="A56" t="s">
        <v>348</v>
      </c>
      <c r="B56" t="s">
        <v>33</v>
      </c>
      <c r="C56" t="s">
        <v>349</v>
      </c>
      <c r="D56">
        <v>512</v>
      </c>
      <c r="E56" t="s">
        <v>350</v>
      </c>
      <c r="F56" t="s">
        <v>3</v>
      </c>
      <c r="G56" t="s">
        <v>351</v>
      </c>
      <c r="H56">
        <v>392.25400000000002</v>
      </c>
      <c r="I56">
        <v>389.46699999999998</v>
      </c>
      <c r="J56">
        <v>391.47800000000001</v>
      </c>
      <c r="K56">
        <v>394.14</v>
      </c>
      <c r="L56">
        <v>375.72399999999999</v>
      </c>
      <c r="M56">
        <v>378.84100000000001</v>
      </c>
      <c r="N56">
        <v>371.94</v>
      </c>
      <c r="O56">
        <v>378.20100000000002</v>
      </c>
      <c r="P56">
        <v>390.22399999999999</v>
      </c>
      <c r="Q56">
        <v>393.851</v>
      </c>
      <c r="R56">
        <v>412.589</v>
      </c>
      <c r="S56">
        <v>445.488</v>
      </c>
      <c r="T56">
        <v>445.68900000000002</v>
      </c>
      <c r="U56">
        <v>444.262</v>
      </c>
      <c r="V56">
        <v>451.17399999999998</v>
      </c>
      <c r="W56">
        <v>307.565</v>
      </c>
      <c r="X56">
        <v>371.18700000000001</v>
      </c>
      <c r="Y56">
        <v>444.745</v>
      </c>
      <c r="Z56">
        <v>388.45</v>
      </c>
      <c r="AA56">
        <v>365.41</v>
      </c>
      <c r="AB56">
        <v>366.73500000000001</v>
      </c>
      <c r="AC56">
        <v>374.35</v>
      </c>
      <c r="AD56">
        <v>380.62</v>
      </c>
      <c r="AE56">
        <v>386.23899999999998</v>
      </c>
      <c r="AF56">
        <v>391.024</v>
      </c>
      <c r="AG56">
        <v>395.13299999999998</v>
      </c>
      <c r="AH56">
        <v>399.00200000000001</v>
      </c>
      <c r="AI56">
        <v>402.56400000000002</v>
      </c>
      <c r="AJ56">
        <v>406.06200000000001</v>
      </c>
      <c r="AK56">
        <v>409.37700000000001</v>
      </c>
      <c r="AL56">
        <v>412.14100000000002</v>
      </c>
      <c r="AM56">
        <v>414.37200000000001</v>
      </c>
      <c r="AN56">
        <v>416.06400000000002</v>
      </c>
      <c r="AO56">
        <v>417.31299999999999</v>
      </c>
      <c r="AP56">
        <v>418.26799999999997</v>
      </c>
      <c r="AQ56">
        <v>419.09</v>
      </c>
      <c r="AR56">
        <v>419.88600000000002</v>
      </c>
      <c r="AS56">
        <v>420.53399999999999</v>
      </c>
      <c r="AT56">
        <v>421.03699999999998</v>
      </c>
      <c r="AU56">
        <v>421.45600000000002</v>
      </c>
      <c r="AV56">
        <v>421.68900000000002</v>
      </c>
      <c r="AW56">
        <v>421.68599999999998</v>
      </c>
      <c r="AX56">
        <v>421.28699999999998</v>
      </c>
      <c r="AY56">
        <v>420.733</v>
      </c>
      <c r="AZ56">
        <v>420.11900000000003</v>
      </c>
      <c r="BA56">
        <v>419.34699999999998</v>
      </c>
      <c r="BB56">
        <v>418.44400000000002</v>
      </c>
      <c r="BC56">
        <v>417.33</v>
      </c>
      <c r="BD56">
        <v>415.99700000000001</v>
      </c>
      <c r="BE56">
        <v>414.32799999999997</v>
      </c>
      <c r="BF56">
        <v>412.392</v>
      </c>
      <c r="BG56">
        <v>4.4000000000000004</v>
      </c>
    </row>
    <row r="57" spans="1:59">
      <c r="A57" t="s">
        <v>352</v>
      </c>
      <c r="B57" t="s">
        <v>33</v>
      </c>
      <c r="C57" t="s">
        <v>353</v>
      </c>
      <c r="D57">
        <v>515</v>
      </c>
      <c r="E57" t="s">
        <v>354</v>
      </c>
      <c r="F57" t="s">
        <v>3</v>
      </c>
      <c r="G57" t="s">
        <v>355</v>
      </c>
      <c r="H57">
        <v>308.053</v>
      </c>
      <c r="I57">
        <v>308.80599999999998</v>
      </c>
      <c r="J57">
        <v>306.899</v>
      </c>
      <c r="K57">
        <v>302.34100000000001</v>
      </c>
      <c r="L57">
        <v>286.29599999999999</v>
      </c>
      <c r="M57">
        <v>276.25599999999997</v>
      </c>
      <c r="N57">
        <v>275.83600000000001</v>
      </c>
      <c r="O57">
        <v>277.41300000000001</v>
      </c>
      <c r="P57">
        <v>276.41500000000002</v>
      </c>
      <c r="Q57">
        <v>281.10399999999998</v>
      </c>
      <c r="R57">
        <v>276.94299999999998</v>
      </c>
      <c r="S57">
        <v>274.05900000000003</v>
      </c>
      <c r="T57">
        <v>272.154</v>
      </c>
      <c r="U57">
        <v>268.84199999999998</v>
      </c>
      <c r="V57">
        <v>266.22000000000003</v>
      </c>
      <c r="W57">
        <v>248.25899999999999</v>
      </c>
      <c r="X57">
        <v>238.304</v>
      </c>
      <c r="Y57">
        <v>241.39400000000001</v>
      </c>
      <c r="Z57">
        <v>232.09200000000001</v>
      </c>
      <c r="AA57">
        <v>223.96299999999999</v>
      </c>
      <c r="AB57">
        <v>216.15899999999999</v>
      </c>
      <c r="AC57">
        <v>208.68600000000001</v>
      </c>
      <c r="AD57">
        <v>200.98099999999999</v>
      </c>
      <c r="AE57">
        <v>193.49600000000001</v>
      </c>
      <c r="AF57">
        <v>186.215</v>
      </c>
      <c r="AG57">
        <v>179.23500000000001</v>
      </c>
      <c r="AH57">
        <v>172.721</v>
      </c>
      <c r="AI57">
        <v>166.61099999999999</v>
      </c>
      <c r="AJ57">
        <v>161.00399999999999</v>
      </c>
      <c r="AK57">
        <v>155.77799999999999</v>
      </c>
      <c r="AL57">
        <v>150.77500000000001</v>
      </c>
      <c r="AM57">
        <v>146.001</v>
      </c>
      <c r="AN57">
        <v>141.452</v>
      </c>
      <c r="AO57">
        <v>137.154</v>
      </c>
      <c r="AP57">
        <v>133.13800000000001</v>
      </c>
      <c r="AQ57">
        <v>129.429</v>
      </c>
      <c r="AR57">
        <v>126.04900000000001</v>
      </c>
      <c r="AS57">
        <v>122.934</v>
      </c>
      <c r="AT57">
        <v>120.09699999999999</v>
      </c>
      <c r="AU57">
        <v>117.527</v>
      </c>
      <c r="AV57">
        <v>115.18300000000001</v>
      </c>
      <c r="AW57">
        <v>113.041</v>
      </c>
      <c r="AX57">
        <v>111.05</v>
      </c>
      <c r="AY57">
        <v>109.258</v>
      </c>
      <c r="AZ57">
        <v>107.684</v>
      </c>
      <c r="BA57">
        <v>106.29900000000001</v>
      </c>
      <c r="BB57">
        <v>105.10299999999999</v>
      </c>
      <c r="BC57">
        <v>104.071</v>
      </c>
      <c r="BD57">
        <v>103.199</v>
      </c>
      <c r="BE57">
        <v>102.452</v>
      </c>
      <c r="BF57">
        <v>101.842</v>
      </c>
      <c r="BG57">
        <v>15.58</v>
      </c>
    </row>
    <row r="58" spans="1:59">
      <c r="A58" t="s">
        <v>356</v>
      </c>
      <c r="B58" t="s">
        <v>33</v>
      </c>
      <c r="C58" t="s">
        <v>357</v>
      </c>
      <c r="D58">
        <v>517</v>
      </c>
      <c r="E58" t="s">
        <v>358</v>
      </c>
      <c r="F58" t="s">
        <v>3</v>
      </c>
      <c r="G58" t="s">
        <v>359</v>
      </c>
      <c r="H58">
        <v>1006.962</v>
      </c>
      <c r="I58">
        <v>1002.727</v>
      </c>
      <c r="J58">
        <v>1022.524</v>
      </c>
      <c r="K58">
        <v>1011.8049999999999</v>
      </c>
      <c r="L58">
        <v>966.28300000000002</v>
      </c>
      <c r="M58">
        <v>903.19299999999998</v>
      </c>
      <c r="N58">
        <v>875.66800000000001</v>
      </c>
      <c r="O58">
        <v>852.56200000000001</v>
      </c>
      <c r="P58">
        <v>848.26400000000001</v>
      </c>
      <c r="Q58">
        <v>834.74099999999999</v>
      </c>
      <c r="R58">
        <v>810.88</v>
      </c>
      <c r="S58">
        <v>800.51400000000001</v>
      </c>
      <c r="T58">
        <v>780.02200000000005</v>
      </c>
      <c r="U58">
        <v>754.71400000000006</v>
      </c>
      <c r="V58">
        <v>720.36400000000003</v>
      </c>
      <c r="W58">
        <v>687.77499999999998</v>
      </c>
      <c r="X58">
        <v>665.86300000000006</v>
      </c>
      <c r="Y58">
        <v>667.43</v>
      </c>
      <c r="Z58">
        <v>654.02800000000002</v>
      </c>
      <c r="AA58">
        <v>630.48</v>
      </c>
      <c r="AB58">
        <v>606.4</v>
      </c>
      <c r="AC58">
        <v>583.37400000000002</v>
      </c>
      <c r="AD58">
        <v>559.928</v>
      </c>
      <c r="AE58">
        <v>537.29200000000003</v>
      </c>
      <c r="AF58">
        <v>515.46100000000001</v>
      </c>
      <c r="AG58">
        <v>494.68299999999999</v>
      </c>
      <c r="AH58">
        <v>475.36</v>
      </c>
      <c r="AI58">
        <v>457.29199999999997</v>
      </c>
      <c r="AJ58">
        <v>440.76400000000001</v>
      </c>
      <c r="AK58">
        <v>425.387</v>
      </c>
      <c r="AL58">
        <v>410.71300000000002</v>
      </c>
      <c r="AM58">
        <v>396.767</v>
      </c>
      <c r="AN58">
        <v>383.53699999999998</v>
      </c>
      <c r="AO58">
        <v>371.08499999999998</v>
      </c>
      <c r="AP58">
        <v>359.48599999999999</v>
      </c>
      <c r="AQ58">
        <v>348.80500000000001</v>
      </c>
      <c r="AR58">
        <v>339.1</v>
      </c>
      <c r="AS58">
        <v>330.18</v>
      </c>
      <c r="AT58">
        <v>322.09300000000002</v>
      </c>
      <c r="AU58">
        <v>314.791</v>
      </c>
      <c r="AV58">
        <v>308.16300000000001</v>
      </c>
      <c r="AW58">
        <v>302.13</v>
      </c>
      <c r="AX58">
        <v>296.553</v>
      </c>
      <c r="AY58">
        <v>291.553</v>
      </c>
      <c r="AZ58">
        <v>287.18900000000002</v>
      </c>
      <c r="BA58">
        <v>283.38099999999997</v>
      </c>
      <c r="BB58">
        <v>280.11900000000003</v>
      </c>
      <c r="BC58">
        <v>277.33699999999999</v>
      </c>
      <c r="BD58">
        <v>275.04199999999997</v>
      </c>
      <c r="BE58">
        <v>273.12700000000001</v>
      </c>
      <c r="BF58">
        <v>271.62</v>
      </c>
      <c r="BG58">
        <v>41.37</v>
      </c>
    </row>
    <row r="59" spans="1:59">
      <c r="A59" t="s">
        <v>360</v>
      </c>
      <c r="B59" t="s">
        <v>33</v>
      </c>
      <c r="C59" t="s">
        <v>361</v>
      </c>
      <c r="D59">
        <v>518</v>
      </c>
      <c r="E59" t="s">
        <v>362</v>
      </c>
      <c r="F59" t="s">
        <v>3</v>
      </c>
      <c r="G59" t="s">
        <v>363</v>
      </c>
      <c r="H59">
        <v>266.637</v>
      </c>
      <c r="I59">
        <v>256.654</v>
      </c>
      <c r="J59">
        <v>261.60199999999998</v>
      </c>
      <c r="K59">
        <v>260.34699999999998</v>
      </c>
      <c r="L59">
        <v>246.233</v>
      </c>
      <c r="M59">
        <v>243.72300000000001</v>
      </c>
      <c r="N59">
        <v>247.154</v>
      </c>
      <c r="O59">
        <v>254.93899999999999</v>
      </c>
      <c r="P59">
        <v>264.98599999999999</v>
      </c>
      <c r="Q59">
        <v>276.93200000000002</v>
      </c>
      <c r="R59">
        <v>294.142</v>
      </c>
      <c r="S59">
        <v>302.72500000000002</v>
      </c>
      <c r="T59">
        <v>315.06900000000002</v>
      </c>
      <c r="U59">
        <v>333.31200000000001</v>
      </c>
      <c r="V59">
        <v>353.447</v>
      </c>
      <c r="W59">
        <v>371.92700000000002</v>
      </c>
      <c r="X59">
        <v>402.947</v>
      </c>
      <c r="Y59">
        <v>456.55099999999999</v>
      </c>
      <c r="Z59">
        <v>464.28</v>
      </c>
      <c r="AA59">
        <v>457.59500000000003</v>
      </c>
      <c r="AB59">
        <v>472.65199999999999</v>
      </c>
      <c r="AC59">
        <v>492.30599999999998</v>
      </c>
      <c r="AD59">
        <v>510.37299999999999</v>
      </c>
      <c r="AE59">
        <v>527.63400000000001</v>
      </c>
      <c r="AF59">
        <v>543.88199999999995</v>
      </c>
      <c r="AG59">
        <v>559.27</v>
      </c>
      <c r="AH59">
        <v>574.30999999999995</v>
      </c>
      <c r="AI59">
        <v>588.846</v>
      </c>
      <c r="AJ59">
        <v>603.27099999999996</v>
      </c>
      <c r="AK59">
        <v>617.23800000000006</v>
      </c>
      <c r="AL59">
        <v>630.14</v>
      </c>
      <c r="AM59">
        <v>641.97799999999995</v>
      </c>
      <c r="AN59">
        <v>652.72199999999998</v>
      </c>
      <c r="AO59">
        <v>662.48099999999999</v>
      </c>
      <c r="AP59">
        <v>671.447</v>
      </c>
      <c r="AQ59">
        <v>679.83199999999999</v>
      </c>
      <c r="AR59">
        <v>687.827</v>
      </c>
      <c r="AS59">
        <v>695.17200000000003</v>
      </c>
      <c r="AT59">
        <v>701.98099999999999</v>
      </c>
      <c r="AU59">
        <v>708.27300000000002</v>
      </c>
      <c r="AV59">
        <v>713.87300000000005</v>
      </c>
      <c r="AW59">
        <v>718.66399999999999</v>
      </c>
      <c r="AX59">
        <v>722.35299999999995</v>
      </c>
      <c r="AY59">
        <v>725.30899999999997</v>
      </c>
      <c r="AZ59">
        <v>727.71600000000001</v>
      </c>
      <c r="BA59">
        <v>729.41300000000001</v>
      </c>
      <c r="BB59">
        <v>730.43700000000001</v>
      </c>
      <c r="BC59">
        <v>730.64599999999996</v>
      </c>
      <c r="BD59">
        <v>730.08100000000002</v>
      </c>
      <c r="BE59">
        <v>728.49300000000005</v>
      </c>
      <c r="BF59">
        <v>725.98299999999995</v>
      </c>
      <c r="BG59">
        <v>8.4700000000000006</v>
      </c>
    </row>
    <row r="60" spans="1:59">
      <c r="A60" t="s">
        <v>364</v>
      </c>
      <c r="B60" t="s">
        <v>33</v>
      </c>
      <c r="C60" t="s">
        <v>365</v>
      </c>
      <c r="D60">
        <v>519</v>
      </c>
      <c r="E60" t="s">
        <v>366</v>
      </c>
      <c r="F60" t="s">
        <v>3</v>
      </c>
      <c r="G60" t="s">
        <v>367</v>
      </c>
      <c r="H60">
        <v>155.58199999999999</v>
      </c>
      <c r="I60">
        <v>153.01599999999999</v>
      </c>
      <c r="J60">
        <v>138.685</v>
      </c>
      <c r="K60">
        <v>149.57</v>
      </c>
      <c r="L60">
        <v>144.369</v>
      </c>
      <c r="M60">
        <v>152.00399999999999</v>
      </c>
      <c r="N60">
        <v>165.42699999999999</v>
      </c>
      <c r="O60">
        <v>184.714</v>
      </c>
      <c r="P60">
        <v>200.08799999999999</v>
      </c>
      <c r="Q60">
        <v>222.102</v>
      </c>
      <c r="R60">
        <v>246.11799999999999</v>
      </c>
      <c r="S60">
        <v>265.29700000000003</v>
      </c>
      <c r="T60">
        <v>286.661</v>
      </c>
      <c r="U60">
        <v>308.84399999999999</v>
      </c>
      <c r="V60">
        <v>339.10599999999999</v>
      </c>
      <c r="W60">
        <v>358.28699999999998</v>
      </c>
      <c r="X60">
        <v>383.43299999999999</v>
      </c>
      <c r="Y60">
        <v>424.28100000000001</v>
      </c>
      <c r="Z60">
        <v>417.101</v>
      </c>
      <c r="AA60">
        <v>404.29500000000002</v>
      </c>
      <c r="AB60">
        <v>415.41500000000002</v>
      </c>
      <c r="AC60">
        <v>433.11</v>
      </c>
      <c r="AD60">
        <v>449.45699999999999</v>
      </c>
      <c r="AE60">
        <v>465.16199999999998</v>
      </c>
      <c r="AF60">
        <v>479.94</v>
      </c>
      <c r="AG60">
        <v>493.92599999999999</v>
      </c>
      <c r="AH60">
        <v>507.60500000000002</v>
      </c>
      <c r="AI60">
        <v>520.85299999999995</v>
      </c>
      <c r="AJ60">
        <v>533.93799999999999</v>
      </c>
      <c r="AK60">
        <v>546.67600000000004</v>
      </c>
      <c r="AL60">
        <v>558.53700000000003</v>
      </c>
      <c r="AM60">
        <v>569.49300000000005</v>
      </c>
      <c r="AN60">
        <v>579.49099999999999</v>
      </c>
      <c r="AO60">
        <v>588.61</v>
      </c>
      <c r="AP60">
        <v>597.00800000000004</v>
      </c>
      <c r="AQ60">
        <v>604.86699999999996</v>
      </c>
      <c r="AR60">
        <v>612.32600000000002</v>
      </c>
      <c r="AS60">
        <v>619.20500000000004</v>
      </c>
      <c r="AT60">
        <v>625.49099999999999</v>
      </c>
      <c r="AU60">
        <v>631.25</v>
      </c>
      <c r="AV60">
        <v>636.31399999999996</v>
      </c>
      <c r="AW60">
        <v>640.601</v>
      </c>
      <c r="AX60">
        <v>643.86500000000001</v>
      </c>
      <c r="AY60">
        <v>646.43799999999999</v>
      </c>
      <c r="AZ60">
        <v>648.447</v>
      </c>
      <c r="BA60">
        <v>649.73800000000006</v>
      </c>
      <c r="BB60">
        <v>650.35199999999998</v>
      </c>
      <c r="BC60">
        <v>650.16300000000001</v>
      </c>
      <c r="BD60">
        <v>649.09400000000005</v>
      </c>
      <c r="BE60">
        <v>646.99800000000005</v>
      </c>
      <c r="BF60">
        <v>644.01</v>
      </c>
      <c r="BG60">
        <v>2.65</v>
      </c>
    </row>
    <row r="61" spans="1:59">
      <c r="A61" t="s">
        <v>368</v>
      </c>
      <c r="B61" t="s">
        <v>33</v>
      </c>
      <c r="C61" t="s">
        <v>369</v>
      </c>
      <c r="D61">
        <v>521</v>
      </c>
      <c r="E61" t="s">
        <v>370</v>
      </c>
      <c r="F61" t="s">
        <v>3</v>
      </c>
      <c r="G61" t="s">
        <v>371</v>
      </c>
      <c r="H61">
        <v>18.344999999999999</v>
      </c>
      <c r="I61">
        <v>18.966000000000001</v>
      </c>
      <c r="J61">
        <v>19.123000000000001</v>
      </c>
      <c r="K61">
        <v>19.081</v>
      </c>
      <c r="L61">
        <v>18.14</v>
      </c>
      <c r="M61">
        <v>17.731000000000002</v>
      </c>
      <c r="N61">
        <v>17.321999999999999</v>
      </c>
      <c r="O61">
        <v>16.663</v>
      </c>
      <c r="P61">
        <v>15.766</v>
      </c>
      <c r="Q61">
        <v>15.821</v>
      </c>
      <c r="R61">
        <v>15.954000000000001</v>
      </c>
      <c r="S61">
        <v>16.186</v>
      </c>
      <c r="T61">
        <v>16.297000000000001</v>
      </c>
      <c r="U61">
        <v>16.606000000000002</v>
      </c>
      <c r="V61">
        <v>16.972999999999999</v>
      </c>
      <c r="W61">
        <v>17.155999999999999</v>
      </c>
      <c r="X61">
        <v>17.678999999999998</v>
      </c>
      <c r="Y61">
        <v>18.492000000000001</v>
      </c>
      <c r="Z61">
        <v>19.111999999999998</v>
      </c>
      <c r="AA61">
        <v>19.134</v>
      </c>
      <c r="AB61">
        <v>19.38</v>
      </c>
      <c r="AC61">
        <v>19.695</v>
      </c>
      <c r="AD61">
        <v>20.018000000000001</v>
      </c>
      <c r="AE61">
        <v>20.300999999999998</v>
      </c>
      <c r="AF61">
        <v>20.54</v>
      </c>
      <c r="AG61">
        <v>20.753</v>
      </c>
      <c r="AH61">
        <v>20.969000000000001</v>
      </c>
      <c r="AI61">
        <v>21.187999999999999</v>
      </c>
      <c r="AJ61">
        <v>21.408999999999999</v>
      </c>
      <c r="AK61">
        <v>21.64</v>
      </c>
      <c r="AL61">
        <v>21.875</v>
      </c>
      <c r="AM61">
        <v>22.076000000000001</v>
      </c>
      <c r="AN61">
        <v>22.23</v>
      </c>
      <c r="AO61">
        <v>22.379000000000001</v>
      </c>
      <c r="AP61">
        <v>22.545999999999999</v>
      </c>
      <c r="AQ61">
        <v>22.707999999999998</v>
      </c>
      <c r="AR61">
        <v>22.867999999999999</v>
      </c>
      <c r="AS61">
        <v>23.02</v>
      </c>
      <c r="AT61">
        <v>23.152999999999999</v>
      </c>
      <c r="AU61">
        <v>23.265000000000001</v>
      </c>
      <c r="AV61">
        <v>23.367000000000001</v>
      </c>
      <c r="AW61">
        <v>23.457000000000001</v>
      </c>
      <c r="AX61">
        <v>23.532</v>
      </c>
      <c r="AY61">
        <v>23.597000000000001</v>
      </c>
      <c r="AZ61">
        <v>23.66</v>
      </c>
      <c r="BA61">
        <v>23.716000000000001</v>
      </c>
      <c r="BB61">
        <v>23.768000000000001</v>
      </c>
      <c r="BC61">
        <v>23.811</v>
      </c>
      <c r="BD61">
        <v>23.829000000000001</v>
      </c>
      <c r="BE61">
        <v>23.824999999999999</v>
      </c>
      <c r="BF61">
        <v>23.803999999999998</v>
      </c>
      <c r="BG61">
        <v>1.46</v>
      </c>
    </row>
    <row r="62" spans="1:59">
      <c r="A62" t="s">
        <v>372</v>
      </c>
      <c r="B62" t="s">
        <v>33</v>
      </c>
      <c r="C62" t="s">
        <v>373</v>
      </c>
      <c r="D62">
        <v>522</v>
      </c>
      <c r="E62" t="s">
        <v>374</v>
      </c>
      <c r="F62" t="s">
        <v>3</v>
      </c>
      <c r="G62" t="s">
        <v>375</v>
      </c>
      <c r="H62">
        <v>2922.837</v>
      </c>
      <c r="I62">
        <v>2967.8180000000002</v>
      </c>
      <c r="J62">
        <v>2914.2159999999999</v>
      </c>
      <c r="K62">
        <v>2765.5410000000002</v>
      </c>
      <c r="L62">
        <v>2642.0360000000001</v>
      </c>
      <c r="M62">
        <v>2593.587</v>
      </c>
      <c r="N62">
        <v>2600.058</v>
      </c>
      <c r="O62">
        <v>2631.6610000000001</v>
      </c>
      <c r="P62">
        <v>2659.328</v>
      </c>
      <c r="Q62">
        <v>2612.1219999999998</v>
      </c>
      <c r="R62">
        <v>2620.0540000000001</v>
      </c>
      <c r="S62">
        <v>2656.8009999999999</v>
      </c>
      <c r="T62">
        <v>2691.1329999999998</v>
      </c>
      <c r="U62">
        <v>2689.6410000000001</v>
      </c>
      <c r="V62">
        <v>2690.2359999999999</v>
      </c>
      <c r="W62">
        <v>2704.8270000000002</v>
      </c>
      <c r="X62">
        <v>2747.6709999999998</v>
      </c>
      <c r="Y62">
        <v>2731.65</v>
      </c>
      <c r="Z62">
        <v>2676.873</v>
      </c>
      <c r="AA62">
        <v>2633.0250000000001</v>
      </c>
      <c r="AB62">
        <v>2615.2840000000001</v>
      </c>
      <c r="AC62">
        <v>2607.0889999999999</v>
      </c>
      <c r="AD62">
        <v>2601.2979999999998</v>
      </c>
      <c r="AE62">
        <v>2591.7060000000001</v>
      </c>
      <c r="AF62">
        <v>2577.7260000000001</v>
      </c>
      <c r="AG62">
        <v>2562.0169999999998</v>
      </c>
      <c r="AH62">
        <v>2548.4299999999998</v>
      </c>
      <c r="AI62">
        <v>2536.69</v>
      </c>
      <c r="AJ62">
        <v>2526.7220000000002</v>
      </c>
      <c r="AK62">
        <v>2519.6030000000001</v>
      </c>
      <c r="AL62">
        <v>2514.2710000000002</v>
      </c>
      <c r="AM62">
        <v>2506.3760000000002</v>
      </c>
      <c r="AN62">
        <v>2494.46</v>
      </c>
      <c r="AO62">
        <v>2483.6</v>
      </c>
      <c r="AP62">
        <v>2476.4070000000002</v>
      </c>
      <c r="AQ62">
        <v>2470.3809999999999</v>
      </c>
      <c r="AR62">
        <v>2465.7220000000002</v>
      </c>
      <c r="AS62">
        <v>2461.8780000000002</v>
      </c>
      <c r="AT62">
        <v>2457.4609999999998</v>
      </c>
      <c r="AU62">
        <v>2452.3440000000001</v>
      </c>
      <c r="AV62">
        <v>2447.7159999999999</v>
      </c>
      <c r="AW62">
        <v>2443.5659999999998</v>
      </c>
      <c r="AX62">
        <v>2439.3449999999998</v>
      </c>
      <c r="AY62">
        <v>2435.7689999999998</v>
      </c>
      <c r="AZ62">
        <v>2433.6129999999998</v>
      </c>
      <c r="BA62">
        <v>2432.4160000000002</v>
      </c>
      <c r="BB62">
        <v>2432.4540000000002</v>
      </c>
      <c r="BC62">
        <v>2433.14</v>
      </c>
      <c r="BD62">
        <v>2432.8449999999998</v>
      </c>
      <c r="BE62">
        <v>2431.81</v>
      </c>
      <c r="BF62">
        <v>2430.6280000000002</v>
      </c>
      <c r="BG62">
        <v>1.9</v>
      </c>
    </row>
    <row r="63" spans="1:59">
      <c r="A63" t="s">
        <v>376</v>
      </c>
      <c r="B63" t="s">
        <v>33</v>
      </c>
      <c r="C63" t="s">
        <v>377</v>
      </c>
      <c r="D63">
        <v>523</v>
      </c>
      <c r="E63" t="s">
        <v>378</v>
      </c>
      <c r="F63" t="s">
        <v>3</v>
      </c>
      <c r="G63" t="s">
        <v>379</v>
      </c>
      <c r="H63">
        <v>827.45899999999995</v>
      </c>
      <c r="I63">
        <v>853.44</v>
      </c>
      <c r="J63">
        <v>889.55</v>
      </c>
      <c r="K63">
        <v>905.45299999999997</v>
      </c>
      <c r="L63">
        <v>844.74099999999999</v>
      </c>
      <c r="M63">
        <v>836.78399999999999</v>
      </c>
      <c r="N63">
        <v>844.16800000000001</v>
      </c>
      <c r="O63">
        <v>847.57500000000005</v>
      </c>
      <c r="P63">
        <v>838.88800000000003</v>
      </c>
      <c r="Q63">
        <v>853.45500000000004</v>
      </c>
      <c r="R63">
        <v>877.05200000000002</v>
      </c>
      <c r="S63">
        <v>893.66600000000005</v>
      </c>
      <c r="T63">
        <v>904.09799999999996</v>
      </c>
      <c r="U63">
        <v>919.57799999999997</v>
      </c>
      <c r="V63">
        <v>928.75800000000004</v>
      </c>
      <c r="W63">
        <v>926.86400000000003</v>
      </c>
      <c r="X63">
        <v>950.00099999999998</v>
      </c>
      <c r="Y63">
        <v>1010.5119999999999</v>
      </c>
      <c r="Z63">
        <v>1048.98</v>
      </c>
      <c r="AA63">
        <v>1051.953</v>
      </c>
      <c r="AB63">
        <v>1066.587</v>
      </c>
      <c r="AC63">
        <v>1084.1500000000001</v>
      </c>
      <c r="AD63">
        <v>1101.855</v>
      </c>
      <c r="AE63">
        <v>1117.4090000000001</v>
      </c>
      <c r="AF63">
        <v>1130.5360000000001</v>
      </c>
      <c r="AG63">
        <v>1142.5329999999999</v>
      </c>
      <c r="AH63">
        <v>1154.894</v>
      </c>
      <c r="AI63">
        <v>1167.45</v>
      </c>
      <c r="AJ63">
        <v>1180.088</v>
      </c>
      <c r="AK63">
        <v>1193.335</v>
      </c>
      <c r="AL63">
        <v>1206.73</v>
      </c>
      <c r="AM63">
        <v>1218.327</v>
      </c>
      <c r="AN63">
        <v>1227.424</v>
      </c>
      <c r="AO63">
        <v>1236.2360000000001</v>
      </c>
      <c r="AP63">
        <v>1245.9449999999999</v>
      </c>
      <c r="AQ63">
        <v>1255.395</v>
      </c>
      <c r="AR63">
        <v>1264.662</v>
      </c>
      <c r="AS63">
        <v>1273.5129999999999</v>
      </c>
      <c r="AT63">
        <v>1281.287</v>
      </c>
      <c r="AU63">
        <v>1287.8989999999999</v>
      </c>
      <c r="AV63">
        <v>1293.904</v>
      </c>
      <c r="AW63">
        <v>1299.2929999999999</v>
      </c>
      <c r="AX63">
        <v>1303.8140000000001</v>
      </c>
      <c r="AY63">
        <v>1307.7760000000001</v>
      </c>
      <c r="AZ63">
        <v>1311.5609999999999</v>
      </c>
      <c r="BA63">
        <v>1314.961</v>
      </c>
      <c r="BB63">
        <v>1318.1120000000001</v>
      </c>
      <c r="BC63">
        <v>1320.72</v>
      </c>
      <c r="BD63">
        <v>1321.989</v>
      </c>
      <c r="BE63">
        <v>1321.9880000000001</v>
      </c>
      <c r="BF63">
        <v>1321.0319999999999</v>
      </c>
      <c r="BG63">
        <v>26.6</v>
      </c>
    </row>
    <row r="64" spans="1:59">
      <c r="A64" t="s">
        <v>380</v>
      </c>
      <c r="B64" t="s">
        <v>33</v>
      </c>
      <c r="C64" t="s">
        <v>381</v>
      </c>
      <c r="D64">
        <v>524</v>
      </c>
      <c r="E64" t="s">
        <v>382</v>
      </c>
      <c r="F64" t="s">
        <v>3</v>
      </c>
      <c r="G64" t="s">
        <v>383</v>
      </c>
      <c r="H64">
        <v>2262.3989999999999</v>
      </c>
      <c r="I64">
        <v>2276.1640000000002</v>
      </c>
      <c r="J64">
        <v>2283.6460000000002</v>
      </c>
      <c r="K64">
        <v>2283.0990000000002</v>
      </c>
      <c r="L64">
        <v>2232.5610000000001</v>
      </c>
      <c r="M64">
        <v>2206.1320000000001</v>
      </c>
      <c r="N64">
        <v>2239.5010000000002</v>
      </c>
      <c r="O64">
        <v>2268.973</v>
      </c>
      <c r="P64">
        <v>2329.7710000000002</v>
      </c>
      <c r="Q64">
        <v>2384.8209999999999</v>
      </c>
      <c r="R64">
        <v>2444.6309999999999</v>
      </c>
      <c r="S64">
        <v>2497.777</v>
      </c>
      <c r="T64">
        <v>2546.88</v>
      </c>
      <c r="U64">
        <v>2590.9859999999999</v>
      </c>
      <c r="V64">
        <v>2649.0839999999998</v>
      </c>
      <c r="W64">
        <v>2666.7640000000001</v>
      </c>
      <c r="X64">
        <v>2706.3980000000001</v>
      </c>
      <c r="Y64">
        <v>2779.893</v>
      </c>
      <c r="Z64">
        <v>2822.2730000000001</v>
      </c>
      <c r="AA64">
        <v>2852.7869999999998</v>
      </c>
      <c r="AB64">
        <v>2894.5929999999998</v>
      </c>
      <c r="AC64">
        <v>2938.2179999999998</v>
      </c>
      <c r="AD64">
        <v>2983.1469999999999</v>
      </c>
      <c r="AE64">
        <v>3022.61</v>
      </c>
      <c r="AF64">
        <v>3055.6370000000002</v>
      </c>
      <c r="AG64">
        <v>3085.087</v>
      </c>
      <c r="AH64">
        <v>3115.35</v>
      </c>
      <c r="AI64">
        <v>3146.1239999999998</v>
      </c>
      <c r="AJ64">
        <v>3177.355</v>
      </c>
      <c r="AK64">
        <v>3210.4119999999998</v>
      </c>
      <c r="AL64">
        <v>3244.0360000000001</v>
      </c>
      <c r="AM64">
        <v>3272.7089999999998</v>
      </c>
      <c r="AN64">
        <v>3294.3890000000001</v>
      </c>
      <c r="AO64">
        <v>3315.4920000000002</v>
      </c>
      <c r="AP64">
        <v>3339.4369999999999</v>
      </c>
      <c r="AQ64">
        <v>3363.0079999999998</v>
      </c>
      <c r="AR64">
        <v>3386.4810000000002</v>
      </c>
      <c r="AS64">
        <v>3409.1109999999999</v>
      </c>
      <c r="AT64">
        <v>3428.9780000000001</v>
      </c>
      <c r="AU64">
        <v>3445.846</v>
      </c>
      <c r="AV64">
        <v>3461.3159999999998</v>
      </c>
      <c r="AW64">
        <v>3475.3690000000001</v>
      </c>
      <c r="AX64">
        <v>3487.22</v>
      </c>
      <c r="AY64">
        <v>3497.8580000000002</v>
      </c>
      <c r="AZ64">
        <v>3508.3649999999998</v>
      </c>
      <c r="BA64">
        <v>3518.0889999999999</v>
      </c>
      <c r="BB64">
        <v>3527.4209999999998</v>
      </c>
      <c r="BC64">
        <v>3535.5219999999999</v>
      </c>
      <c r="BD64">
        <v>3540.0680000000002</v>
      </c>
      <c r="BE64">
        <v>3541.3850000000002</v>
      </c>
      <c r="BF64">
        <v>3540.317</v>
      </c>
      <c r="BG64">
        <v>17.79</v>
      </c>
    </row>
    <row r="65" spans="1:59">
      <c r="A65" t="s">
        <v>384</v>
      </c>
      <c r="B65" t="s">
        <v>33</v>
      </c>
      <c r="C65" t="s">
        <v>385</v>
      </c>
      <c r="D65">
        <v>525</v>
      </c>
      <c r="E65" t="s">
        <v>386</v>
      </c>
      <c r="F65" t="s">
        <v>3</v>
      </c>
      <c r="G65" t="s">
        <v>387</v>
      </c>
      <c r="H65">
        <v>25.893000000000001</v>
      </c>
      <c r="I65">
        <v>26.213000000000001</v>
      </c>
      <c r="J65">
        <v>26.178999999999998</v>
      </c>
      <c r="K65">
        <v>25.984999999999999</v>
      </c>
      <c r="L65">
        <v>24.818000000000001</v>
      </c>
      <c r="M65">
        <v>24.817</v>
      </c>
      <c r="N65">
        <v>25.084</v>
      </c>
      <c r="O65">
        <v>26.032</v>
      </c>
      <c r="P65">
        <v>26.285</v>
      </c>
      <c r="Q65">
        <v>27.77</v>
      </c>
      <c r="R65">
        <v>28.771000000000001</v>
      </c>
      <c r="S65">
        <v>30.361999999999998</v>
      </c>
      <c r="T65">
        <v>32.119</v>
      </c>
      <c r="U65">
        <v>33.409999999999997</v>
      </c>
      <c r="V65">
        <v>34.835999999999999</v>
      </c>
      <c r="W65">
        <v>35.978999999999999</v>
      </c>
      <c r="X65">
        <v>38.585999999999999</v>
      </c>
      <c r="Y65">
        <v>41.505000000000003</v>
      </c>
      <c r="Z65">
        <v>42.94</v>
      </c>
      <c r="AA65">
        <v>42.835999999999999</v>
      </c>
      <c r="AB65">
        <v>44.35</v>
      </c>
      <c r="AC65">
        <v>46.377000000000002</v>
      </c>
      <c r="AD65">
        <v>48.451000000000001</v>
      </c>
      <c r="AE65">
        <v>50.460999999999999</v>
      </c>
      <c r="AF65">
        <v>52.378</v>
      </c>
      <c r="AG65">
        <v>54.246000000000002</v>
      </c>
      <c r="AH65">
        <v>56.136000000000003</v>
      </c>
      <c r="AI65">
        <v>58.039000000000001</v>
      </c>
      <c r="AJ65">
        <v>59.945999999999998</v>
      </c>
      <c r="AK65">
        <v>61.883000000000003</v>
      </c>
      <c r="AL65">
        <v>63.82</v>
      </c>
      <c r="AM65">
        <v>65.647999999999996</v>
      </c>
      <c r="AN65">
        <v>67.317999999999998</v>
      </c>
      <c r="AO65">
        <v>68.944000000000003</v>
      </c>
      <c r="AP65">
        <v>70.593999999999994</v>
      </c>
      <c r="AQ65">
        <v>72.195999999999998</v>
      </c>
      <c r="AR65">
        <v>73.751999999999995</v>
      </c>
      <c r="AS65">
        <v>75.242000000000004</v>
      </c>
      <c r="AT65">
        <v>76.620999999999995</v>
      </c>
      <c r="AU65">
        <v>77.878</v>
      </c>
      <c r="AV65">
        <v>79.042000000000002</v>
      </c>
      <c r="AW65">
        <v>80.108999999999995</v>
      </c>
      <c r="AX65">
        <v>81.058000000000007</v>
      </c>
      <c r="AY65">
        <v>81.906999999999996</v>
      </c>
      <c r="AZ65">
        <v>82.676000000000002</v>
      </c>
      <c r="BA65">
        <v>83.350999999999999</v>
      </c>
      <c r="BB65">
        <v>83.936999999999998</v>
      </c>
      <c r="BC65">
        <v>84.412999999999997</v>
      </c>
      <c r="BD65">
        <v>84.724999999999994</v>
      </c>
      <c r="BE65">
        <v>84.875</v>
      </c>
      <c r="BF65">
        <v>84.884</v>
      </c>
      <c r="BG65">
        <v>1.85</v>
      </c>
    </row>
    <row r="66" spans="1:59">
      <c r="A66" t="s">
        <v>388</v>
      </c>
      <c r="B66" t="s">
        <v>33</v>
      </c>
      <c r="C66" t="s">
        <v>389</v>
      </c>
      <c r="D66">
        <v>531</v>
      </c>
      <c r="E66" t="s">
        <v>390</v>
      </c>
      <c r="F66" t="s">
        <v>3</v>
      </c>
      <c r="G66" t="s">
        <v>391</v>
      </c>
      <c r="H66">
        <v>1476.701</v>
      </c>
      <c r="I66">
        <v>1513.3879999999999</v>
      </c>
      <c r="J66">
        <v>1517.405</v>
      </c>
      <c r="K66">
        <v>1487.338</v>
      </c>
      <c r="L66">
        <v>1416.35</v>
      </c>
      <c r="M66">
        <v>1399.414</v>
      </c>
      <c r="N66">
        <v>1405.588</v>
      </c>
      <c r="O66">
        <v>1427.191</v>
      </c>
      <c r="P66">
        <v>1467.2270000000001</v>
      </c>
      <c r="Q66">
        <v>1504.278</v>
      </c>
      <c r="R66">
        <v>1543.252</v>
      </c>
      <c r="S66">
        <v>1582.0239999999999</v>
      </c>
      <c r="T66">
        <v>1627.817</v>
      </c>
      <c r="U66">
        <v>1675.748</v>
      </c>
      <c r="V66">
        <v>1719.5150000000001</v>
      </c>
      <c r="W66">
        <v>1687.3710000000001</v>
      </c>
      <c r="X66">
        <v>1744.546</v>
      </c>
      <c r="Y66">
        <v>1823.221</v>
      </c>
      <c r="Z66">
        <v>1848.723</v>
      </c>
      <c r="AA66">
        <v>1871.9690000000001</v>
      </c>
      <c r="AB66">
        <v>1898.5550000000001</v>
      </c>
      <c r="AC66">
        <v>1921.76</v>
      </c>
      <c r="AD66">
        <v>1943.0509999999999</v>
      </c>
      <c r="AE66">
        <v>1958.8030000000001</v>
      </c>
      <c r="AF66">
        <v>1968.751</v>
      </c>
      <c r="AG66">
        <v>1974.415</v>
      </c>
      <c r="AH66">
        <v>1978.982</v>
      </c>
      <c r="AI66">
        <v>1983.5129999999999</v>
      </c>
      <c r="AJ66">
        <v>1987.2929999999999</v>
      </c>
      <c r="AK66">
        <v>1992.0619999999999</v>
      </c>
      <c r="AL66">
        <v>1997.6479999999999</v>
      </c>
      <c r="AM66">
        <v>2003.0170000000001</v>
      </c>
      <c r="AN66">
        <v>2007.0530000000001</v>
      </c>
      <c r="AO66">
        <v>2009.3019999999999</v>
      </c>
      <c r="AP66">
        <v>2011.932</v>
      </c>
      <c r="AQ66">
        <v>2014.6790000000001</v>
      </c>
      <c r="AR66">
        <v>2017.66</v>
      </c>
      <c r="AS66">
        <v>2020.828</v>
      </c>
      <c r="AT66">
        <v>2024.002</v>
      </c>
      <c r="AU66">
        <v>2026.366</v>
      </c>
      <c r="AV66">
        <v>2027.568</v>
      </c>
      <c r="AW66">
        <v>2028.413</v>
      </c>
      <c r="AX66">
        <v>2029.231</v>
      </c>
      <c r="AY66">
        <v>2029.779</v>
      </c>
      <c r="AZ66">
        <v>2030.9549999999999</v>
      </c>
      <c r="BA66">
        <v>2032.511</v>
      </c>
      <c r="BB66">
        <v>2034.5719999999999</v>
      </c>
      <c r="BC66">
        <v>2036.662</v>
      </c>
      <c r="BD66">
        <v>2037.3330000000001</v>
      </c>
      <c r="BE66">
        <v>2036.4590000000001</v>
      </c>
      <c r="BF66">
        <v>2034.2070000000001</v>
      </c>
      <c r="BG66">
        <v>3.83</v>
      </c>
    </row>
    <row r="67" spans="1:59">
      <c r="A67" t="s">
        <v>392</v>
      </c>
      <c r="B67" t="s">
        <v>33</v>
      </c>
      <c r="C67" t="s">
        <v>393</v>
      </c>
      <c r="D67">
        <v>532</v>
      </c>
      <c r="E67" t="s">
        <v>394</v>
      </c>
      <c r="F67" t="s">
        <v>3</v>
      </c>
      <c r="G67" t="s">
        <v>395</v>
      </c>
      <c r="H67">
        <v>643.32600000000002</v>
      </c>
      <c r="I67">
        <v>638.53</v>
      </c>
      <c r="J67">
        <v>633.19399999999996</v>
      </c>
      <c r="K67">
        <v>613.61500000000001</v>
      </c>
      <c r="L67">
        <v>546.43700000000001</v>
      </c>
      <c r="M67">
        <v>508.18599999999998</v>
      </c>
      <c r="N67">
        <v>502.89</v>
      </c>
      <c r="O67">
        <v>512.16600000000005</v>
      </c>
      <c r="P67">
        <v>519.60500000000002</v>
      </c>
      <c r="Q67">
        <v>532.49900000000002</v>
      </c>
      <c r="R67">
        <v>546.21</v>
      </c>
      <c r="S67">
        <v>553.14200000000005</v>
      </c>
      <c r="T67">
        <v>560.096</v>
      </c>
      <c r="U67">
        <v>568.404</v>
      </c>
      <c r="V67">
        <v>583.08699999999999</v>
      </c>
      <c r="W67">
        <v>487.46100000000001</v>
      </c>
      <c r="X67">
        <v>490.41199999999998</v>
      </c>
      <c r="Y67">
        <v>539.13499999999999</v>
      </c>
      <c r="Z67">
        <v>564.73199999999997</v>
      </c>
      <c r="AA67">
        <v>565.50800000000004</v>
      </c>
      <c r="AB67">
        <v>562.89800000000002</v>
      </c>
      <c r="AC67">
        <v>563.65200000000004</v>
      </c>
      <c r="AD67">
        <v>563.98800000000006</v>
      </c>
      <c r="AE67">
        <v>562.87800000000004</v>
      </c>
      <c r="AF67">
        <v>560.28800000000001</v>
      </c>
      <c r="AG67">
        <v>556.65200000000004</v>
      </c>
      <c r="AH67">
        <v>552.9</v>
      </c>
      <c r="AI67">
        <v>549.34699999999998</v>
      </c>
      <c r="AJ67">
        <v>545.80799999999999</v>
      </c>
      <c r="AK67">
        <v>542.75199999999995</v>
      </c>
      <c r="AL67">
        <v>540.12900000000002</v>
      </c>
      <c r="AM67">
        <v>537.649</v>
      </c>
      <c r="AN67">
        <v>535.01400000000001</v>
      </c>
      <c r="AO67">
        <v>532.11300000000006</v>
      </c>
      <c r="AP67">
        <v>529.51800000000003</v>
      </c>
      <c r="AQ67">
        <v>527.16300000000001</v>
      </c>
      <c r="AR67">
        <v>525.07799999999997</v>
      </c>
      <c r="AS67">
        <v>523.24400000000003</v>
      </c>
      <c r="AT67">
        <v>521.60799999999995</v>
      </c>
      <c r="AU67">
        <v>519.96100000000001</v>
      </c>
      <c r="AV67">
        <v>518.21199999999999</v>
      </c>
      <c r="AW67">
        <v>516.56799999999998</v>
      </c>
      <c r="AX67">
        <v>515.11099999999999</v>
      </c>
      <c r="AY67">
        <v>513.78200000000004</v>
      </c>
      <c r="AZ67">
        <v>512.80700000000002</v>
      </c>
      <c r="BA67">
        <v>512.11599999999999</v>
      </c>
      <c r="BB67">
        <v>511.74099999999999</v>
      </c>
      <c r="BC67">
        <v>511.56099999999998</v>
      </c>
      <c r="BD67">
        <v>511.20400000000001</v>
      </c>
      <c r="BE67">
        <v>510.65100000000001</v>
      </c>
      <c r="BF67">
        <v>509.94299999999998</v>
      </c>
      <c r="BG67">
        <v>4.03</v>
      </c>
    </row>
    <row r="68" spans="1:59">
      <c r="A68" t="s">
        <v>396</v>
      </c>
      <c r="B68" t="s">
        <v>33</v>
      </c>
      <c r="C68" t="s">
        <v>397</v>
      </c>
      <c r="D68">
        <v>533</v>
      </c>
      <c r="E68" t="s">
        <v>398</v>
      </c>
      <c r="F68" t="s">
        <v>3</v>
      </c>
      <c r="G68" t="s">
        <v>399</v>
      </c>
      <c r="H68">
        <v>23.849</v>
      </c>
      <c r="I68">
        <v>24.428999999999998</v>
      </c>
      <c r="J68">
        <v>24.77</v>
      </c>
      <c r="K68">
        <v>24.797999999999998</v>
      </c>
      <c r="L68">
        <v>23.45</v>
      </c>
      <c r="M68">
        <v>22.606000000000002</v>
      </c>
      <c r="N68">
        <v>22.004999999999999</v>
      </c>
      <c r="O68">
        <v>22.449000000000002</v>
      </c>
      <c r="P68">
        <v>22.673999999999999</v>
      </c>
      <c r="Q68">
        <v>22.725000000000001</v>
      </c>
      <c r="R68">
        <v>22.574000000000002</v>
      </c>
      <c r="S68">
        <v>22.658000000000001</v>
      </c>
      <c r="T68">
        <v>22.927</v>
      </c>
      <c r="U68">
        <v>22.393999999999998</v>
      </c>
      <c r="V68">
        <v>23.018999999999998</v>
      </c>
      <c r="W68">
        <v>21.003</v>
      </c>
      <c r="X68">
        <v>20.632000000000001</v>
      </c>
      <c r="Y68">
        <v>21.957999999999998</v>
      </c>
      <c r="Z68">
        <v>23.01</v>
      </c>
      <c r="AA68">
        <v>23.466000000000001</v>
      </c>
      <c r="AB68">
        <v>23.379000000000001</v>
      </c>
      <c r="AC68">
        <v>23.149000000000001</v>
      </c>
      <c r="AD68">
        <v>22.911000000000001</v>
      </c>
      <c r="AE68">
        <v>22.625</v>
      </c>
      <c r="AF68">
        <v>22.292000000000002</v>
      </c>
      <c r="AG68">
        <v>21.934000000000001</v>
      </c>
      <c r="AH68">
        <v>21.585999999999999</v>
      </c>
      <c r="AI68">
        <v>21.259</v>
      </c>
      <c r="AJ68">
        <v>20.943999999999999</v>
      </c>
      <c r="AK68">
        <v>20.658999999999999</v>
      </c>
      <c r="AL68">
        <v>20.401</v>
      </c>
      <c r="AM68">
        <v>20.16</v>
      </c>
      <c r="AN68">
        <v>19.923999999999999</v>
      </c>
      <c r="AO68">
        <v>19.687999999999999</v>
      </c>
      <c r="AP68">
        <v>19.472000000000001</v>
      </c>
      <c r="AQ68">
        <v>19.273</v>
      </c>
      <c r="AR68">
        <v>19.094000000000001</v>
      </c>
      <c r="AS68">
        <v>18.931999999999999</v>
      </c>
      <c r="AT68">
        <v>18.785</v>
      </c>
      <c r="AU68">
        <v>18.646000000000001</v>
      </c>
      <c r="AV68">
        <v>18.512</v>
      </c>
      <c r="AW68">
        <v>18.388999999999999</v>
      </c>
      <c r="AX68">
        <v>18.28</v>
      </c>
      <c r="AY68">
        <v>18.184000000000001</v>
      </c>
      <c r="AZ68">
        <v>18.106000000000002</v>
      </c>
      <c r="BA68">
        <v>18.045999999999999</v>
      </c>
      <c r="BB68">
        <v>18.004000000000001</v>
      </c>
      <c r="BC68">
        <v>17.975999999999999</v>
      </c>
      <c r="BD68">
        <v>17.948</v>
      </c>
      <c r="BE68">
        <v>17.920999999999999</v>
      </c>
      <c r="BF68">
        <v>17.893999999999998</v>
      </c>
      <c r="BG68">
        <v>13.5</v>
      </c>
    </row>
    <row r="69" spans="1:59">
      <c r="A69" t="s">
        <v>400</v>
      </c>
      <c r="B69" t="s">
        <v>33</v>
      </c>
      <c r="C69" t="s">
        <v>401</v>
      </c>
      <c r="D69">
        <v>541</v>
      </c>
      <c r="E69" t="s">
        <v>26</v>
      </c>
      <c r="F69" t="s">
        <v>3</v>
      </c>
      <c r="G69" t="s">
        <v>4</v>
      </c>
      <c r="H69">
        <v>7122.0439999999999</v>
      </c>
      <c r="I69">
        <v>7434.58</v>
      </c>
      <c r="J69">
        <v>7684.3789999999999</v>
      </c>
      <c r="K69">
        <v>7847.7309999999998</v>
      </c>
      <c r="L69">
        <v>7503.8040000000001</v>
      </c>
      <c r="M69">
        <v>7495.6959999999999</v>
      </c>
      <c r="N69">
        <v>7700.5919999999996</v>
      </c>
      <c r="O69">
        <v>7952.3019999999997</v>
      </c>
      <c r="P69">
        <v>8184.1260000000002</v>
      </c>
      <c r="Q69">
        <v>8404.5390000000007</v>
      </c>
      <c r="R69">
        <v>8662.1710000000003</v>
      </c>
      <c r="S69">
        <v>8883.16</v>
      </c>
      <c r="T69">
        <v>9067.5730000000003</v>
      </c>
      <c r="U69">
        <v>9302.0920000000006</v>
      </c>
      <c r="V69">
        <v>9565.1239999999998</v>
      </c>
      <c r="W69">
        <v>9474.9619999999995</v>
      </c>
      <c r="X69">
        <v>9915.0300000000007</v>
      </c>
      <c r="Y69">
        <v>10554.289000000001</v>
      </c>
      <c r="Z69">
        <v>10756.74</v>
      </c>
      <c r="AA69">
        <v>10853.378000000001</v>
      </c>
      <c r="AB69">
        <v>11014.314</v>
      </c>
      <c r="AC69">
        <v>11174.947</v>
      </c>
      <c r="AD69">
        <v>11303.835999999999</v>
      </c>
      <c r="AE69">
        <v>11429.941999999999</v>
      </c>
      <c r="AF69">
        <v>11540.368</v>
      </c>
      <c r="AG69">
        <v>11636.398999999999</v>
      </c>
      <c r="AH69">
        <v>11731.602999999999</v>
      </c>
      <c r="AI69">
        <v>11828.609</v>
      </c>
      <c r="AJ69">
        <v>11937.994000000001</v>
      </c>
      <c r="AK69">
        <v>12053.120999999999</v>
      </c>
      <c r="AL69">
        <v>12169.252</v>
      </c>
      <c r="AM69">
        <v>12284.06</v>
      </c>
      <c r="AN69">
        <v>12384.625</v>
      </c>
      <c r="AO69">
        <v>12478.114</v>
      </c>
      <c r="AP69">
        <v>12575.558999999999</v>
      </c>
      <c r="AQ69">
        <v>12678.039000000001</v>
      </c>
      <c r="AR69">
        <v>12788.081</v>
      </c>
      <c r="AS69">
        <v>12898.768</v>
      </c>
      <c r="AT69">
        <v>13006.816000000001</v>
      </c>
      <c r="AU69">
        <v>13113.094999999999</v>
      </c>
      <c r="AV69">
        <v>13217.009</v>
      </c>
      <c r="AW69">
        <v>13316.273999999999</v>
      </c>
      <c r="AX69">
        <v>13407.029</v>
      </c>
      <c r="AY69">
        <v>13494.789000000001</v>
      </c>
      <c r="AZ69">
        <v>13582.296</v>
      </c>
      <c r="BA69">
        <v>13670.281999999999</v>
      </c>
      <c r="BB69">
        <v>13755.811</v>
      </c>
      <c r="BC69">
        <v>13835.852000000001</v>
      </c>
      <c r="BD69">
        <v>13909.924000000001</v>
      </c>
      <c r="BE69">
        <v>13973.253000000001</v>
      </c>
      <c r="BF69">
        <v>14029.703</v>
      </c>
      <c r="BG69">
        <v>9.26</v>
      </c>
    </row>
    <row r="70" spans="1:59">
      <c r="A70" t="s">
        <v>402</v>
      </c>
      <c r="B70" t="s">
        <v>33</v>
      </c>
      <c r="C70" t="s">
        <v>403</v>
      </c>
      <c r="D70">
        <v>551</v>
      </c>
      <c r="E70" t="s">
        <v>27</v>
      </c>
      <c r="F70" t="s">
        <v>3</v>
      </c>
      <c r="G70" t="s">
        <v>5</v>
      </c>
      <c r="H70">
        <v>1847.191</v>
      </c>
      <c r="I70">
        <v>1894.123</v>
      </c>
      <c r="J70">
        <v>1939.71</v>
      </c>
      <c r="K70">
        <v>1981.7570000000001</v>
      </c>
      <c r="L70">
        <v>1942.0350000000001</v>
      </c>
      <c r="M70">
        <v>1958.9110000000001</v>
      </c>
      <c r="N70">
        <v>2031.393</v>
      </c>
      <c r="O70">
        <v>2114.4740000000002</v>
      </c>
      <c r="P70">
        <v>2182.0650000000001</v>
      </c>
      <c r="Q70">
        <v>2238.7359999999999</v>
      </c>
      <c r="R70">
        <v>2290.1959999999999</v>
      </c>
      <c r="S70">
        <v>2332.1030000000001</v>
      </c>
      <c r="T70">
        <v>2383.5709999999999</v>
      </c>
      <c r="U70">
        <v>2431.46</v>
      </c>
      <c r="V70">
        <v>2468.8980000000001</v>
      </c>
      <c r="W70">
        <v>2384.386</v>
      </c>
      <c r="X70">
        <v>2403.52</v>
      </c>
      <c r="Y70">
        <v>2508.9299999999998</v>
      </c>
      <c r="Z70">
        <v>2557.9920000000002</v>
      </c>
      <c r="AA70">
        <v>2565.7330000000002</v>
      </c>
      <c r="AB70">
        <v>2571.8090000000002</v>
      </c>
      <c r="AC70">
        <v>2575.3380000000002</v>
      </c>
      <c r="AD70">
        <v>2569.6559999999999</v>
      </c>
      <c r="AE70">
        <v>2561.7579999999998</v>
      </c>
      <c r="AF70">
        <v>2551.4209999999998</v>
      </c>
      <c r="AG70">
        <v>2540.5430000000001</v>
      </c>
      <c r="AH70">
        <v>2531.9</v>
      </c>
      <c r="AI70">
        <v>2524.7550000000001</v>
      </c>
      <c r="AJ70">
        <v>2518.0210000000002</v>
      </c>
      <c r="AK70">
        <v>2513.1309999999999</v>
      </c>
      <c r="AL70">
        <v>2508.8580000000002</v>
      </c>
      <c r="AM70">
        <v>2503.797</v>
      </c>
      <c r="AN70">
        <v>2496.5140000000001</v>
      </c>
      <c r="AO70">
        <v>2488.473</v>
      </c>
      <c r="AP70">
        <v>2481.6729999999998</v>
      </c>
      <c r="AQ70">
        <v>2475.2660000000001</v>
      </c>
      <c r="AR70">
        <v>2469.6019999999999</v>
      </c>
      <c r="AS70">
        <v>2464.029</v>
      </c>
      <c r="AT70">
        <v>2458.0320000000002</v>
      </c>
      <c r="AU70">
        <v>2451.337</v>
      </c>
      <c r="AV70">
        <v>2444.386</v>
      </c>
      <c r="AW70">
        <v>2437.54</v>
      </c>
      <c r="AX70">
        <v>2430.2629999999999</v>
      </c>
      <c r="AY70">
        <v>2422.8159999999998</v>
      </c>
      <c r="AZ70">
        <v>2415.9989999999998</v>
      </c>
      <c r="BA70">
        <v>2409.2370000000001</v>
      </c>
      <c r="BB70">
        <v>2402.5219999999999</v>
      </c>
      <c r="BC70">
        <v>2395.3159999999998</v>
      </c>
      <c r="BD70">
        <v>2387.6129999999998</v>
      </c>
      <c r="BE70">
        <v>2378.5770000000002</v>
      </c>
      <c r="BF70">
        <v>2368.3710000000001</v>
      </c>
      <c r="BG70">
        <v>3.67</v>
      </c>
    </row>
    <row r="71" spans="1:59">
      <c r="A71" t="s">
        <v>404</v>
      </c>
      <c r="B71" t="s">
        <v>33</v>
      </c>
      <c r="C71" t="s">
        <v>405</v>
      </c>
      <c r="D71">
        <v>561</v>
      </c>
      <c r="E71" t="s">
        <v>406</v>
      </c>
      <c r="F71" t="s">
        <v>3</v>
      </c>
      <c r="G71" t="s">
        <v>407</v>
      </c>
      <c r="H71">
        <v>7522.5929999999998</v>
      </c>
      <c r="I71">
        <v>7779.7820000000002</v>
      </c>
      <c r="J71">
        <v>7873.5450000000001</v>
      </c>
      <c r="K71">
        <v>7588.4459999999999</v>
      </c>
      <c r="L71">
        <v>6766.6189999999997</v>
      </c>
      <c r="M71">
        <v>7019.6030000000001</v>
      </c>
      <c r="N71">
        <v>7356.549</v>
      </c>
      <c r="O71">
        <v>7631.96</v>
      </c>
      <c r="P71">
        <v>7906.5029999999997</v>
      </c>
      <c r="Q71">
        <v>8190.527</v>
      </c>
      <c r="R71">
        <v>8415.02</v>
      </c>
      <c r="S71">
        <v>8557.31</v>
      </c>
      <c r="T71">
        <v>8640.4</v>
      </c>
      <c r="U71">
        <v>8785.6180000000004</v>
      </c>
      <c r="V71">
        <v>8821.2109999999993</v>
      </c>
      <c r="W71">
        <v>8122.3710000000001</v>
      </c>
      <c r="X71">
        <v>8633.9509999999991</v>
      </c>
      <c r="Y71">
        <v>9081.0779999999995</v>
      </c>
      <c r="Z71">
        <v>8870.0470000000005</v>
      </c>
      <c r="AA71">
        <v>8788.5470000000005</v>
      </c>
      <c r="AB71">
        <v>8819.5939999999991</v>
      </c>
      <c r="AC71">
        <v>8942.5550000000003</v>
      </c>
      <c r="AD71">
        <v>9090.643</v>
      </c>
      <c r="AE71">
        <v>9262.4779999999992</v>
      </c>
      <c r="AF71">
        <v>9447.7180000000008</v>
      </c>
      <c r="AG71">
        <v>9628.1110000000008</v>
      </c>
      <c r="AH71">
        <v>9790.5859999999993</v>
      </c>
      <c r="AI71">
        <v>9951.5720000000001</v>
      </c>
      <c r="AJ71">
        <v>10119.072</v>
      </c>
      <c r="AK71">
        <v>10279.255999999999</v>
      </c>
      <c r="AL71">
        <v>10428.877</v>
      </c>
      <c r="AM71">
        <v>10583.65</v>
      </c>
      <c r="AN71">
        <v>10729.4</v>
      </c>
      <c r="AO71">
        <v>10861.425999999999</v>
      </c>
      <c r="AP71">
        <v>10990.406000000001</v>
      </c>
      <c r="AQ71">
        <v>11115.984</v>
      </c>
      <c r="AR71">
        <v>11236.261</v>
      </c>
      <c r="AS71">
        <v>11347.263000000001</v>
      </c>
      <c r="AT71">
        <v>11443.682000000001</v>
      </c>
      <c r="AU71">
        <v>11530.957</v>
      </c>
      <c r="AV71">
        <v>11615.501</v>
      </c>
      <c r="AW71">
        <v>11688.14</v>
      </c>
      <c r="AX71">
        <v>11752.651</v>
      </c>
      <c r="AY71">
        <v>11819.39</v>
      </c>
      <c r="AZ71">
        <v>11891.187</v>
      </c>
      <c r="BA71">
        <v>11962.137000000001</v>
      </c>
      <c r="BB71">
        <v>12030.77</v>
      </c>
      <c r="BC71">
        <v>12097.83</v>
      </c>
      <c r="BD71">
        <v>12161.550999999999</v>
      </c>
      <c r="BE71">
        <v>12217.403</v>
      </c>
      <c r="BF71">
        <v>12269.918</v>
      </c>
      <c r="BG71">
        <v>4.0199999999999996</v>
      </c>
    </row>
    <row r="72" spans="1:59">
      <c r="A72" t="s">
        <v>408</v>
      </c>
      <c r="B72" t="s">
        <v>33</v>
      </c>
      <c r="C72" t="s">
        <v>409</v>
      </c>
      <c r="D72">
        <v>562</v>
      </c>
      <c r="E72" t="s">
        <v>410</v>
      </c>
      <c r="F72" t="s">
        <v>3</v>
      </c>
      <c r="G72" t="s">
        <v>411</v>
      </c>
      <c r="H72">
        <v>343.85599999999999</v>
      </c>
      <c r="I72">
        <v>352.93099999999998</v>
      </c>
      <c r="J72">
        <v>359.49900000000002</v>
      </c>
      <c r="K72">
        <v>363.75799999999998</v>
      </c>
      <c r="L72">
        <v>351.15100000000001</v>
      </c>
      <c r="M72">
        <v>360.82299999999998</v>
      </c>
      <c r="N72">
        <v>367.76600000000002</v>
      </c>
      <c r="O72">
        <v>372.76299999999998</v>
      </c>
      <c r="P72">
        <v>378.53100000000001</v>
      </c>
      <c r="Q72">
        <v>388.97199999999998</v>
      </c>
      <c r="R72">
        <v>397.572</v>
      </c>
      <c r="S72">
        <v>402.47</v>
      </c>
      <c r="T72">
        <v>416.322</v>
      </c>
      <c r="U72">
        <v>432.85399999999998</v>
      </c>
      <c r="V72">
        <v>448.75</v>
      </c>
      <c r="W72">
        <v>443.66500000000002</v>
      </c>
      <c r="X72">
        <v>457.36599999999999</v>
      </c>
      <c r="Y72">
        <v>477.14400000000001</v>
      </c>
      <c r="Z72">
        <v>486.505</v>
      </c>
      <c r="AA72">
        <v>485.69099999999997</v>
      </c>
      <c r="AB72">
        <v>494.32900000000001</v>
      </c>
      <c r="AC72">
        <v>510.43799999999999</v>
      </c>
      <c r="AD72">
        <v>528.14400000000001</v>
      </c>
      <c r="AE72">
        <v>547.38499999999999</v>
      </c>
      <c r="AF72">
        <v>567.58299999999997</v>
      </c>
      <c r="AG72">
        <v>587.62300000000005</v>
      </c>
      <c r="AH72">
        <v>606.65700000000004</v>
      </c>
      <c r="AI72">
        <v>625.64700000000005</v>
      </c>
      <c r="AJ72">
        <v>645.07899999999995</v>
      </c>
      <c r="AK72">
        <v>664.04399999999998</v>
      </c>
      <c r="AL72">
        <v>682.28700000000003</v>
      </c>
      <c r="AM72">
        <v>700.79700000000003</v>
      </c>
      <c r="AN72">
        <v>718.60599999999999</v>
      </c>
      <c r="AO72">
        <v>735.34500000000003</v>
      </c>
      <c r="AP72">
        <v>751.69100000000003</v>
      </c>
      <c r="AQ72">
        <v>767.58</v>
      </c>
      <c r="AR72">
        <v>782.846</v>
      </c>
      <c r="AS72">
        <v>797.17600000000004</v>
      </c>
      <c r="AT72">
        <v>810.15099999999995</v>
      </c>
      <c r="AU72">
        <v>822.11400000000003</v>
      </c>
      <c r="AV72">
        <v>833.49300000000005</v>
      </c>
      <c r="AW72">
        <v>843.6</v>
      </c>
      <c r="AX72">
        <v>852.67600000000004</v>
      </c>
      <c r="AY72">
        <v>861.45299999999997</v>
      </c>
      <c r="AZ72">
        <v>870.12099999999998</v>
      </c>
      <c r="BA72">
        <v>878.23599999999999</v>
      </c>
      <c r="BB72">
        <v>885.67</v>
      </c>
      <c r="BC72">
        <v>892.46400000000006</v>
      </c>
      <c r="BD72">
        <v>898.44100000000003</v>
      </c>
      <c r="BE72">
        <v>903.28</v>
      </c>
      <c r="BF72">
        <v>907.31600000000003</v>
      </c>
      <c r="BG72">
        <v>4.4800000000000004</v>
      </c>
    </row>
    <row r="73" spans="1:59">
      <c r="A73" t="s">
        <v>412</v>
      </c>
      <c r="B73" t="s">
        <v>33</v>
      </c>
      <c r="C73" t="s">
        <v>413</v>
      </c>
      <c r="D73">
        <v>611</v>
      </c>
      <c r="E73" t="s">
        <v>28</v>
      </c>
      <c r="F73" t="s">
        <v>3</v>
      </c>
      <c r="G73" t="s">
        <v>6</v>
      </c>
      <c r="H73">
        <v>2753.5</v>
      </c>
      <c r="I73">
        <v>2821.2080000000001</v>
      </c>
      <c r="J73">
        <v>2901.3919999999998</v>
      </c>
      <c r="K73">
        <v>2981.2330000000002</v>
      </c>
      <c r="L73">
        <v>3028.3330000000001</v>
      </c>
      <c r="M73">
        <v>3085.4920000000002</v>
      </c>
      <c r="N73">
        <v>3157.5419999999999</v>
      </c>
      <c r="O73">
        <v>3220.6669999999999</v>
      </c>
      <c r="P73">
        <v>3295.7170000000001</v>
      </c>
      <c r="Q73">
        <v>3369.0749999999998</v>
      </c>
      <c r="R73">
        <v>3447.2080000000001</v>
      </c>
      <c r="S73">
        <v>3513.4920000000002</v>
      </c>
      <c r="T73">
        <v>3577.35</v>
      </c>
      <c r="U73">
        <v>3647.6750000000002</v>
      </c>
      <c r="V73">
        <v>3699.4</v>
      </c>
      <c r="W73">
        <v>3437.1579999999999</v>
      </c>
      <c r="X73">
        <v>3537.942</v>
      </c>
      <c r="Y73">
        <v>3720.6750000000002</v>
      </c>
      <c r="Z73">
        <v>3857.2579999999998</v>
      </c>
      <c r="AA73">
        <v>3964.43</v>
      </c>
      <c r="AB73">
        <v>4040.357</v>
      </c>
      <c r="AC73">
        <v>4078.4609999999998</v>
      </c>
      <c r="AD73">
        <v>4091.2150000000001</v>
      </c>
      <c r="AE73">
        <v>4100.2160000000003</v>
      </c>
      <c r="AF73">
        <v>4120.0770000000002</v>
      </c>
      <c r="AG73">
        <v>4143.9040000000005</v>
      </c>
      <c r="AH73">
        <v>4173.5919999999996</v>
      </c>
      <c r="AI73">
        <v>4209.9880000000003</v>
      </c>
      <c r="AJ73">
        <v>4249.6850000000004</v>
      </c>
      <c r="AK73">
        <v>4289.491</v>
      </c>
      <c r="AL73">
        <v>4328.5330000000004</v>
      </c>
      <c r="AM73">
        <v>4366.8050000000003</v>
      </c>
      <c r="AN73">
        <v>4402.6540000000005</v>
      </c>
      <c r="AO73">
        <v>4435.835</v>
      </c>
      <c r="AP73">
        <v>4469.6719999999996</v>
      </c>
      <c r="AQ73">
        <v>4502.9309999999996</v>
      </c>
      <c r="AR73">
        <v>4535.9669999999996</v>
      </c>
      <c r="AS73">
        <v>4567.0010000000002</v>
      </c>
      <c r="AT73">
        <v>4593.5290000000005</v>
      </c>
      <c r="AU73">
        <v>4615.5200000000004</v>
      </c>
      <c r="AV73">
        <v>4636.991</v>
      </c>
      <c r="AW73">
        <v>4658.0630000000001</v>
      </c>
      <c r="AX73">
        <v>4677.7430000000004</v>
      </c>
      <c r="AY73">
        <v>4697.6530000000002</v>
      </c>
      <c r="AZ73">
        <v>4718.8010000000004</v>
      </c>
      <c r="BA73">
        <v>4739.7950000000001</v>
      </c>
      <c r="BB73">
        <v>4760.4440000000004</v>
      </c>
      <c r="BC73">
        <v>4779.8530000000001</v>
      </c>
      <c r="BD73">
        <v>4794.7920000000004</v>
      </c>
      <c r="BE73">
        <v>4806.0860000000002</v>
      </c>
      <c r="BF73">
        <v>4816.3879999999999</v>
      </c>
      <c r="BG73">
        <v>7.56</v>
      </c>
    </row>
    <row r="74" spans="1:59">
      <c r="A74" t="s">
        <v>414</v>
      </c>
      <c r="B74" t="s">
        <v>33</v>
      </c>
      <c r="C74" t="s">
        <v>415</v>
      </c>
      <c r="D74">
        <v>621</v>
      </c>
      <c r="E74" t="s">
        <v>416</v>
      </c>
      <c r="F74" t="s">
        <v>3</v>
      </c>
      <c r="G74" t="s">
        <v>417</v>
      </c>
      <c r="H74">
        <v>5172.5169999999998</v>
      </c>
      <c r="I74">
        <v>5342.1319999999996</v>
      </c>
      <c r="J74">
        <v>5525.2169999999996</v>
      </c>
      <c r="K74">
        <v>5690.4160000000002</v>
      </c>
      <c r="L74">
        <v>5834.0749999999998</v>
      </c>
      <c r="M74">
        <v>5988.1729999999998</v>
      </c>
      <c r="N74">
        <v>6149.076</v>
      </c>
      <c r="O74">
        <v>6321.05</v>
      </c>
      <c r="P74">
        <v>6486.7860000000001</v>
      </c>
      <c r="Q74">
        <v>6653.9040000000005</v>
      </c>
      <c r="R74">
        <v>6872.848</v>
      </c>
      <c r="S74">
        <v>7092.14</v>
      </c>
      <c r="T74">
        <v>7292.2139999999999</v>
      </c>
      <c r="U74">
        <v>7496.8339999999998</v>
      </c>
      <c r="V74">
        <v>7711.0150000000003</v>
      </c>
      <c r="W74">
        <v>7483.8710000000001</v>
      </c>
      <c r="X74">
        <v>7870.8559999999998</v>
      </c>
      <c r="Y74">
        <v>8147.4570000000003</v>
      </c>
      <c r="Z74">
        <v>8463.6949999999997</v>
      </c>
      <c r="AA74">
        <v>8799.9660000000003</v>
      </c>
      <c r="AB74">
        <v>9034.4989999999998</v>
      </c>
      <c r="AC74">
        <v>9131.1280000000006</v>
      </c>
      <c r="AD74">
        <v>9196.5939999999991</v>
      </c>
      <c r="AE74">
        <v>9258.2759999999998</v>
      </c>
      <c r="AF74">
        <v>9326.4159999999993</v>
      </c>
      <c r="AG74">
        <v>9400.9639999999999</v>
      </c>
      <c r="AH74">
        <v>9475.8019999999997</v>
      </c>
      <c r="AI74">
        <v>9546.3889999999992</v>
      </c>
      <c r="AJ74">
        <v>9608.6929999999993</v>
      </c>
      <c r="AK74">
        <v>9665.1509999999998</v>
      </c>
      <c r="AL74">
        <v>9715.0110000000004</v>
      </c>
      <c r="AM74">
        <v>9755.4339999999993</v>
      </c>
      <c r="AN74">
        <v>9785.8529999999992</v>
      </c>
      <c r="AO74">
        <v>9804.4699999999993</v>
      </c>
      <c r="AP74">
        <v>9822.4660000000003</v>
      </c>
      <c r="AQ74">
        <v>9841.7189999999991</v>
      </c>
      <c r="AR74">
        <v>9861.7569999999996</v>
      </c>
      <c r="AS74">
        <v>9884.1170000000002</v>
      </c>
      <c r="AT74">
        <v>9903.8880000000008</v>
      </c>
      <c r="AU74">
        <v>9916.848</v>
      </c>
      <c r="AV74">
        <v>9925.4840000000004</v>
      </c>
      <c r="AW74">
        <v>9932.8670000000002</v>
      </c>
      <c r="AX74">
        <v>9936.7739999999994</v>
      </c>
      <c r="AY74">
        <v>9938.7479999999996</v>
      </c>
      <c r="AZ74">
        <v>9942.7690000000002</v>
      </c>
      <c r="BA74">
        <v>9945.2459999999992</v>
      </c>
      <c r="BB74">
        <v>9946.51</v>
      </c>
      <c r="BC74">
        <v>9943.9050000000007</v>
      </c>
      <c r="BD74">
        <v>9931.2379999999994</v>
      </c>
      <c r="BE74">
        <v>9909.8549999999996</v>
      </c>
      <c r="BF74">
        <v>9884.0560000000005</v>
      </c>
      <c r="BG74">
        <v>5.65</v>
      </c>
    </row>
    <row r="75" spans="1:59">
      <c r="A75" t="s">
        <v>418</v>
      </c>
      <c r="B75" t="s">
        <v>33</v>
      </c>
      <c r="C75" t="s">
        <v>419</v>
      </c>
      <c r="D75">
        <v>622</v>
      </c>
      <c r="E75" t="s">
        <v>420</v>
      </c>
      <c r="F75" t="s">
        <v>3</v>
      </c>
      <c r="G75" t="s">
        <v>421</v>
      </c>
      <c r="H75">
        <v>4372.2039999999997</v>
      </c>
      <c r="I75">
        <v>4436.9620000000004</v>
      </c>
      <c r="J75">
        <v>4533.567</v>
      </c>
      <c r="K75">
        <v>4637.0749999999998</v>
      </c>
      <c r="L75">
        <v>4688.5079999999998</v>
      </c>
      <c r="M75">
        <v>4707.9219999999996</v>
      </c>
      <c r="N75">
        <v>4751.0950000000003</v>
      </c>
      <c r="O75">
        <v>4803.3890000000001</v>
      </c>
      <c r="P75">
        <v>4815.817</v>
      </c>
      <c r="Q75">
        <v>4815.9219999999996</v>
      </c>
      <c r="R75">
        <v>4884.4709999999995</v>
      </c>
      <c r="S75">
        <v>5005.5659999999998</v>
      </c>
      <c r="T75">
        <v>5087.1229999999996</v>
      </c>
      <c r="U75">
        <v>5129.9889999999996</v>
      </c>
      <c r="V75">
        <v>5188.9830000000002</v>
      </c>
      <c r="W75">
        <v>5112.2759999999998</v>
      </c>
      <c r="X75">
        <v>5133.4210000000003</v>
      </c>
      <c r="Y75">
        <v>5160.7969999999996</v>
      </c>
      <c r="Z75">
        <v>5349.2849999999999</v>
      </c>
      <c r="AA75">
        <v>5548.5360000000001</v>
      </c>
      <c r="AB75">
        <v>5609.8950000000004</v>
      </c>
      <c r="AC75">
        <v>5590.3890000000001</v>
      </c>
      <c r="AD75">
        <v>5554.7539999999999</v>
      </c>
      <c r="AE75">
        <v>5519.36</v>
      </c>
      <c r="AF75">
        <v>5489.9459999999999</v>
      </c>
      <c r="AG75">
        <v>5466.2889999999998</v>
      </c>
      <c r="AH75">
        <v>5444.86</v>
      </c>
      <c r="AI75">
        <v>5423.2250000000004</v>
      </c>
      <c r="AJ75">
        <v>5399.2070000000003</v>
      </c>
      <c r="AK75">
        <v>5374.3119999999999</v>
      </c>
      <c r="AL75">
        <v>5348.2280000000001</v>
      </c>
      <c r="AM75">
        <v>5319.5259999999998</v>
      </c>
      <c r="AN75">
        <v>5288.018</v>
      </c>
      <c r="AO75">
        <v>5252.8270000000002</v>
      </c>
      <c r="AP75">
        <v>5219.8540000000003</v>
      </c>
      <c r="AQ75">
        <v>5190.0540000000001</v>
      </c>
      <c r="AR75">
        <v>5163.16</v>
      </c>
      <c r="AS75">
        <v>5139.8950000000004</v>
      </c>
      <c r="AT75">
        <v>5117.7370000000001</v>
      </c>
      <c r="AU75">
        <v>5094.5479999999998</v>
      </c>
      <c r="AV75">
        <v>5071.5739999999996</v>
      </c>
      <c r="AW75">
        <v>5050.3530000000001</v>
      </c>
      <c r="AX75">
        <v>5029.7730000000001</v>
      </c>
      <c r="AY75">
        <v>5010.5950000000003</v>
      </c>
      <c r="AZ75">
        <v>4994.7740000000003</v>
      </c>
      <c r="BA75">
        <v>4980.5230000000001</v>
      </c>
      <c r="BB75">
        <v>4967.982</v>
      </c>
      <c r="BC75">
        <v>4955.866</v>
      </c>
      <c r="BD75">
        <v>4941.2659999999996</v>
      </c>
      <c r="BE75">
        <v>4924.7420000000002</v>
      </c>
      <c r="BF75">
        <v>4908.2830000000004</v>
      </c>
      <c r="BG75">
        <v>1.08</v>
      </c>
    </row>
    <row r="76" spans="1:59">
      <c r="A76" t="s">
        <v>422</v>
      </c>
      <c r="B76" t="s">
        <v>33</v>
      </c>
      <c r="C76" t="s">
        <v>423</v>
      </c>
      <c r="D76">
        <v>623</v>
      </c>
      <c r="E76" t="s">
        <v>424</v>
      </c>
      <c r="F76" t="s">
        <v>3</v>
      </c>
      <c r="G76" t="s">
        <v>425</v>
      </c>
      <c r="H76">
        <v>2858.7080000000001</v>
      </c>
      <c r="I76">
        <v>2891.2759999999998</v>
      </c>
      <c r="J76">
        <v>2953.3960000000002</v>
      </c>
      <c r="K76">
        <v>3018.223</v>
      </c>
      <c r="L76">
        <v>3086.7170000000001</v>
      </c>
      <c r="M76">
        <v>3127.2979999999998</v>
      </c>
      <c r="N76">
        <v>3169.9630000000002</v>
      </c>
      <c r="O76">
        <v>3194.9920000000002</v>
      </c>
      <c r="P76">
        <v>3229.2809999999999</v>
      </c>
      <c r="Q76">
        <v>3269.893</v>
      </c>
      <c r="R76">
        <v>3296.444</v>
      </c>
      <c r="S76">
        <v>3323.0189999999998</v>
      </c>
      <c r="T76">
        <v>3343.0949999999998</v>
      </c>
      <c r="U76">
        <v>3355.6089999999999</v>
      </c>
      <c r="V76">
        <v>3371.0920000000001</v>
      </c>
      <c r="W76">
        <v>3201.0439999999999</v>
      </c>
      <c r="X76">
        <v>3023.4740000000002</v>
      </c>
      <c r="Y76">
        <v>3005.9160000000002</v>
      </c>
      <c r="Z76">
        <v>3159.8040000000001</v>
      </c>
      <c r="AA76">
        <v>3292.3980000000001</v>
      </c>
      <c r="AB76">
        <v>3297.7379999999998</v>
      </c>
      <c r="AC76">
        <v>3242.3820000000001</v>
      </c>
      <c r="AD76">
        <v>3180.0129999999999</v>
      </c>
      <c r="AE76">
        <v>3120.3069999999998</v>
      </c>
      <c r="AF76">
        <v>3066.3470000000002</v>
      </c>
      <c r="AG76">
        <v>3017.7089999999998</v>
      </c>
      <c r="AH76">
        <v>2972.3130000000001</v>
      </c>
      <c r="AI76">
        <v>2928.7460000000001</v>
      </c>
      <c r="AJ76">
        <v>2885.797</v>
      </c>
      <c r="AK76">
        <v>2844.2269999999999</v>
      </c>
      <c r="AL76">
        <v>2803.8249999999998</v>
      </c>
      <c r="AM76">
        <v>2763.8139999999999</v>
      </c>
      <c r="AN76">
        <v>2724.0569999999998</v>
      </c>
      <c r="AO76">
        <v>2684.0929999999998</v>
      </c>
      <c r="AP76">
        <v>2646.9250000000002</v>
      </c>
      <c r="AQ76">
        <v>2612.9430000000002</v>
      </c>
      <c r="AR76">
        <v>2581.9299999999998</v>
      </c>
      <c r="AS76">
        <v>2554.1689999999999</v>
      </c>
      <c r="AT76">
        <v>2528.3389999999999</v>
      </c>
      <c r="AU76">
        <v>2503.337</v>
      </c>
      <c r="AV76">
        <v>2479.75</v>
      </c>
      <c r="AW76">
        <v>2458.3020000000001</v>
      </c>
      <c r="AX76">
        <v>2438.41</v>
      </c>
      <c r="AY76">
        <v>2420.4119999999998</v>
      </c>
      <c r="AZ76">
        <v>2405.2159999999999</v>
      </c>
      <c r="BA76">
        <v>2391.9259999999999</v>
      </c>
      <c r="BB76">
        <v>2380.5880000000002</v>
      </c>
      <c r="BC76">
        <v>2370.567</v>
      </c>
      <c r="BD76">
        <v>2360.5</v>
      </c>
      <c r="BE76">
        <v>2350.6080000000002</v>
      </c>
      <c r="BF76">
        <v>2341.7939999999999</v>
      </c>
      <c r="BG76">
        <v>11.29</v>
      </c>
    </row>
    <row r="77" spans="1:59">
      <c r="A77" t="s">
        <v>426</v>
      </c>
      <c r="B77" t="s">
        <v>33</v>
      </c>
      <c r="C77" t="s">
        <v>427</v>
      </c>
      <c r="D77">
        <v>624</v>
      </c>
      <c r="E77" t="s">
        <v>428</v>
      </c>
      <c r="F77" t="s">
        <v>3</v>
      </c>
      <c r="G77" t="s">
        <v>429</v>
      </c>
      <c r="H77">
        <v>2572.971</v>
      </c>
      <c r="I77">
        <v>2680.0720000000001</v>
      </c>
      <c r="J77">
        <v>2797.212</v>
      </c>
      <c r="K77">
        <v>2909.0610000000001</v>
      </c>
      <c r="L77">
        <v>3005.1489999999999</v>
      </c>
      <c r="M77">
        <v>3062.991</v>
      </c>
      <c r="N77">
        <v>3096.9989999999998</v>
      </c>
      <c r="O77">
        <v>3184.3359999999998</v>
      </c>
      <c r="P77">
        <v>3296.4079999999999</v>
      </c>
      <c r="Q77">
        <v>3412.413</v>
      </c>
      <c r="R77">
        <v>3557.2539999999999</v>
      </c>
      <c r="S77">
        <v>3715.067</v>
      </c>
      <c r="T77">
        <v>3870.6680000000001</v>
      </c>
      <c r="U77">
        <v>4010.56</v>
      </c>
      <c r="V77">
        <v>4167.1019999999999</v>
      </c>
      <c r="W77">
        <v>3970.8420000000001</v>
      </c>
      <c r="X77">
        <v>4089.424</v>
      </c>
      <c r="Y77">
        <v>4287.6210000000001</v>
      </c>
      <c r="Z77">
        <v>4568.0749999999998</v>
      </c>
      <c r="AA77">
        <v>4826.7780000000002</v>
      </c>
      <c r="AB77">
        <v>4988.9229999999998</v>
      </c>
      <c r="AC77">
        <v>5077.3580000000002</v>
      </c>
      <c r="AD77">
        <v>5147.5379999999996</v>
      </c>
      <c r="AE77">
        <v>5214.8459999999995</v>
      </c>
      <c r="AF77">
        <v>5284.9459999999999</v>
      </c>
      <c r="AG77">
        <v>5357.7150000000001</v>
      </c>
      <c r="AH77">
        <v>5429.866</v>
      </c>
      <c r="AI77">
        <v>5498.7569999999996</v>
      </c>
      <c r="AJ77">
        <v>5562.0129999999999</v>
      </c>
      <c r="AK77">
        <v>5620.8850000000002</v>
      </c>
      <c r="AL77">
        <v>5674.857</v>
      </c>
      <c r="AM77">
        <v>5722.2269999999999</v>
      </c>
      <c r="AN77">
        <v>5762.4340000000002</v>
      </c>
      <c r="AO77">
        <v>5794.44</v>
      </c>
      <c r="AP77">
        <v>5824.7619999999997</v>
      </c>
      <c r="AQ77">
        <v>5854.4750000000004</v>
      </c>
      <c r="AR77">
        <v>5883.2830000000004</v>
      </c>
      <c r="AS77">
        <v>5912.0540000000001</v>
      </c>
      <c r="AT77">
        <v>5937.866</v>
      </c>
      <c r="AU77">
        <v>5958.1409999999996</v>
      </c>
      <c r="AV77">
        <v>5974.3280000000004</v>
      </c>
      <c r="AW77">
        <v>5988.2969999999996</v>
      </c>
      <c r="AX77">
        <v>5998.69</v>
      </c>
      <c r="AY77">
        <v>6006.42</v>
      </c>
      <c r="AZ77">
        <v>6013.8959999999997</v>
      </c>
      <c r="BA77">
        <v>6018.9669999999996</v>
      </c>
      <c r="BB77">
        <v>6021.8280000000004</v>
      </c>
      <c r="BC77">
        <v>6020.9040000000005</v>
      </c>
      <c r="BD77">
        <v>6012.9840000000004</v>
      </c>
      <c r="BE77">
        <v>5998.4040000000005</v>
      </c>
      <c r="BF77">
        <v>5979.7039999999997</v>
      </c>
      <c r="BG77">
        <v>9.3800000000000008</v>
      </c>
    </row>
    <row r="78" spans="1:59">
      <c r="A78" t="s">
        <v>430</v>
      </c>
      <c r="B78" t="s">
        <v>33</v>
      </c>
      <c r="C78" t="s">
        <v>431</v>
      </c>
      <c r="D78">
        <v>711</v>
      </c>
      <c r="E78" t="s">
        <v>432</v>
      </c>
      <c r="F78" t="s">
        <v>3</v>
      </c>
      <c r="G78" t="s">
        <v>433</v>
      </c>
      <c r="H78">
        <v>385.11399999999998</v>
      </c>
      <c r="I78">
        <v>397.416</v>
      </c>
      <c r="J78">
        <v>409.55200000000002</v>
      </c>
      <c r="K78">
        <v>411.87099999999998</v>
      </c>
      <c r="L78">
        <v>400.041</v>
      </c>
      <c r="M78">
        <v>397.06799999999998</v>
      </c>
      <c r="N78">
        <v>398.58600000000001</v>
      </c>
      <c r="O78">
        <v>411.726</v>
      </c>
      <c r="P78">
        <v>426.77199999999999</v>
      </c>
      <c r="Q78">
        <v>444.22800000000001</v>
      </c>
      <c r="R78">
        <v>455.80799999999999</v>
      </c>
      <c r="S78">
        <v>472.25700000000001</v>
      </c>
      <c r="T78">
        <v>485.839</v>
      </c>
      <c r="U78">
        <v>501.69200000000001</v>
      </c>
      <c r="V78">
        <v>515.54600000000005</v>
      </c>
      <c r="W78">
        <v>328.73</v>
      </c>
      <c r="X78">
        <v>387.40600000000001</v>
      </c>
      <c r="Y78">
        <v>499.149</v>
      </c>
      <c r="Z78">
        <v>538.32899999999995</v>
      </c>
      <c r="AA78">
        <v>579.75599999999997</v>
      </c>
      <c r="AB78">
        <v>607.65099999999995</v>
      </c>
      <c r="AC78">
        <v>601.03399999999999</v>
      </c>
      <c r="AD78">
        <v>589.67100000000005</v>
      </c>
      <c r="AE78">
        <v>585.31100000000004</v>
      </c>
      <c r="AF78">
        <v>590.78899999999999</v>
      </c>
      <c r="AG78">
        <v>601.93100000000004</v>
      </c>
      <c r="AH78">
        <v>612.36300000000006</v>
      </c>
      <c r="AI78">
        <v>621.65099999999995</v>
      </c>
      <c r="AJ78">
        <v>629.17100000000005</v>
      </c>
      <c r="AK78">
        <v>632.875</v>
      </c>
      <c r="AL78">
        <v>637.24199999999996</v>
      </c>
      <c r="AM78">
        <v>644.52099999999996</v>
      </c>
      <c r="AN78">
        <v>652.57899999999995</v>
      </c>
      <c r="AO78">
        <v>660.73</v>
      </c>
      <c r="AP78">
        <v>669.18700000000001</v>
      </c>
      <c r="AQ78">
        <v>677.75099999999998</v>
      </c>
      <c r="AR78">
        <v>686.55200000000002</v>
      </c>
      <c r="AS78">
        <v>695.1</v>
      </c>
      <c r="AT78">
        <v>703.13599999999997</v>
      </c>
      <c r="AU78">
        <v>710.56100000000004</v>
      </c>
      <c r="AV78">
        <v>717.32100000000003</v>
      </c>
      <c r="AW78">
        <v>723.56600000000003</v>
      </c>
      <c r="AX78">
        <v>729.15800000000002</v>
      </c>
      <c r="AY78">
        <v>734.23900000000003</v>
      </c>
      <c r="AZ78">
        <v>739.08600000000001</v>
      </c>
      <c r="BA78">
        <v>743.73400000000004</v>
      </c>
      <c r="BB78">
        <v>748.18799999999999</v>
      </c>
      <c r="BC78">
        <v>752.22699999999998</v>
      </c>
      <c r="BD78">
        <v>755.34900000000005</v>
      </c>
      <c r="BE78">
        <v>757.69200000000001</v>
      </c>
      <c r="BF78">
        <v>759.56700000000001</v>
      </c>
      <c r="BG78">
        <v>6.9</v>
      </c>
    </row>
    <row r="79" spans="1:59">
      <c r="A79" t="s">
        <v>434</v>
      </c>
      <c r="B79" t="s">
        <v>33</v>
      </c>
      <c r="C79" t="s">
        <v>435</v>
      </c>
      <c r="D79">
        <v>712</v>
      </c>
      <c r="E79" t="s">
        <v>436</v>
      </c>
      <c r="F79" t="s">
        <v>3</v>
      </c>
      <c r="G79" t="s">
        <v>437</v>
      </c>
      <c r="H79">
        <v>120.908</v>
      </c>
      <c r="I79">
        <v>123.789</v>
      </c>
      <c r="J79">
        <v>128.90600000000001</v>
      </c>
      <c r="K79">
        <v>132.39400000000001</v>
      </c>
      <c r="L79">
        <v>128.74700000000001</v>
      </c>
      <c r="M79">
        <v>129.46199999999999</v>
      </c>
      <c r="N79">
        <v>131.75200000000001</v>
      </c>
      <c r="O79">
        <v>137.46299999999999</v>
      </c>
      <c r="P79">
        <v>142.40100000000001</v>
      </c>
      <c r="Q79">
        <v>147.38800000000001</v>
      </c>
      <c r="R79">
        <v>153.40299999999999</v>
      </c>
      <c r="S79">
        <v>159.06700000000001</v>
      </c>
      <c r="T79">
        <v>163.90199999999999</v>
      </c>
      <c r="U79">
        <v>167.79599999999999</v>
      </c>
      <c r="V79">
        <v>171.9</v>
      </c>
      <c r="W79">
        <v>130.61699999999999</v>
      </c>
      <c r="X79">
        <v>139.947</v>
      </c>
      <c r="Y79">
        <v>158.965</v>
      </c>
      <c r="Z79">
        <v>173.27799999999999</v>
      </c>
      <c r="AA79">
        <v>186.47800000000001</v>
      </c>
      <c r="AB79">
        <v>189.79900000000001</v>
      </c>
      <c r="AC79">
        <v>181.66200000000001</v>
      </c>
      <c r="AD79">
        <v>172.62799999999999</v>
      </c>
      <c r="AE79">
        <v>166.16</v>
      </c>
      <c r="AF79">
        <v>162.828</v>
      </c>
      <c r="AG79">
        <v>161.25</v>
      </c>
      <c r="AH79">
        <v>159.61799999999999</v>
      </c>
      <c r="AI79">
        <v>157.833</v>
      </c>
      <c r="AJ79">
        <v>155.76300000000001</v>
      </c>
      <c r="AK79">
        <v>152.93600000000001</v>
      </c>
      <c r="AL79">
        <v>150.47499999999999</v>
      </c>
      <c r="AM79">
        <v>148.88499999999999</v>
      </c>
      <c r="AN79">
        <v>147.63200000000001</v>
      </c>
      <c r="AO79">
        <v>146.548</v>
      </c>
      <c r="AP79">
        <v>145.673</v>
      </c>
      <c r="AQ79">
        <v>144.959</v>
      </c>
      <c r="AR79">
        <v>144.43100000000001</v>
      </c>
      <c r="AS79">
        <v>143.98599999999999</v>
      </c>
      <c r="AT79">
        <v>143.572</v>
      </c>
      <c r="AU79">
        <v>143.173</v>
      </c>
      <c r="AV79">
        <v>142.78299999999999</v>
      </c>
      <c r="AW79">
        <v>142.435</v>
      </c>
      <c r="AX79">
        <v>142.10499999999999</v>
      </c>
      <c r="AY79">
        <v>141.82300000000001</v>
      </c>
      <c r="AZ79">
        <v>141.64500000000001</v>
      </c>
      <c r="BA79">
        <v>141.57599999999999</v>
      </c>
      <c r="BB79">
        <v>141.62</v>
      </c>
      <c r="BC79">
        <v>141.73599999999999</v>
      </c>
      <c r="BD79">
        <v>141.83600000000001</v>
      </c>
      <c r="BE79">
        <v>141.94499999999999</v>
      </c>
      <c r="BF79">
        <v>142.12100000000001</v>
      </c>
      <c r="BG79">
        <v>4.41</v>
      </c>
    </row>
    <row r="80" spans="1:59">
      <c r="A80" t="s">
        <v>438</v>
      </c>
      <c r="B80" t="s">
        <v>33</v>
      </c>
      <c r="C80" t="s">
        <v>439</v>
      </c>
      <c r="D80">
        <v>713</v>
      </c>
      <c r="E80" t="s">
        <v>440</v>
      </c>
      <c r="F80" t="s">
        <v>3</v>
      </c>
      <c r="G80" t="s">
        <v>441</v>
      </c>
      <c r="H80">
        <v>1383.327</v>
      </c>
      <c r="I80">
        <v>1399.9259999999999</v>
      </c>
      <c r="J80">
        <v>1428.366</v>
      </c>
      <c r="K80">
        <v>1442.2760000000001</v>
      </c>
      <c r="L80">
        <v>1393.127</v>
      </c>
      <c r="M80">
        <v>1381.7149999999999</v>
      </c>
      <c r="N80">
        <v>1398.144</v>
      </c>
      <c r="O80">
        <v>1431.634</v>
      </c>
      <c r="P80">
        <v>1468.655</v>
      </c>
      <c r="Q80">
        <v>1508.1220000000001</v>
      </c>
      <c r="R80">
        <v>1559.1980000000001</v>
      </c>
      <c r="S80">
        <v>1613.8630000000001</v>
      </c>
      <c r="T80">
        <v>1655.577</v>
      </c>
      <c r="U80">
        <v>1699.0889999999999</v>
      </c>
      <c r="V80">
        <v>1746.385</v>
      </c>
      <c r="W80">
        <v>1271.077</v>
      </c>
      <c r="X80">
        <v>1455.58</v>
      </c>
      <c r="Y80">
        <v>1657.3140000000001</v>
      </c>
      <c r="Z80">
        <v>1780.3789999999999</v>
      </c>
      <c r="AA80">
        <v>1846.5129999999999</v>
      </c>
      <c r="AB80">
        <v>1877.827</v>
      </c>
      <c r="AC80">
        <v>1834.0719999999999</v>
      </c>
      <c r="AD80">
        <v>1777.511</v>
      </c>
      <c r="AE80">
        <v>1743.76</v>
      </c>
      <c r="AF80">
        <v>1740.42</v>
      </c>
      <c r="AG80">
        <v>1754.3340000000001</v>
      </c>
      <c r="AH80">
        <v>1766.539</v>
      </c>
      <c r="AI80">
        <v>1775.75</v>
      </c>
      <c r="AJ80">
        <v>1780.44</v>
      </c>
      <c r="AK80">
        <v>1774.934</v>
      </c>
      <c r="AL80">
        <v>1771.989</v>
      </c>
      <c r="AM80">
        <v>1777.7819999999999</v>
      </c>
      <c r="AN80">
        <v>1786.239</v>
      </c>
      <c r="AO80">
        <v>1795.548</v>
      </c>
      <c r="AP80">
        <v>1806.2570000000001</v>
      </c>
      <c r="AQ80">
        <v>1817.825</v>
      </c>
      <c r="AR80">
        <v>1830.63</v>
      </c>
      <c r="AS80">
        <v>1843.3520000000001</v>
      </c>
      <c r="AT80">
        <v>1855.3520000000001</v>
      </c>
      <c r="AU80">
        <v>1866.4159999999999</v>
      </c>
      <c r="AV80">
        <v>1876.433</v>
      </c>
      <c r="AW80">
        <v>1885.835</v>
      </c>
      <c r="AX80">
        <v>1894.2629999999999</v>
      </c>
      <c r="AY80">
        <v>1902.1179999999999</v>
      </c>
      <c r="AZ80">
        <v>1910.1410000000001</v>
      </c>
      <c r="BA80">
        <v>1918.454</v>
      </c>
      <c r="BB80">
        <v>1927.0830000000001</v>
      </c>
      <c r="BC80">
        <v>1935.4570000000001</v>
      </c>
      <c r="BD80">
        <v>1942.2429999999999</v>
      </c>
      <c r="BE80">
        <v>1947.8689999999999</v>
      </c>
      <c r="BF80">
        <v>1953.133</v>
      </c>
      <c r="BG80">
        <v>2.08</v>
      </c>
    </row>
    <row r="81" spans="1:59">
      <c r="A81" t="s">
        <v>442</v>
      </c>
      <c r="B81" t="s">
        <v>33</v>
      </c>
      <c r="C81" t="s">
        <v>443</v>
      </c>
      <c r="D81">
        <v>721</v>
      </c>
      <c r="E81" t="s">
        <v>444</v>
      </c>
      <c r="F81" t="s">
        <v>3</v>
      </c>
      <c r="G81" t="s">
        <v>445</v>
      </c>
      <c r="H81">
        <v>1836.049</v>
      </c>
      <c r="I81">
        <v>1852.307</v>
      </c>
      <c r="J81">
        <v>1882.896</v>
      </c>
      <c r="K81">
        <v>1886.203</v>
      </c>
      <c r="L81">
        <v>1769.52</v>
      </c>
      <c r="M81">
        <v>1764.098</v>
      </c>
      <c r="N81">
        <v>1798.2660000000001</v>
      </c>
      <c r="O81">
        <v>1828.1780000000001</v>
      </c>
      <c r="P81">
        <v>1860.825</v>
      </c>
      <c r="Q81">
        <v>1896.4749999999999</v>
      </c>
      <c r="R81">
        <v>1929.07</v>
      </c>
      <c r="S81">
        <v>1959.979</v>
      </c>
      <c r="T81">
        <v>1995.338</v>
      </c>
      <c r="U81">
        <v>2027.0709999999999</v>
      </c>
      <c r="V81">
        <v>2063.817</v>
      </c>
      <c r="W81">
        <v>1406.8979999999999</v>
      </c>
      <c r="X81">
        <v>1499.1020000000001</v>
      </c>
      <c r="Y81">
        <v>1770.125</v>
      </c>
      <c r="Z81">
        <v>1879.2909999999999</v>
      </c>
      <c r="AA81">
        <v>1919.511</v>
      </c>
      <c r="AB81">
        <v>1910.546</v>
      </c>
      <c r="AC81">
        <v>1905.8510000000001</v>
      </c>
      <c r="AD81">
        <v>1898.999</v>
      </c>
      <c r="AE81">
        <v>1895.287</v>
      </c>
      <c r="AF81">
        <v>1894.018</v>
      </c>
      <c r="AG81">
        <v>1895.0029999999999</v>
      </c>
      <c r="AH81">
        <v>1897.52</v>
      </c>
      <c r="AI81">
        <v>1901.3040000000001</v>
      </c>
      <c r="AJ81">
        <v>1905.6479999999999</v>
      </c>
      <c r="AK81">
        <v>1910.211</v>
      </c>
      <c r="AL81">
        <v>1914.704</v>
      </c>
      <c r="AM81">
        <v>1919.05</v>
      </c>
      <c r="AN81">
        <v>1922.2660000000001</v>
      </c>
      <c r="AO81">
        <v>1924.9290000000001</v>
      </c>
      <c r="AP81">
        <v>1928.6289999999999</v>
      </c>
      <c r="AQ81">
        <v>1933.67</v>
      </c>
      <c r="AR81">
        <v>1940.3520000000001</v>
      </c>
      <c r="AS81">
        <v>1947.579</v>
      </c>
      <c r="AT81">
        <v>1954.4780000000001</v>
      </c>
      <c r="AU81">
        <v>1960.914</v>
      </c>
      <c r="AV81">
        <v>1967.1289999999999</v>
      </c>
      <c r="AW81">
        <v>1973.34</v>
      </c>
      <c r="AX81">
        <v>1978.8320000000001</v>
      </c>
      <c r="AY81">
        <v>1984.567</v>
      </c>
      <c r="AZ81">
        <v>1991.222</v>
      </c>
      <c r="BA81">
        <v>1998.0119999999999</v>
      </c>
      <c r="BB81">
        <v>2004.848</v>
      </c>
      <c r="BC81">
        <v>2011.539</v>
      </c>
      <c r="BD81">
        <v>2016.4829999999999</v>
      </c>
      <c r="BE81">
        <v>2020.4590000000001</v>
      </c>
      <c r="BF81">
        <v>2024.4190000000001</v>
      </c>
      <c r="BG81">
        <v>15.05</v>
      </c>
    </row>
    <row r="82" spans="1:59">
      <c r="A82" t="s">
        <v>446</v>
      </c>
      <c r="B82" t="s">
        <v>33</v>
      </c>
      <c r="C82" t="s">
        <v>447</v>
      </c>
      <c r="D82">
        <v>722</v>
      </c>
      <c r="E82" t="s">
        <v>448</v>
      </c>
      <c r="F82" t="s">
        <v>3</v>
      </c>
      <c r="G82" t="s">
        <v>449</v>
      </c>
      <c r="H82">
        <v>9119.5679999999993</v>
      </c>
      <c r="I82">
        <v>9351.92</v>
      </c>
      <c r="J82">
        <v>9568.2209999999995</v>
      </c>
      <c r="K82">
        <v>9595.0990000000002</v>
      </c>
      <c r="L82">
        <v>9366.0810000000001</v>
      </c>
      <c r="M82">
        <v>9389.5149999999994</v>
      </c>
      <c r="N82">
        <v>9616.5939999999991</v>
      </c>
      <c r="O82">
        <v>9975.1650000000009</v>
      </c>
      <c r="P82">
        <v>10343.370999999999</v>
      </c>
      <c r="Q82">
        <v>10679.162</v>
      </c>
      <c r="R82">
        <v>11058.612999999999</v>
      </c>
      <c r="S82">
        <v>11415.674999999999</v>
      </c>
      <c r="T82">
        <v>11660.369000000001</v>
      </c>
      <c r="U82">
        <v>11839.677</v>
      </c>
      <c r="V82">
        <v>11996.218000000001</v>
      </c>
      <c r="W82">
        <v>9689.259</v>
      </c>
      <c r="X82">
        <v>10687.115</v>
      </c>
      <c r="Y82">
        <v>11684.822</v>
      </c>
      <c r="Z82">
        <v>12113.674000000001</v>
      </c>
      <c r="AA82">
        <v>12277.766</v>
      </c>
      <c r="AB82">
        <v>12409.231</v>
      </c>
      <c r="AC82">
        <v>12472.464</v>
      </c>
      <c r="AD82">
        <v>12518.998</v>
      </c>
      <c r="AE82">
        <v>12582.635</v>
      </c>
      <c r="AF82">
        <v>12658.894</v>
      </c>
      <c r="AG82">
        <v>12746.522000000001</v>
      </c>
      <c r="AH82">
        <v>12841.322</v>
      </c>
      <c r="AI82">
        <v>12941.929</v>
      </c>
      <c r="AJ82">
        <v>13043.629000000001</v>
      </c>
      <c r="AK82">
        <v>13143.987999999999</v>
      </c>
      <c r="AL82">
        <v>13240.832</v>
      </c>
      <c r="AM82">
        <v>13333.708000000001</v>
      </c>
      <c r="AN82">
        <v>13415.686</v>
      </c>
      <c r="AO82">
        <v>13490.647000000001</v>
      </c>
      <c r="AP82">
        <v>13569.28</v>
      </c>
      <c r="AQ82">
        <v>13653.933000000001</v>
      </c>
      <c r="AR82">
        <v>13746.843999999999</v>
      </c>
      <c r="AS82">
        <v>13840.172</v>
      </c>
      <c r="AT82">
        <v>13927.74</v>
      </c>
      <c r="AU82">
        <v>14008.498</v>
      </c>
      <c r="AV82">
        <v>14083.968000000001</v>
      </c>
      <c r="AW82">
        <v>14155.724</v>
      </c>
      <c r="AX82">
        <v>14218.623</v>
      </c>
      <c r="AY82">
        <v>14279.505999999999</v>
      </c>
      <c r="AZ82">
        <v>14343.111000000001</v>
      </c>
      <c r="BA82">
        <v>14403.766</v>
      </c>
      <c r="BB82">
        <v>14460.798000000001</v>
      </c>
      <c r="BC82">
        <v>14512.978999999999</v>
      </c>
      <c r="BD82">
        <v>14550.39</v>
      </c>
      <c r="BE82">
        <v>14577.357</v>
      </c>
      <c r="BF82">
        <v>14600.334999999999</v>
      </c>
      <c r="BG82">
        <v>2.33</v>
      </c>
    </row>
    <row r="83" spans="1:59">
      <c r="A83" t="s">
        <v>450</v>
      </c>
      <c r="B83" t="s">
        <v>33</v>
      </c>
      <c r="C83" t="s">
        <v>451</v>
      </c>
      <c r="D83">
        <v>811</v>
      </c>
      <c r="E83" t="s">
        <v>452</v>
      </c>
      <c r="F83" t="s">
        <v>3</v>
      </c>
      <c r="G83" t="s">
        <v>453</v>
      </c>
      <c r="H83">
        <v>1358.6120000000001</v>
      </c>
      <c r="I83">
        <v>1365.692</v>
      </c>
      <c r="J83">
        <v>1373.27</v>
      </c>
      <c r="K83">
        <v>1342.248</v>
      </c>
      <c r="L83">
        <v>1261.482</v>
      </c>
      <c r="M83">
        <v>1252.1089999999999</v>
      </c>
      <c r="N83">
        <v>1282.0640000000001</v>
      </c>
      <c r="O83">
        <v>1302.4760000000001</v>
      </c>
      <c r="P83">
        <v>1325.2239999999999</v>
      </c>
      <c r="Q83">
        <v>1358.04</v>
      </c>
      <c r="R83">
        <v>1394.3209999999999</v>
      </c>
      <c r="S83">
        <v>1415.278</v>
      </c>
      <c r="T83">
        <v>1430.3330000000001</v>
      </c>
      <c r="U83">
        <v>1449.6579999999999</v>
      </c>
      <c r="V83">
        <v>1474.82</v>
      </c>
      <c r="W83">
        <v>1403.5740000000001</v>
      </c>
      <c r="X83">
        <v>1464.2270000000001</v>
      </c>
      <c r="Y83">
        <v>1524.0640000000001</v>
      </c>
      <c r="Z83">
        <v>1576.1</v>
      </c>
      <c r="AA83">
        <v>1606.06</v>
      </c>
      <c r="AB83">
        <v>1625.42</v>
      </c>
      <c r="AC83">
        <v>1632.7470000000001</v>
      </c>
      <c r="AD83">
        <v>1637.058</v>
      </c>
      <c r="AE83">
        <v>1641.578</v>
      </c>
      <c r="AF83">
        <v>1651.2619999999999</v>
      </c>
      <c r="AG83">
        <v>1663.71</v>
      </c>
      <c r="AH83">
        <v>1676.1759999999999</v>
      </c>
      <c r="AI83">
        <v>1688.664</v>
      </c>
      <c r="AJ83">
        <v>1700.24</v>
      </c>
      <c r="AK83">
        <v>1709.62</v>
      </c>
      <c r="AL83">
        <v>1719.33</v>
      </c>
      <c r="AM83">
        <v>1730.796</v>
      </c>
      <c r="AN83">
        <v>1740.711</v>
      </c>
      <c r="AO83">
        <v>1749.4780000000001</v>
      </c>
      <c r="AP83">
        <v>1758.8430000000001</v>
      </c>
      <c r="AQ83">
        <v>1768.4349999999999</v>
      </c>
      <c r="AR83">
        <v>1778.307</v>
      </c>
      <c r="AS83">
        <v>1788.184</v>
      </c>
      <c r="AT83">
        <v>1798.3869999999999</v>
      </c>
      <c r="AU83">
        <v>1808.771</v>
      </c>
      <c r="AV83">
        <v>1818.421</v>
      </c>
      <c r="AW83">
        <v>1827.3320000000001</v>
      </c>
      <c r="AX83">
        <v>1835.143</v>
      </c>
      <c r="AY83">
        <v>1842.47</v>
      </c>
      <c r="AZ83">
        <v>1850.5360000000001</v>
      </c>
      <c r="BA83">
        <v>1859.624</v>
      </c>
      <c r="BB83">
        <v>1868.91</v>
      </c>
      <c r="BC83">
        <v>1877.8869999999999</v>
      </c>
      <c r="BD83">
        <v>1886.0740000000001</v>
      </c>
      <c r="BE83">
        <v>1892.76</v>
      </c>
      <c r="BF83">
        <v>1898.261</v>
      </c>
      <c r="BG83">
        <v>0.97</v>
      </c>
    </row>
    <row r="84" spans="1:59">
      <c r="A84" t="s">
        <v>454</v>
      </c>
      <c r="B84" t="s">
        <v>33</v>
      </c>
      <c r="C84" t="s">
        <v>455</v>
      </c>
      <c r="D84">
        <v>812</v>
      </c>
      <c r="E84" t="s">
        <v>456</v>
      </c>
      <c r="F84" t="s">
        <v>3</v>
      </c>
      <c r="G84" t="s">
        <v>457</v>
      </c>
      <c r="H84">
        <v>1404.2929999999999</v>
      </c>
      <c r="I84">
        <v>1415.6579999999999</v>
      </c>
      <c r="J84">
        <v>1440.32</v>
      </c>
      <c r="K84">
        <v>1450.89</v>
      </c>
      <c r="L84">
        <v>1411.011</v>
      </c>
      <c r="M84">
        <v>1396.893</v>
      </c>
      <c r="N84">
        <v>1413.952</v>
      </c>
      <c r="O84">
        <v>1441.6469999999999</v>
      </c>
      <c r="P84">
        <v>1472.0250000000001</v>
      </c>
      <c r="Q84">
        <v>1504.54</v>
      </c>
      <c r="R84">
        <v>1543.4469999999999</v>
      </c>
      <c r="S84">
        <v>1586.039</v>
      </c>
      <c r="T84">
        <v>1615.518</v>
      </c>
      <c r="U84">
        <v>1641.81</v>
      </c>
      <c r="V84">
        <v>1672.894</v>
      </c>
      <c r="W84">
        <v>1368.806</v>
      </c>
      <c r="X84">
        <v>1496.5419999999999</v>
      </c>
      <c r="Y84">
        <v>1617.097</v>
      </c>
      <c r="Z84">
        <v>1670.9860000000001</v>
      </c>
      <c r="AA84">
        <v>1707.059</v>
      </c>
      <c r="AB84">
        <v>1749.701</v>
      </c>
      <c r="AC84">
        <v>1784.1420000000001</v>
      </c>
      <c r="AD84">
        <v>1814.5409999999999</v>
      </c>
      <c r="AE84">
        <v>1844.653</v>
      </c>
      <c r="AF84">
        <v>1880.104</v>
      </c>
      <c r="AG84">
        <v>1918.4549999999999</v>
      </c>
      <c r="AH84">
        <v>1956.5719999999999</v>
      </c>
      <c r="AI84">
        <v>1994.3679999999999</v>
      </c>
      <c r="AJ84">
        <v>2030.646</v>
      </c>
      <c r="AK84">
        <v>2063.8119999999999</v>
      </c>
      <c r="AL84">
        <v>2096.8330000000001</v>
      </c>
      <c r="AM84">
        <v>2131.4160000000002</v>
      </c>
      <c r="AN84">
        <v>2163.4949999999999</v>
      </c>
      <c r="AO84">
        <v>2193.4769999999999</v>
      </c>
      <c r="AP84">
        <v>2223.4349999999999</v>
      </c>
      <c r="AQ84">
        <v>2252.85</v>
      </c>
      <c r="AR84">
        <v>2281.761</v>
      </c>
      <c r="AS84">
        <v>2309.7730000000001</v>
      </c>
      <c r="AT84">
        <v>2337.239</v>
      </c>
      <c r="AU84">
        <v>2363.96</v>
      </c>
      <c r="AV84">
        <v>2388.703</v>
      </c>
      <c r="AW84">
        <v>2411.4340000000002</v>
      </c>
      <c r="AX84">
        <v>2431.636</v>
      </c>
      <c r="AY84">
        <v>2450.0549999999998</v>
      </c>
      <c r="AZ84">
        <v>2468.29</v>
      </c>
      <c r="BA84">
        <v>2486.7199999999998</v>
      </c>
      <c r="BB84">
        <v>2504.2330000000002</v>
      </c>
      <c r="BC84">
        <v>2520.1219999999998</v>
      </c>
      <c r="BD84">
        <v>2533.6610000000001</v>
      </c>
      <c r="BE84">
        <v>2543.8960000000002</v>
      </c>
      <c r="BF84">
        <v>2551.2489999999998</v>
      </c>
      <c r="BG84">
        <v>1.33</v>
      </c>
    </row>
    <row r="85" spans="1:59">
      <c r="A85" t="s">
        <v>458</v>
      </c>
      <c r="B85" t="s">
        <v>33</v>
      </c>
      <c r="C85" t="s">
        <v>459</v>
      </c>
      <c r="D85">
        <v>813</v>
      </c>
      <c r="E85" t="s">
        <v>460</v>
      </c>
      <c r="F85" t="s">
        <v>3</v>
      </c>
      <c r="G85" t="s">
        <v>461</v>
      </c>
      <c r="H85">
        <v>2556.2950000000001</v>
      </c>
      <c r="I85">
        <v>2569.5329999999999</v>
      </c>
      <c r="J85">
        <v>2599.3020000000001</v>
      </c>
      <c r="K85">
        <v>2640.1790000000001</v>
      </c>
      <c r="L85">
        <v>2607.1559999999999</v>
      </c>
      <c r="M85">
        <v>2572.6149999999998</v>
      </c>
      <c r="N85">
        <v>2569.9090000000001</v>
      </c>
      <c r="O85">
        <v>2602.2930000000001</v>
      </c>
      <c r="P85">
        <v>2623.6260000000002</v>
      </c>
      <c r="Q85">
        <v>2654.0459999999998</v>
      </c>
      <c r="R85">
        <v>2653.415</v>
      </c>
      <c r="S85">
        <v>2680.6750000000002</v>
      </c>
      <c r="T85">
        <v>2683.14</v>
      </c>
      <c r="U85">
        <v>2703.982</v>
      </c>
      <c r="V85">
        <v>2717.944</v>
      </c>
      <c r="W85">
        <v>2462.0529999999999</v>
      </c>
      <c r="X85">
        <v>2476.748</v>
      </c>
      <c r="Y85">
        <v>2578.0140000000001</v>
      </c>
      <c r="Z85">
        <v>2645.739</v>
      </c>
      <c r="AA85">
        <v>2708.1669999999999</v>
      </c>
      <c r="AB85">
        <v>2704.864</v>
      </c>
      <c r="AC85">
        <v>2667.2750000000001</v>
      </c>
      <c r="AD85">
        <v>2626.5050000000001</v>
      </c>
      <c r="AE85">
        <v>2588.0149999999999</v>
      </c>
      <c r="AF85">
        <v>2559.6030000000001</v>
      </c>
      <c r="AG85">
        <v>2537.3560000000002</v>
      </c>
      <c r="AH85">
        <v>2516.8649999999998</v>
      </c>
      <c r="AI85">
        <v>2498</v>
      </c>
      <c r="AJ85">
        <v>2479.261</v>
      </c>
      <c r="AK85">
        <v>2458.87</v>
      </c>
      <c r="AL85">
        <v>2440.556</v>
      </c>
      <c r="AM85">
        <v>2426.2660000000001</v>
      </c>
      <c r="AN85">
        <v>2411.31</v>
      </c>
      <c r="AO85">
        <v>2396.2809999999999</v>
      </c>
      <c r="AP85">
        <v>2383.5369999999998</v>
      </c>
      <c r="AQ85">
        <v>2372.5160000000001</v>
      </c>
      <c r="AR85">
        <v>2363.2539999999999</v>
      </c>
      <c r="AS85">
        <v>2355.3870000000002</v>
      </c>
      <c r="AT85">
        <v>2349.38</v>
      </c>
      <c r="AU85">
        <v>2344.9679999999998</v>
      </c>
      <c r="AV85">
        <v>2340.922</v>
      </c>
      <c r="AW85">
        <v>2337.2919999999999</v>
      </c>
      <c r="AX85">
        <v>2333.64</v>
      </c>
      <c r="AY85">
        <v>2330.7249999999999</v>
      </c>
      <c r="AZ85">
        <v>2330.0970000000002</v>
      </c>
      <c r="BA85">
        <v>2332.123</v>
      </c>
      <c r="BB85">
        <v>2335.7809999999999</v>
      </c>
      <c r="BC85">
        <v>2340.4319999999998</v>
      </c>
      <c r="BD85">
        <v>2345.3960000000002</v>
      </c>
      <c r="BE85">
        <v>2349.8519999999999</v>
      </c>
      <c r="BF85">
        <v>2354.2420000000002</v>
      </c>
      <c r="BG85">
        <v>8.65</v>
      </c>
    </row>
    <row r="86" spans="1:59">
      <c r="A86" t="s">
        <v>8</v>
      </c>
      <c r="B86" t="s">
        <v>33</v>
      </c>
      <c r="C86" t="s">
        <v>293</v>
      </c>
      <c r="D86" t="s">
        <v>293</v>
      </c>
      <c r="E86" t="s">
        <v>29</v>
      </c>
      <c r="F86" t="s">
        <v>3</v>
      </c>
      <c r="G86" t="s">
        <v>7</v>
      </c>
      <c r="H86">
        <v>402.54599999999999</v>
      </c>
      <c r="I86">
        <v>404.37400000000002</v>
      </c>
      <c r="J86">
        <v>404.20100000000002</v>
      </c>
      <c r="K86">
        <v>403.78699999999998</v>
      </c>
      <c r="L86">
        <v>382.995</v>
      </c>
      <c r="M86">
        <v>390.92</v>
      </c>
      <c r="N86">
        <v>397.59199999999998</v>
      </c>
      <c r="O86">
        <v>407.86900000000003</v>
      </c>
      <c r="P86">
        <v>418.03</v>
      </c>
      <c r="Q86">
        <v>427.06700000000001</v>
      </c>
      <c r="R86">
        <v>431.72300000000001</v>
      </c>
      <c r="S86">
        <v>438.65899999999999</v>
      </c>
      <c r="T86">
        <v>441.51499999999999</v>
      </c>
      <c r="U86">
        <v>448.55500000000001</v>
      </c>
      <c r="V86">
        <v>450.84199999999998</v>
      </c>
      <c r="W86">
        <v>434.91399999999999</v>
      </c>
      <c r="X86">
        <v>440.09199999999998</v>
      </c>
      <c r="Y86">
        <v>456.72800000000001</v>
      </c>
      <c r="Z86">
        <v>463.67500000000001</v>
      </c>
      <c r="AA86">
        <v>469.72</v>
      </c>
      <c r="AB86">
        <v>470.84199999999998</v>
      </c>
      <c r="AC86">
        <v>470.51499999999999</v>
      </c>
      <c r="AD86">
        <v>470.065</v>
      </c>
      <c r="AE86">
        <v>469.87200000000001</v>
      </c>
      <c r="AF86">
        <v>469.49400000000003</v>
      </c>
      <c r="AG86">
        <v>468.952</v>
      </c>
      <c r="AH86">
        <v>468.40499999999997</v>
      </c>
      <c r="AI86">
        <v>467.73</v>
      </c>
      <c r="AJ86">
        <v>467.06900000000002</v>
      </c>
      <c r="AK86">
        <v>466.37400000000002</v>
      </c>
      <c r="AL86">
        <v>465.72399999999999</v>
      </c>
      <c r="AM86">
        <v>465.017</v>
      </c>
      <c r="AN86">
        <v>464.27699999999999</v>
      </c>
      <c r="AO86">
        <v>463.52699999999999</v>
      </c>
      <c r="AP86">
        <v>462.86399999999998</v>
      </c>
      <c r="AQ86">
        <v>462.50400000000002</v>
      </c>
      <c r="AR86">
        <v>462.47699999999998</v>
      </c>
      <c r="AS86">
        <v>462.72699999999998</v>
      </c>
      <c r="AT86">
        <v>463.27300000000002</v>
      </c>
      <c r="AU86">
        <v>464.13600000000002</v>
      </c>
      <c r="AV86">
        <v>465.05399999999997</v>
      </c>
      <c r="AW86">
        <v>465.94600000000003</v>
      </c>
      <c r="AX86">
        <v>466.791</v>
      </c>
      <c r="AY86">
        <v>467.61</v>
      </c>
      <c r="AZ86">
        <v>468.44299999999998</v>
      </c>
      <c r="BA86">
        <v>469.26499999999999</v>
      </c>
      <c r="BB86">
        <v>470.07900000000001</v>
      </c>
      <c r="BC86">
        <v>470.86700000000002</v>
      </c>
      <c r="BD86">
        <v>471.59500000000003</v>
      </c>
      <c r="BE86">
        <v>472.25599999999997</v>
      </c>
      <c r="BF86">
        <v>472.86799999999999</v>
      </c>
      <c r="BG86">
        <v>2.61</v>
      </c>
    </row>
    <row r="87" spans="1:59">
      <c r="A87" t="s">
        <v>10</v>
      </c>
      <c r="B87" t="s">
        <v>33</v>
      </c>
      <c r="C87" t="s">
        <v>294</v>
      </c>
      <c r="D87" t="s">
        <v>294</v>
      </c>
      <c r="E87" t="s">
        <v>30</v>
      </c>
      <c r="F87" t="s">
        <v>3</v>
      </c>
      <c r="G87" t="s">
        <v>9</v>
      </c>
      <c r="H87">
        <v>2656.172</v>
      </c>
      <c r="I87">
        <v>2579.0050000000001</v>
      </c>
      <c r="J87">
        <v>2664.8490000000002</v>
      </c>
      <c r="K87">
        <v>2629.069</v>
      </c>
      <c r="L87">
        <v>2623.9540000000002</v>
      </c>
      <c r="M87">
        <v>2635.9789999999998</v>
      </c>
      <c r="N87">
        <v>2639.0259999999998</v>
      </c>
      <c r="O87">
        <v>2622.9969999999998</v>
      </c>
      <c r="P87">
        <v>2647.9459999999999</v>
      </c>
      <c r="Q87">
        <v>2649.0149999999999</v>
      </c>
      <c r="R87">
        <v>2650.989</v>
      </c>
      <c r="S87">
        <v>2644.0239999999999</v>
      </c>
      <c r="T87">
        <v>2622.027</v>
      </c>
      <c r="U87">
        <v>2617.0309999999999</v>
      </c>
      <c r="V87">
        <v>2586.0650000000001</v>
      </c>
      <c r="W87">
        <v>2577</v>
      </c>
      <c r="X87">
        <v>2573.0149999999999</v>
      </c>
      <c r="Y87">
        <v>2567.0079999999998</v>
      </c>
      <c r="Z87">
        <v>2591.817</v>
      </c>
      <c r="AA87">
        <v>2628.3069999999998</v>
      </c>
      <c r="AB87">
        <v>2637.9989999999998</v>
      </c>
      <c r="AC87">
        <v>2644.35</v>
      </c>
      <c r="AD87">
        <v>2648.498</v>
      </c>
      <c r="AE87">
        <v>2650.6709999999998</v>
      </c>
      <c r="AF87">
        <v>2650.3739999999998</v>
      </c>
      <c r="AG87">
        <v>2647.9839999999999</v>
      </c>
      <c r="AH87">
        <v>2642.6509999999998</v>
      </c>
      <c r="AI87">
        <v>2634.9659999999999</v>
      </c>
      <c r="AJ87">
        <v>2625.24</v>
      </c>
      <c r="AK87">
        <v>2613.9760000000001</v>
      </c>
      <c r="AL87">
        <v>2602.3890000000001</v>
      </c>
      <c r="AM87">
        <v>2591.5349999999999</v>
      </c>
      <c r="AN87">
        <v>2581.1179999999999</v>
      </c>
      <c r="AO87">
        <v>2571.105</v>
      </c>
      <c r="AP87">
        <v>2561.4470000000001</v>
      </c>
      <c r="AQ87">
        <v>2552.0520000000001</v>
      </c>
      <c r="AR87">
        <v>2542.5540000000001</v>
      </c>
      <c r="AS87">
        <v>2532.7469999999998</v>
      </c>
      <c r="AT87">
        <v>2522.6109999999999</v>
      </c>
      <c r="AU87">
        <v>2512.61</v>
      </c>
      <c r="AV87">
        <v>2502.9090000000001</v>
      </c>
      <c r="AW87">
        <v>2493.2469999999998</v>
      </c>
      <c r="AX87">
        <v>2483.797</v>
      </c>
      <c r="AY87">
        <v>2474.3910000000001</v>
      </c>
      <c r="AZ87">
        <v>2465.2089999999998</v>
      </c>
      <c r="BA87">
        <v>2456.154</v>
      </c>
      <c r="BB87">
        <v>2447.2809999999999</v>
      </c>
      <c r="BC87">
        <v>2438.991</v>
      </c>
      <c r="BD87">
        <v>2431.634</v>
      </c>
      <c r="BE87">
        <v>2425.165</v>
      </c>
      <c r="BF87">
        <v>2419.7640000000001</v>
      </c>
      <c r="BG87">
        <v>6.39</v>
      </c>
    </row>
    <row r="88" spans="1:59">
      <c r="A88" t="s">
        <v>12</v>
      </c>
      <c r="B88" t="s">
        <v>33</v>
      </c>
      <c r="C88" t="s">
        <v>295</v>
      </c>
      <c r="D88">
        <v>92</v>
      </c>
      <c r="E88" t="s">
        <v>31</v>
      </c>
      <c r="F88" t="s">
        <v>3</v>
      </c>
      <c r="G88" t="s">
        <v>11</v>
      </c>
      <c r="H88">
        <v>21940.932000000001</v>
      </c>
      <c r="I88">
        <v>22110.922999999999</v>
      </c>
      <c r="J88">
        <v>22353.688999999998</v>
      </c>
      <c r="K88">
        <v>22658.704000000002</v>
      </c>
      <c r="L88">
        <v>22723.41</v>
      </c>
      <c r="M88">
        <v>22701.627</v>
      </c>
      <c r="N88">
        <v>22393.188999999998</v>
      </c>
      <c r="O88">
        <v>22237.953000000001</v>
      </c>
      <c r="P88">
        <v>22192.735000000001</v>
      </c>
      <c r="Q88">
        <v>22249.517</v>
      </c>
      <c r="R88">
        <v>22372.911</v>
      </c>
      <c r="S88">
        <v>22563.882000000001</v>
      </c>
      <c r="T88">
        <v>22689.03</v>
      </c>
      <c r="U88">
        <v>22796.375</v>
      </c>
      <c r="V88">
        <v>22934.575000000001</v>
      </c>
      <c r="W88">
        <v>22240.183000000001</v>
      </c>
      <c r="X88">
        <v>22126.025000000001</v>
      </c>
      <c r="Y88">
        <v>22410.267</v>
      </c>
      <c r="Z88">
        <v>22947.157999999999</v>
      </c>
      <c r="AA88">
        <v>23480.227999999999</v>
      </c>
      <c r="AB88">
        <v>23715.309000000001</v>
      </c>
      <c r="AC88">
        <v>23762.376</v>
      </c>
      <c r="AD88">
        <v>23803.395</v>
      </c>
      <c r="AE88">
        <v>23852.075000000001</v>
      </c>
      <c r="AF88">
        <v>23941.246999999999</v>
      </c>
      <c r="AG88">
        <v>24048.909</v>
      </c>
      <c r="AH88">
        <v>24143.965</v>
      </c>
      <c r="AI88">
        <v>24243.142</v>
      </c>
      <c r="AJ88">
        <v>24350.147000000001</v>
      </c>
      <c r="AK88">
        <v>24432.322</v>
      </c>
      <c r="AL88">
        <v>24489.214</v>
      </c>
      <c r="AM88">
        <v>24554.172999999999</v>
      </c>
      <c r="AN88">
        <v>24629.557000000001</v>
      </c>
      <c r="AO88">
        <v>24719.587</v>
      </c>
      <c r="AP88">
        <v>24820.758000000002</v>
      </c>
      <c r="AQ88">
        <v>24927.190999999999</v>
      </c>
      <c r="AR88">
        <v>25034.024000000001</v>
      </c>
      <c r="AS88">
        <v>25135.491000000002</v>
      </c>
      <c r="AT88">
        <v>25233.296999999999</v>
      </c>
      <c r="AU88">
        <v>25320.748</v>
      </c>
      <c r="AV88">
        <v>25402.564999999999</v>
      </c>
      <c r="AW88">
        <v>25478.412</v>
      </c>
      <c r="AX88">
        <v>25555.813999999998</v>
      </c>
      <c r="AY88">
        <v>25630.39</v>
      </c>
      <c r="AZ88">
        <v>25699.252</v>
      </c>
      <c r="BA88">
        <v>25765.561000000002</v>
      </c>
      <c r="BB88">
        <v>25830.850999999999</v>
      </c>
      <c r="BC88">
        <v>25897.183000000001</v>
      </c>
      <c r="BD88">
        <v>25963.531999999999</v>
      </c>
      <c r="BE88">
        <v>26026.477999999999</v>
      </c>
      <c r="BF88">
        <v>26090.021000000001</v>
      </c>
      <c r="BG88">
        <v>20.32</v>
      </c>
    </row>
    <row r="89" spans="1:59">
      <c r="A89" t="s">
        <v>14</v>
      </c>
      <c r="B89" t="s">
        <v>33</v>
      </c>
      <c r="C89" t="s">
        <v>296</v>
      </c>
      <c r="D89">
        <v>814</v>
      </c>
      <c r="E89" t="s">
        <v>32</v>
      </c>
      <c r="F89" t="s">
        <v>3</v>
      </c>
      <c r="G89" t="s">
        <v>13</v>
      </c>
      <c r="H89">
        <v>184.31</v>
      </c>
      <c r="I89">
        <v>181.542</v>
      </c>
      <c r="J89">
        <v>187.25200000000001</v>
      </c>
      <c r="K89">
        <v>194.00299999999999</v>
      </c>
      <c r="L89">
        <v>198.61099999999999</v>
      </c>
      <c r="M89">
        <v>206.93100000000001</v>
      </c>
      <c r="N89">
        <v>211.91800000000001</v>
      </c>
      <c r="O89">
        <v>222.77500000000001</v>
      </c>
      <c r="P89">
        <v>223.934</v>
      </c>
      <c r="Q89">
        <v>230.40100000000001</v>
      </c>
      <c r="R89">
        <v>229.83</v>
      </c>
      <c r="S89">
        <v>229.821</v>
      </c>
      <c r="T89">
        <v>230.92</v>
      </c>
      <c r="U89">
        <v>234.70599999999999</v>
      </c>
      <c r="V89">
        <v>238.786</v>
      </c>
      <c r="W89">
        <v>217.89099999999999</v>
      </c>
      <c r="X89">
        <v>218.7</v>
      </c>
      <c r="Y89">
        <v>209.727</v>
      </c>
      <c r="Z89">
        <v>205.19800000000001</v>
      </c>
      <c r="AA89">
        <v>206.083</v>
      </c>
      <c r="AB89">
        <v>209.22800000000001</v>
      </c>
      <c r="AC89">
        <v>211.43899999999999</v>
      </c>
      <c r="AD89">
        <v>213.64099999999999</v>
      </c>
      <c r="AE89">
        <v>216.249</v>
      </c>
      <c r="AF89">
        <v>219.351</v>
      </c>
      <c r="AG89">
        <v>222.99799999999999</v>
      </c>
      <c r="AH89">
        <v>227.37899999999999</v>
      </c>
      <c r="AI89">
        <v>232.33699999999999</v>
      </c>
      <c r="AJ89">
        <v>237.78399999999999</v>
      </c>
      <c r="AK89">
        <v>243.62299999999999</v>
      </c>
      <c r="AL89">
        <v>249.70699999999999</v>
      </c>
      <c r="AM89">
        <v>255.54300000000001</v>
      </c>
      <c r="AN89">
        <v>261.06900000000002</v>
      </c>
      <c r="AO89">
        <v>266.45800000000003</v>
      </c>
      <c r="AP89">
        <v>271.75700000000001</v>
      </c>
      <c r="AQ89">
        <v>277.00299999999999</v>
      </c>
      <c r="AR89">
        <v>282.18299999999999</v>
      </c>
      <c r="AS89">
        <v>287.38</v>
      </c>
      <c r="AT89">
        <v>292.59100000000001</v>
      </c>
      <c r="AU89">
        <v>297.78100000000001</v>
      </c>
      <c r="AV89">
        <v>302.90100000000001</v>
      </c>
      <c r="AW89">
        <v>307.952</v>
      </c>
      <c r="AX89">
        <v>312.899</v>
      </c>
      <c r="AY89">
        <v>317.92399999999998</v>
      </c>
      <c r="AZ89">
        <v>322.976</v>
      </c>
      <c r="BA89">
        <v>328.11399999999998</v>
      </c>
      <c r="BB89">
        <v>333.32799999999997</v>
      </c>
      <c r="BC89">
        <v>338.46300000000002</v>
      </c>
      <c r="BD89">
        <v>343.32299999999998</v>
      </c>
      <c r="BE89">
        <v>347.86099999999999</v>
      </c>
      <c r="BF89">
        <v>352.01</v>
      </c>
      <c r="BG89">
        <v>10.71</v>
      </c>
    </row>
    <row r="90" spans="1:59">
      <c r="A90" t="s">
        <v>462</v>
      </c>
      <c r="B90" t="s">
        <v>206</v>
      </c>
      <c r="C90" t="s">
        <v>309</v>
      </c>
      <c r="D90">
        <v>211</v>
      </c>
      <c r="E90" t="s">
        <v>310</v>
      </c>
      <c r="F90" t="s">
        <v>3</v>
      </c>
      <c r="G90" t="s">
        <v>463</v>
      </c>
      <c r="H90">
        <v>70909.046000000002</v>
      </c>
      <c r="I90">
        <v>80549.445000000007</v>
      </c>
      <c r="J90">
        <v>87161.441999999995</v>
      </c>
      <c r="K90">
        <v>82501.73</v>
      </c>
      <c r="L90">
        <v>112049.781</v>
      </c>
      <c r="M90">
        <v>88668.055999999997</v>
      </c>
      <c r="N90">
        <v>88874.418999999994</v>
      </c>
      <c r="O90">
        <v>109586.3</v>
      </c>
      <c r="P90">
        <v>113768</v>
      </c>
      <c r="Q90">
        <v>126210.5</v>
      </c>
      <c r="R90">
        <v>171612.9</v>
      </c>
      <c r="S90">
        <v>178498.2</v>
      </c>
      <c r="T90">
        <v>161111.1</v>
      </c>
      <c r="U90">
        <v>151393.29999999999</v>
      </c>
      <c r="V90">
        <v>191746.7</v>
      </c>
      <c r="W90">
        <v>210241</v>
      </c>
      <c r="X90">
        <v>163545.79999999999</v>
      </c>
      <c r="Y90">
        <v>134027.29999999999</v>
      </c>
      <c r="Z90">
        <v>208581.7</v>
      </c>
      <c r="AA90">
        <v>205929.86600000001</v>
      </c>
      <c r="AB90">
        <v>196859.98199999999</v>
      </c>
      <c r="AC90">
        <v>204628.26500000001</v>
      </c>
      <c r="AD90">
        <v>210783.82800000001</v>
      </c>
      <c r="AE90">
        <v>214862.63800000001</v>
      </c>
      <c r="AF90">
        <v>219504.27299999999</v>
      </c>
      <c r="AG90">
        <v>222711.23699999999</v>
      </c>
      <c r="AH90">
        <v>223926.93100000001</v>
      </c>
      <c r="AI90">
        <v>224311.41</v>
      </c>
      <c r="AJ90">
        <v>224460.272</v>
      </c>
      <c r="AK90">
        <v>224142.97099999999</v>
      </c>
      <c r="AL90">
        <v>223558.861</v>
      </c>
      <c r="AM90">
        <v>222107.44200000001</v>
      </c>
      <c r="AN90">
        <v>219518.71299999999</v>
      </c>
      <c r="AO90">
        <v>216177.09899999999</v>
      </c>
      <c r="AP90">
        <v>212130.78700000001</v>
      </c>
      <c r="AQ90">
        <v>207498.00399999999</v>
      </c>
      <c r="AR90">
        <v>202379.27</v>
      </c>
      <c r="AS90">
        <v>197013.70800000001</v>
      </c>
      <c r="AT90">
        <v>191575.954</v>
      </c>
      <c r="AU90">
        <v>187335.78400000001</v>
      </c>
      <c r="AV90">
        <v>183784.489</v>
      </c>
      <c r="AW90">
        <v>180503.462</v>
      </c>
      <c r="AX90">
        <v>177056.27799999999</v>
      </c>
      <c r="AY90">
        <v>173611.96900000001</v>
      </c>
      <c r="AZ90">
        <v>169938.87100000001</v>
      </c>
      <c r="BA90">
        <v>166527.84299999999</v>
      </c>
      <c r="BB90">
        <v>162905.54300000001</v>
      </c>
      <c r="BC90">
        <v>159149.193</v>
      </c>
      <c r="BD90">
        <v>155338.283</v>
      </c>
      <c r="BE90">
        <v>151587.402</v>
      </c>
      <c r="BF90">
        <v>147886.60500000001</v>
      </c>
      <c r="BG90">
        <v>6.46</v>
      </c>
    </row>
    <row r="91" spans="1:59">
      <c r="A91" t="s">
        <v>464</v>
      </c>
      <c r="B91" t="s">
        <v>206</v>
      </c>
      <c r="C91" t="s">
        <v>313</v>
      </c>
      <c r="D91">
        <v>212</v>
      </c>
      <c r="E91" t="s">
        <v>314</v>
      </c>
      <c r="F91" t="s">
        <v>3</v>
      </c>
      <c r="G91" t="s">
        <v>465</v>
      </c>
      <c r="H91">
        <v>68335.199999999997</v>
      </c>
      <c r="I91">
        <v>70375.399999999994</v>
      </c>
      <c r="J91">
        <v>72322.100000000006</v>
      </c>
      <c r="K91">
        <v>66862.399999999994</v>
      </c>
      <c r="L91">
        <v>62362.8</v>
      </c>
      <c r="M91">
        <v>64368.6</v>
      </c>
      <c r="N91">
        <v>64796.6</v>
      </c>
      <c r="O91">
        <v>57841.599999999999</v>
      </c>
      <c r="P91">
        <v>58481.4</v>
      </c>
      <c r="Q91">
        <v>56695.6</v>
      </c>
      <c r="R91">
        <v>51918.9</v>
      </c>
      <c r="S91">
        <v>49775.6</v>
      </c>
      <c r="T91">
        <v>52266.400000000001</v>
      </c>
      <c r="U91">
        <v>50723.5</v>
      </c>
      <c r="V91">
        <v>51130.3</v>
      </c>
      <c r="W91">
        <v>55290.7</v>
      </c>
      <c r="X91">
        <v>55123.3</v>
      </c>
      <c r="Y91">
        <v>53693.2</v>
      </c>
      <c r="Z91">
        <v>53432</v>
      </c>
      <c r="AA91">
        <v>53680.760999999999</v>
      </c>
      <c r="AB91">
        <v>59002.987999999998</v>
      </c>
      <c r="AC91">
        <v>60271.711000000003</v>
      </c>
      <c r="AD91">
        <v>60868.597999999998</v>
      </c>
      <c r="AE91">
        <v>61428.506000000001</v>
      </c>
      <c r="AF91">
        <v>62363.008000000002</v>
      </c>
      <c r="AG91">
        <v>62976.52</v>
      </c>
      <c r="AH91">
        <v>63148.699000000001</v>
      </c>
      <c r="AI91">
        <v>62980.741000000002</v>
      </c>
      <c r="AJ91">
        <v>62671.616000000002</v>
      </c>
      <c r="AK91">
        <v>62172.684000000001</v>
      </c>
      <c r="AL91">
        <v>61699.423000000003</v>
      </c>
      <c r="AM91">
        <v>61190.148999999998</v>
      </c>
      <c r="AN91">
        <v>60510.694000000003</v>
      </c>
      <c r="AO91">
        <v>59568.523999999998</v>
      </c>
      <c r="AP91">
        <v>58652.540999999997</v>
      </c>
      <c r="AQ91">
        <v>57531.461000000003</v>
      </c>
      <c r="AR91">
        <v>56393.582999999999</v>
      </c>
      <c r="AS91">
        <v>55207.489000000001</v>
      </c>
      <c r="AT91">
        <v>53980.661</v>
      </c>
      <c r="AU91">
        <v>52959.445</v>
      </c>
      <c r="AV91">
        <v>52138.332999999999</v>
      </c>
      <c r="AW91">
        <v>51301.908000000003</v>
      </c>
      <c r="AX91">
        <v>50507.504000000001</v>
      </c>
      <c r="AY91">
        <v>49680.048999999999</v>
      </c>
      <c r="AZ91">
        <v>48822.993000000002</v>
      </c>
      <c r="BA91">
        <v>48005.724999999999</v>
      </c>
      <c r="BB91">
        <v>47163.464</v>
      </c>
      <c r="BC91">
        <v>46333.877999999997</v>
      </c>
      <c r="BD91">
        <v>45528.165000000001</v>
      </c>
      <c r="BE91">
        <v>44740.627999999997</v>
      </c>
      <c r="BF91">
        <v>43965.773000000001</v>
      </c>
      <c r="BG91">
        <v>3.96</v>
      </c>
    </row>
    <row r="92" spans="1:59">
      <c r="A92" t="s">
        <v>466</v>
      </c>
      <c r="B92" t="s">
        <v>206</v>
      </c>
      <c r="C92" t="s">
        <v>317</v>
      </c>
      <c r="D92">
        <v>213</v>
      </c>
      <c r="E92" t="s">
        <v>318</v>
      </c>
      <c r="F92" t="s">
        <v>3</v>
      </c>
      <c r="G92" t="s">
        <v>467</v>
      </c>
      <c r="H92">
        <v>33648.031000000003</v>
      </c>
      <c r="I92">
        <v>49224.84</v>
      </c>
      <c r="J92">
        <v>56033.161</v>
      </c>
      <c r="K92">
        <v>62682.7</v>
      </c>
      <c r="L92">
        <v>46908.127999999997</v>
      </c>
      <c r="M92">
        <v>52956.6</v>
      </c>
      <c r="N92">
        <v>66087.8</v>
      </c>
      <c r="O92">
        <v>69215.7</v>
      </c>
      <c r="P92">
        <v>74701.3</v>
      </c>
      <c r="Q92">
        <v>89938.6</v>
      </c>
      <c r="R92">
        <v>60700.7</v>
      </c>
      <c r="S92">
        <v>36478.300000000003</v>
      </c>
      <c r="T92">
        <v>53926.025000000001</v>
      </c>
      <c r="U92">
        <v>77476.2</v>
      </c>
      <c r="V92">
        <v>70867.3</v>
      </c>
      <c r="W92">
        <v>46907.5</v>
      </c>
      <c r="X92">
        <v>61025.7</v>
      </c>
      <c r="Y92">
        <v>80434.5</v>
      </c>
      <c r="Z92">
        <v>85550.9</v>
      </c>
      <c r="AA92">
        <v>85068.736000000004</v>
      </c>
      <c r="AB92">
        <v>85961.906000000003</v>
      </c>
      <c r="AC92">
        <v>82170.224000000002</v>
      </c>
      <c r="AD92">
        <v>79965.489000000001</v>
      </c>
      <c r="AE92">
        <v>80455.731</v>
      </c>
      <c r="AF92">
        <v>81437.298999999999</v>
      </c>
      <c r="AG92">
        <v>83302.414999999994</v>
      </c>
      <c r="AH92">
        <v>86336.034</v>
      </c>
      <c r="AI92">
        <v>90505.803</v>
      </c>
      <c r="AJ92">
        <v>94084.673999999999</v>
      </c>
      <c r="AK92">
        <v>96640.47</v>
      </c>
      <c r="AL92">
        <v>98343.572</v>
      </c>
      <c r="AM92">
        <v>99389.74</v>
      </c>
      <c r="AN92">
        <v>100079.774</v>
      </c>
      <c r="AO92">
        <v>100350.65</v>
      </c>
      <c r="AP92">
        <v>100061.803</v>
      </c>
      <c r="AQ92">
        <v>99394.702000000005</v>
      </c>
      <c r="AR92">
        <v>98620.191999999995</v>
      </c>
      <c r="AS92">
        <v>97314.876999999993</v>
      </c>
      <c r="AT92">
        <v>95459.903000000006</v>
      </c>
      <c r="AU92">
        <v>93461.968999999997</v>
      </c>
      <c r="AV92">
        <v>91635.55</v>
      </c>
      <c r="AW92">
        <v>89721.214999999997</v>
      </c>
      <c r="AX92">
        <v>87553.762000000002</v>
      </c>
      <c r="AY92">
        <v>85367.49</v>
      </c>
      <c r="AZ92">
        <v>83469.551000000007</v>
      </c>
      <c r="BA92">
        <v>81549.566000000006</v>
      </c>
      <c r="BB92">
        <v>79749.697</v>
      </c>
      <c r="BC92">
        <v>78300.171000000002</v>
      </c>
      <c r="BD92">
        <v>77147.293999999994</v>
      </c>
      <c r="BE92">
        <v>76089.459000000003</v>
      </c>
      <c r="BF92">
        <v>75057.14</v>
      </c>
      <c r="BG92">
        <v>12.7</v>
      </c>
    </row>
    <row r="93" spans="1:59">
      <c r="A93" t="s">
        <v>555</v>
      </c>
      <c r="B93" t="s">
        <v>206</v>
      </c>
      <c r="C93" t="s">
        <v>551</v>
      </c>
      <c r="D93">
        <v>221</v>
      </c>
      <c r="E93" t="s">
        <v>552</v>
      </c>
      <c r="F93" t="s">
        <v>3</v>
      </c>
      <c r="G93" t="s">
        <v>556</v>
      </c>
      <c r="H93">
        <v>239789.8</v>
      </c>
      <c r="I93">
        <v>254324.2</v>
      </c>
      <c r="J93">
        <v>260531</v>
      </c>
      <c r="K93">
        <v>276325.8</v>
      </c>
      <c r="L93">
        <v>256991.6</v>
      </c>
      <c r="M93">
        <v>290759.59999999998</v>
      </c>
      <c r="N93">
        <v>301866.5</v>
      </c>
      <c r="O93">
        <v>306228.5</v>
      </c>
      <c r="P93">
        <v>304002.40000000002</v>
      </c>
      <c r="Q93">
        <v>292728.5</v>
      </c>
      <c r="R93">
        <v>296933.40000000002</v>
      </c>
      <c r="S93">
        <v>313557.40000000002</v>
      </c>
      <c r="T93">
        <v>313710.2</v>
      </c>
      <c r="U93">
        <v>309271.3</v>
      </c>
      <c r="V93">
        <v>312518.40000000002</v>
      </c>
      <c r="W93">
        <v>331357.3</v>
      </c>
      <c r="X93">
        <v>321278.7</v>
      </c>
      <c r="Y93">
        <v>326952.40000000002</v>
      </c>
      <c r="Z93">
        <v>342977.2</v>
      </c>
      <c r="AA93">
        <v>342677.41399999999</v>
      </c>
      <c r="AB93">
        <v>350840.098</v>
      </c>
      <c r="AC93">
        <v>357554.94099999999</v>
      </c>
      <c r="AD93">
        <v>362471.46799999999</v>
      </c>
      <c r="AE93">
        <v>365119.79</v>
      </c>
      <c r="AF93">
        <v>367566.81900000002</v>
      </c>
      <c r="AG93">
        <v>370533.97</v>
      </c>
      <c r="AH93">
        <v>373525.63199999998</v>
      </c>
      <c r="AI93">
        <v>376589.288</v>
      </c>
      <c r="AJ93">
        <v>379721.09399999998</v>
      </c>
      <c r="AK93">
        <v>382752.27</v>
      </c>
      <c r="AL93">
        <v>385639.62099999998</v>
      </c>
      <c r="AM93">
        <v>388649.84299999999</v>
      </c>
      <c r="AN93">
        <v>391897.76699999999</v>
      </c>
      <c r="AO93">
        <v>394755.27299999999</v>
      </c>
      <c r="AP93">
        <v>397486.315</v>
      </c>
      <c r="AQ93">
        <v>399777.69099999999</v>
      </c>
      <c r="AR93">
        <v>401942.74099999998</v>
      </c>
      <c r="AS93">
        <v>404040.69</v>
      </c>
      <c r="AT93">
        <v>406166.10399999999</v>
      </c>
      <c r="AU93">
        <v>408305.09399999998</v>
      </c>
      <c r="AV93">
        <v>410444.87099999998</v>
      </c>
      <c r="AW93">
        <v>411928.16600000003</v>
      </c>
      <c r="AX93">
        <v>413480.62300000002</v>
      </c>
      <c r="AY93">
        <v>415207.89500000002</v>
      </c>
      <c r="AZ93">
        <v>416965.73100000003</v>
      </c>
      <c r="BA93">
        <v>418790.33299999998</v>
      </c>
      <c r="BB93">
        <v>420641.93900000001</v>
      </c>
      <c r="BC93">
        <v>422519.14399999997</v>
      </c>
      <c r="BD93">
        <v>424352.18599999999</v>
      </c>
      <c r="BE93">
        <v>426125.17700000003</v>
      </c>
      <c r="BF93">
        <v>427809.43300000002</v>
      </c>
      <c r="BG93">
        <v>1.1000000000000001</v>
      </c>
    </row>
    <row r="94" spans="1:59">
      <c r="A94" t="s">
        <v>468</v>
      </c>
      <c r="B94" t="s">
        <v>206</v>
      </c>
      <c r="C94" t="s">
        <v>321</v>
      </c>
      <c r="D94">
        <v>236</v>
      </c>
      <c r="E94" t="s">
        <v>322</v>
      </c>
      <c r="F94" t="s">
        <v>3</v>
      </c>
      <c r="G94" t="s">
        <v>469</v>
      </c>
      <c r="H94">
        <v>245706.28400000001</v>
      </c>
      <c r="I94">
        <v>240484.67600000001</v>
      </c>
      <c r="J94">
        <v>228894.30900000001</v>
      </c>
      <c r="K94">
        <v>202076.87299999999</v>
      </c>
      <c r="L94">
        <v>168421.47500000001</v>
      </c>
      <c r="M94">
        <v>158755.58600000001</v>
      </c>
      <c r="N94">
        <v>154272.421</v>
      </c>
      <c r="O94">
        <v>158053.639</v>
      </c>
      <c r="P94">
        <v>164569.85200000001</v>
      </c>
      <c r="Q94">
        <v>171284.81700000001</v>
      </c>
      <c r="R94">
        <v>183589.446</v>
      </c>
      <c r="S94">
        <v>194981.49600000001</v>
      </c>
      <c r="T94">
        <v>203996.18700000001</v>
      </c>
      <c r="U94">
        <v>209800.79</v>
      </c>
      <c r="V94">
        <v>213466.908</v>
      </c>
      <c r="W94">
        <v>208880.158</v>
      </c>
      <c r="X94">
        <v>215957.769</v>
      </c>
      <c r="Y94">
        <v>208095.05300000001</v>
      </c>
      <c r="Z94">
        <v>203254.99900000001</v>
      </c>
      <c r="AA94">
        <v>213608.82199999999</v>
      </c>
      <c r="AB94">
        <v>215451.72399999999</v>
      </c>
      <c r="AC94">
        <v>221866.818</v>
      </c>
      <c r="AD94">
        <v>225976.70499999999</v>
      </c>
      <c r="AE94">
        <v>229633.867</v>
      </c>
      <c r="AF94">
        <v>233768.94399999999</v>
      </c>
      <c r="AG94">
        <v>237754.92800000001</v>
      </c>
      <c r="AH94">
        <v>240357.4</v>
      </c>
      <c r="AI94">
        <v>243014.533</v>
      </c>
      <c r="AJ94">
        <v>245373.054</v>
      </c>
      <c r="AK94">
        <v>247353.19200000001</v>
      </c>
      <c r="AL94">
        <v>249381.94399999999</v>
      </c>
      <c r="AM94">
        <v>251574.00099999999</v>
      </c>
      <c r="AN94">
        <v>253664.14499999999</v>
      </c>
      <c r="AO94">
        <v>255660.26500000001</v>
      </c>
      <c r="AP94">
        <v>257891.57699999999</v>
      </c>
      <c r="AQ94">
        <v>259713.59400000001</v>
      </c>
      <c r="AR94">
        <v>261191.08199999999</v>
      </c>
      <c r="AS94">
        <v>262672.60600000003</v>
      </c>
      <c r="AT94">
        <v>263924.79800000001</v>
      </c>
      <c r="AU94">
        <v>265023.212</v>
      </c>
      <c r="AV94">
        <v>265926.02500000002</v>
      </c>
      <c r="AW94">
        <v>266863.17300000001</v>
      </c>
      <c r="AX94">
        <v>267936.54599999997</v>
      </c>
      <c r="AY94">
        <v>268853.88400000002</v>
      </c>
      <c r="AZ94">
        <v>269844.25699999998</v>
      </c>
      <c r="BA94">
        <v>271271.11</v>
      </c>
      <c r="BB94">
        <v>272623.54800000001</v>
      </c>
      <c r="BC94">
        <v>273776.94400000002</v>
      </c>
      <c r="BD94">
        <v>274766.95299999998</v>
      </c>
      <c r="BE94">
        <v>275733.42700000003</v>
      </c>
      <c r="BF94">
        <v>276634.75699999998</v>
      </c>
      <c r="BG94">
        <v>10.98</v>
      </c>
    </row>
    <row r="95" spans="1:59">
      <c r="A95" t="s">
        <v>470</v>
      </c>
      <c r="B95" t="s">
        <v>206</v>
      </c>
      <c r="C95" t="s">
        <v>325</v>
      </c>
      <c r="D95">
        <v>237</v>
      </c>
      <c r="E95" t="s">
        <v>326</v>
      </c>
      <c r="F95" t="s">
        <v>3</v>
      </c>
      <c r="G95" t="s">
        <v>471</v>
      </c>
      <c r="H95">
        <v>140354.21</v>
      </c>
      <c r="I95">
        <v>137998.03700000001</v>
      </c>
      <c r="J95">
        <v>137125.66699999999</v>
      </c>
      <c r="K95">
        <v>128008.86500000001</v>
      </c>
      <c r="L95">
        <v>116050.924</v>
      </c>
      <c r="M95">
        <v>115143.66800000001</v>
      </c>
      <c r="N95">
        <v>116264.77</v>
      </c>
      <c r="O95">
        <v>122354.099</v>
      </c>
      <c r="P95">
        <v>125192.609</v>
      </c>
      <c r="Q95">
        <v>128697.04399999999</v>
      </c>
      <c r="R95">
        <v>132999.747</v>
      </c>
      <c r="S95">
        <v>135290.1</v>
      </c>
      <c r="T95">
        <v>142714.497</v>
      </c>
      <c r="U95">
        <v>147801.78599999999</v>
      </c>
      <c r="V95">
        <v>150983.728</v>
      </c>
      <c r="W95">
        <v>147588.318</v>
      </c>
      <c r="X95">
        <v>148042.603</v>
      </c>
      <c r="Y95">
        <v>136722.092</v>
      </c>
      <c r="Z95">
        <v>133818.16500000001</v>
      </c>
      <c r="AA95">
        <v>139433.82800000001</v>
      </c>
      <c r="AB95">
        <v>140440.67300000001</v>
      </c>
      <c r="AC95">
        <v>145298.288</v>
      </c>
      <c r="AD95">
        <v>148655.541</v>
      </c>
      <c r="AE95">
        <v>151689.90900000001</v>
      </c>
      <c r="AF95">
        <v>155019.421</v>
      </c>
      <c r="AG95">
        <v>158228.639</v>
      </c>
      <c r="AH95">
        <v>160501.182</v>
      </c>
      <c r="AI95">
        <v>162799.29999999999</v>
      </c>
      <c r="AJ95">
        <v>164887.52600000001</v>
      </c>
      <c r="AK95">
        <v>166710.152</v>
      </c>
      <c r="AL95">
        <v>168555.98199999999</v>
      </c>
      <c r="AM95">
        <v>170502.209</v>
      </c>
      <c r="AN95">
        <v>172365.03200000001</v>
      </c>
      <c r="AO95">
        <v>174145.29699999999</v>
      </c>
      <c r="AP95">
        <v>176067.03899999999</v>
      </c>
      <c r="AQ95">
        <v>177689.80600000001</v>
      </c>
      <c r="AR95">
        <v>179057.609</v>
      </c>
      <c r="AS95">
        <v>180407.09</v>
      </c>
      <c r="AT95">
        <v>181577.72899999999</v>
      </c>
      <c r="AU95">
        <v>182617.372</v>
      </c>
      <c r="AV95">
        <v>183498.31700000001</v>
      </c>
      <c r="AW95">
        <v>184381.258</v>
      </c>
      <c r="AX95">
        <v>185337.73699999999</v>
      </c>
      <c r="AY95">
        <v>186163.44099999999</v>
      </c>
      <c r="AZ95">
        <v>187016.34299999999</v>
      </c>
      <c r="BA95">
        <v>188147.80900000001</v>
      </c>
      <c r="BB95">
        <v>189203.821</v>
      </c>
      <c r="BC95">
        <v>190098.12700000001</v>
      </c>
      <c r="BD95">
        <v>190854.36499999999</v>
      </c>
      <c r="BE95">
        <v>191569.73800000001</v>
      </c>
      <c r="BF95">
        <v>192214.72200000001</v>
      </c>
      <c r="BG95">
        <v>1.73</v>
      </c>
    </row>
    <row r="96" spans="1:59">
      <c r="A96" t="s">
        <v>472</v>
      </c>
      <c r="B96" t="s">
        <v>206</v>
      </c>
      <c r="C96" t="s">
        <v>329</v>
      </c>
      <c r="D96">
        <v>238</v>
      </c>
      <c r="E96" t="s">
        <v>330</v>
      </c>
      <c r="F96" t="s">
        <v>3</v>
      </c>
      <c r="G96" t="s">
        <v>473</v>
      </c>
      <c r="H96">
        <v>547953.36300000001</v>
      </c>
      <c r="I96">
        <v>534568.59699999995</v>
      </c>
      <c r="J96">
        <v>522183.53499999997</v>
      </c>
      <c r="K96">
        <v>471543.50900000002</v>
      </c>
      <c r="L96">
        <v>402205.48</v>
      </c>
      <c r="M96">
        <v>382858.74599999998</v>
      </c>
      <c r="N96">
        <v>378406.93199999997</v>
      </c>
      <c r="O96">
        <v>389768.38299999997</v>
      </c>
      <c r="P96">
        <v>407803.24900000001</v>
      </c>
      <c r="Q96">
        <v>421238.027</v>
      </c>
      <c r="R96">
        <v>447818.02</v>
      </c>
      <c r="S96">
        <v>474086.783</v>
      </c>
      <c r="T96">
        <v>493509.217</v>
      </c>
      <c r="U96">
        <v>506152.424</v>
      </c>
      <c r="V96">
        <v>517836.34600000002</v>
      </c>
      <c r="W96">
        <v>506209.614</v>
      </c>
      <c r="X96">
        <v>523607.53899999999</v>
      </c>
      <c r="Y96">
        <v>495150.00699999998</v>
      </c>
      <c r="Z96">
        <v>483988.02899999998</v>
      </c>
      <c r="AA96">
        <v>506869.853</v>
      </c>
      <c r="AB96">
        <v>511693.49900000001</v>
      </c>
      <c r="AC96">
        <v>527268.10800000001</v>
      </c>
      <c r="AD96">
        <v>537370.98199999996</v>
      </c>
      <c r="AE96">
        <v>546378.09600000002</v>
      </c>
      <c r="AF96">
        <v>556498.63899999997</v>
      </c>
      <c r="AG96">
        <v>566227.06499999994</v>
      </c>
      <c r="AH96">
        <v>572648.19200000004</v>
      </c>
      <c r="AI96">
        <v>579187.51100000006</v>
      </c>
      <c r="AJ96">
        <v>584996.00699999998</v>
      </c>
      <c r="AK96">
        <v>589886.51100000006</v>
      </c>
      <c r="AL96">
        <v>594881.65899999999</v>
      </c>
      <c r="AM96">
        <v>600254.576</v>
      </c>
      <c r="AN96">
        <v>605372.78500000003</v>
      </c>
      <c r="AO96">
        <v>610251.34400000004</v>
      </c>
      <c r="AP96">
        <v>615671.51699999999</v>
      </c>
      <c r="AQ96">
        <v>620093.424</v>
      </c>
      <c r="AR96">
        <v>623669.85</v>
      </c>
      <c r="AS96">
        <v>627237.12300000002</v>
      </c>
      <c r="AT96">
        <v>630235.429</v>
      </c>
      <c r="AU96">
        <v>632844.99699999997</v>
      </c>
      <c r="AV96">
        <v>634962.99699999997</v>
      </c>
      <c r="AW96">
        <v>637139.99</v>
      </c>
      <c r="AX96">
        <v>639617.76599999995</v>
      </c>
      <c r="AY96">
        <v>641700.67000000004</v>
      </c>
      <c r="AZ96">
        <v>643936.66700000002</v>
      </c>
      <c r="BA96">
        <v>647193.51800000004</v>
      </c>
      <c r="BB96">
        <v>650251.98600000003</v>
      </c>
      <c r="BC96">
        <v>652813.93400000001</v>
      </c>
      <c r="BD96">
        <v>654964.81799999997</v>
      </c>
      <c r="BE96">
        <v>657037.37399999995</v>
      </c>
      <c r="BF96">
        <v>658930.505</v>
      </c>
      <c r="BG96">
        <v>417.7</v>
      </c>
    </row>
    <row r="97" spans="1:59">
      <c r="A97" t="s">
        <v>208</v>
      </c>
      <c r="B97" t="s">
        <v>206</v>
      </c>
      <c r="C97" t="s">
        <v>34</v>
      </c>
      <c r="D97">
        <v>311</v>
      </c>
      <c r="E97" t="s">
        <v>35</v>
      </c>
      <c r="F97" t="s">
        <v>3</v>
      </c>
      <c r="G97" t="s">
        <v>207</v>
      </c>
      <c r="H97">
        <v>140557.15700000001</v>
      </c>
      <c r="I97">
        <v>156721.24299999999</v>
      </c>
      <c r="J97">
        <v>162922.17499999999</v>
      </c>
      <c r="K97">
        <v>152893.693</v>
      </c>
      <c r="L97">
        <v>156336.408</v>
      </c>
      <c r="M97">
        <v>155067.34700000001</v>
      </c>
      <c r="N97">
        <v>155177.18599999999</v>
      </c>
      <c r="O97">
        <v>151607.242</v>
      </c>
      <c r="P97">
        <v>163923.21599999999</v>
      </c>
      <c r="Q97">
        <v>171700.361</v>
      </c>
      <c r="R97">
        <v>173444</v>
      </c>
      <c r="S97">
        <v>168195.37899999999</v>
      </c>
      <c r="T97">
        <v>183716</v>
      </c>
      <c r="U97">
        <v>187422.139</v>
      </c>
      <c r="V97">
        <v>185139.068</v>
      </c>
      <c r="W97">
        <v>186339.549</v>
      </c>
      <c r="X97">
        <v>201607.06599999999</v>
      </c>
      <c r="Y97">
        <v>208951</v>
      </c>
      <c r="Z97">
        <v>194833.11600000001</v>
      </c>
      <c r="AA97">
        <v>189307.747</v>
      </c>
      <c r="AB97">
        <v>191877.74100000001</v>
      </c>
      <c r="AC97">
        <v>193293.54399999999</v>
      </c>
      <c r="AD97">
        <v>195031.71900000001</v>
      </c>
      <c r="AE97">
        <v>197211.88099999999</v>
      </c>
      <c r="AF97">
        <v>199495.315</v>
      </c>
      <c r="AG97">
        <v>201712.61799999999</v>
      </c>
      <c r="AH97">
        <v>203852.58799999999</v>
      </c>
      <c r="AI97">
        <v>206004.383</v>
      </c>
      <c r="AJ97">
        <v>208198.557</v>
      </c>
      <c r="AK97">
        <v>210373.75399999999</v>
      </c>
      <c r="AL97">
        <v>212454.61199999999</v>
      </c>
      <c r="AM97">
        <v>214514.924</v>
      </c>
      <c r="AN97">
        <v>216523.67300000001</v>
      </c>
      <c r="AO97">
        <v>218350.065</v>
      </c>
      <c r="AP97">
        <v>220121.21599999999</v>
      </c>
      <c r="AQ97">
        <v>221850.55600000001</v>
      </c>
      <c r="AR97">
        <v>223536.54500000001</v>
      </c>
      <c r="AS97">
        <v>225136.64799999999</v>
      </c>
      <c r="AT97">
        <v>226642.872</v>
      </c>
      <c r="AU97">
        <v>228072.57800000001</v>
      </c>
      <c r="AV97">
        <v>229435.30300000001</v>
      </c>
      <c r="AW97">
        <v>230733.96</v>
      </c>
      <c r="AX97">
        <v>232083.18</v>
      </c>
      <c r="AY97">
        <v>233508.712</v>
      </c>
      <c r="AZ97">
        <v>234938.72500000001</v>
      </c>
      <c r="BA97">
        <v>236342.17800000001</v>
      </c>
      <c r="BB97">
        <v>237701.356</v>
      </c>
      <c r="BC97">
        <v>239092.084</v>
      </c>
      <c r="BD97">
        <v>240499.85</v>
      </c>
      <c r="BE97">
        <v>241887.86600000001</v>
      </c>
      <c r="BF97">
        <v>243244.66</v>
      </c>
      <c r="BG97">
        <v>3.57</v>
      </c>
    </row>
    <row r="98" spans="1:59">
      <c r="A98" t="s">
        <v>210</v>
      </c>
      <c r="B98" t="s">
        <v>206</v>
      </c>
      <c r="C98" t="s">
        <v>38</v>
      </c>
      <c r="D98">
        <v>312</v>
      </c>
      <c r="E98" t="s">
        <v>39</v>
      </c>
      <c r="F98" t="s">
        <v>3</v>
      </c>
      <c r="G98" t="s">
        <v>209</v>
      </c>
      <c r="H98">
        <v>96208.244000000006</v>
      </c>
      <c r="I98">
        <v>105524.442</v>
      </c>
      <c r="J98">
        <v>104744.299</v>
      </c>
      <c r="K98">
        <v>101275.201</v>
      </c>
      <c r="L98">
        <v>106534.82799999999</v>
      </c>
      <c r="M98">
        <v>95347.498000000007</v>
      </c>
      <c r="N98">
        <v>87528.236000000004</v>
      </c>
      <c r="O98">
        <v>87100.845000000001</v>
      </c>
      <c r="P98">
        <v>87834.673999999999</v>
      </c>
      <c r="Q98">
        <v>83081.607000000004</v>
      </c>
      <c r="R98">
        <v>92939.088000000003</v>
      </c>
      <c r="S98">
        <v>90697.64</v>
      </c>
      <c r="T98">
        <v>91548</v>
      </c>
      <c r="U98">
        <v>86652.298999999999</v>
      </c>
      <c r="V98">
        <v>82126.769</v>
      </c>
      <c r="W98">
        <v>80425.432000000001</v>
      </c>
      <c r="X98">
        <v>85302.661999999997</v>
      </c>
      <c r="Y98">
        <v>85074.982999999993</v>
      </c>
      <c r="Z98">
        <v>88633.111999999994</v>
      </c>
      <c r="AA98">
        <v>90133.540999999997</v>
      </c>
      <c r="AB98">
        <v>89699.464999999997</v>
      </c>
      <c r="AC98">
        <v>88523.05</v>
      </c>
      <c r="AD98">
        <v>87520.543000000005</v>
      </c>
      <c r="AE98">
        <v>86743.172000000006</v>
      </c>
      <c r="AF98">
        <v>86033.203999999998</v>
      </c>
      <c r="AG98">
        <v>85325.558000000005</v>
      </c>
      <c r="AH98">
        <v>84609.505999999994</v>
      </c>
      <c r="AI98">
        <v>83919.441000000006</v>
      </c>
      <c r="AJ98">
        <v>83270.774000000005</v>
      </c>
      <c r="AK98">
        <v>82638.032000000007</v>
      </c>
      <c r="AL98">
        <v>81989.311000000002</v>
      </c>
      <c r="AM98">
        <v>81350.58</v>
      </c>
      <c r="AN98">
        <v>80711.142999999996</v>
      </c>
      <c r="AO98">
        <v>80025.005999999994</v>
      </c>
      <c r="AP98">
        <v>79342.222999999998</v>
      </c>
      <c r="AQ98">
        <v>78668.17</v>
      </c>
      <c r="AR98">
        <v>78000.478000000003</v>
      </c>
      <c r="AS98">
        <v>77325.914000000004</v>
      </c>
      <c r="AT98">
        <v>76641.841</v>
      </c>
      <c r="AU98">
        <v>75956.014999999999</v>
      </c>
      <c r="AV98">
        <v>75272.680999999997</v>
      </c>
      <c r="AW98">
        <v>74592.163</v>
      </c>
      <c r="AX98">
        <v>73948.731</v>
      </c>
      <c r="AY98">
        <v>73349.323999999993</v>
      </c>
      <c r="AZ98">
        <v>72770.667000000001</v>
      </c>
      <c r="BA98">
        <v>72206.562000000005</v>
      </c>
      <c r="BB98">
        <v>71649.891000000003</v>
      </c>
      <c r="BC98">
        <v>71121.756999999998</v>
      </c>
      <c r="BD98">
        <v>70616.456999999995</v>
      </c>
      <c r="BE98">
        <v>70121.959000000003</v>
      </c>
      <c r="BF98">
        <v>69635.635999999999</v>
      </c>
      <c r="BG98">
        <v>58.68</v>
      </c>
    </row>
    <row r="99" spans="1:59">
      <c r="A99" t="s">
        <v>212</v>
      </c>
      <c r="B99" t="s">
        <v>206</v>
      </c>
      <c r="C99" t="s">
        <v>42</v>
      </c>
      <c r="D99">
        <v>313</v>
      </c>
      <c r="E99" t="s">
        <v>43</v>
      </c>
      <c r="F99" t="s">
        <v>3</v>
      </c>
      <c r="G99" t="s">
        <v>211</v>
      </c>
      <c r="H99">
        <v>13795.328</v>
      </c>
      <c r="I99">
        <v>12909.050999999999</v>
      </c>
      <c r="J99">
        <v>12191.453</v>
      </c>
      <c r="K99">
        <v>11260.004999999999</v>
      </c>
      <c r="L99">
        <v>8526.3259999999991</v>
      </c>
      <c r="M99">
        <v>8767.107</v>
      </c>
      <c r="N99">
        <v>7884.8980000000001</v>
      </c>
      <c r="O99">
        <v>8681.8919999999998</v>
      </c>
      <c r="P99">
        <v>9277.2139999999999</v>
      </c>
      <c r="Q99">
        <v>9654.0360000000001</v>
      </c>
      <c r="R99">
        <v>9324.1929999999993</v>
      </c>
      <c r="S99">
        <v>9239.9719999999998</v>
      </c>
      <c r="T99">
        <v>9031.1270000000004</v>
      </c>
      <c r="U99">
        <v>8533.7790000000005</v>
      </c>
      <c r="V99">
        <v>8291.7510000000002</v>
      </c>
      <c r="W99">
        <v>7721.95</v>
      </c>
      <c r="X99">
        <v>8196.7659999999996</v>
      </c>
      <c r="Y99">
        <v>7548.777</v>
      </c>
      <c r="Z99">
        <v>6980.8540000000003</v>
      </c>
      <c r="AA99">
        <v>7116.973</v>
      </c>
      <c r="AB99">
        <v>7185.3280000000004</v>
      </c>
      <c r="AC99">
        <v>7029.9530000000004</v>
      </c>
      <c r="AD99">
        <v>6974.2749999999996</v>
      </c>
      <c r="AE99">
        <v>7021.8980000000001</v>
      </c>
      <c r="AF99">
        <v>7087.4759999999997</v>
      </c>
      <c r="AG99">
        <v>7146.3490000000002</v>
      </c>
      <c r="AH99">
        <v>7184.7179999999998</v>
      </c>
      <c r="AI99">
        <v>7207.2250000000004</v>
      </c>
      <c r="AJ99">
        <v>7217.4679999999998</v>
      </c>
      <c r="AK99">
        <v>7208.92</v>
      </c>
      <c r="AL99">
        <v>7189.6989999999996</v>
      </c>
      <c r="AM99">
        <v>7177.8320000000003</v>
      </c>
      <c r="AN99">
        <v>7168.0690000000004</v>
      </c>
      <c r="AO99">
        <v>7155.1970000000001</v>
      </c>
      <c r="AP99">
        <v>7145.05</v>
      </c>
      <c r="AQ99">
        <v>7137.49</v>
      </c>
      <c r="AR99">
        <v>7130.22</v>
      </c>
      <c r="AS99">
        <v>7119.2920000000004</v>
      </c>
      <c r="AT99">
        <v>7103.741</v>
      </c>
      <c r="AU99">
        <v>7090.15</v>
      </c>
      <c r="AV99">
        <v>7081.5159999999996</v>
      </c>
      <c r="AW99">
        <v>7076.6030000000001</v>
      </c>
      <c r="AX99">
        <v>7076.951</v>
      </c>
      <c r="AY99">
        <v>7083.5559999999996</v>
      </c>
      <c r="AZ99">
        <v>7092.0889999999999</v>
      </c>
      <c r="BA99">
        <v>7101.6409999999996</v>
      </c>
      <c r="BB99">
        <v>7110.0079999999998</v>
      </c>
      <c r="BC99">
        <v>7122.8810000000003</v>
      </c>
      <c r="BD99">
        <v>7140.5969999999998</v>
      </c>
      <c r="BE99">
        <v>7159.9390000000003</v>
      </c>
      <c r="BF99">
        <v>7181.7479999999996</v>
      </c>
      <c r="BG99">
        <v>3.87</v>
      </c>
    </row>
    <row r="100" spans="1:59">
      <c r="A100" t="s">
        <v>214</v>
      </c>
      <c r="B100" t="s">
        <v>206</v>
      </c>
      <c r="C100" t="s">
        <v>46</v>
      </c>
      <c r="D100">
        <v>314</v>
      </c>
      <c r="E100" t="s">
        <v>47</v>
      </c>
      <c r="F100" t="s">
        <v>3</v>
      </c>
      <c r="G100" t="s">
        <v>213</v>
      </c>
      <c r="H100">
        <v>10423.258</v>
      </c>
      <c r="I100">
        <v>10276.065000000001</v>
      </c>
      <c r="J100">
        <v>10263.547</v>
      </c>
      <c r="K100">
        <v>9776.1129999999994</v>
      </c>
      <c r="L100">
        <v>7699.674</v>
      </c>
      <c r="M100">
        <v>7624.6819999999998</v>
      </c>
      <c r="N100">
        <v>6771.13</v>
      </c>
      <c r="O100">
        <v>7428.31</v>
      </c>
      <c r="P100">
        <v>7943.4759999999997</v>
      </c>
      <c r="Q100">
        <v>8315.7610000000004</v>
      </c>
      <c r="R100">
        <v>8144.0039999999999</v>
      </c>
      <c r="S100">
        <v>8392.9310000000005</v>
      </c>
      <c r="T100">
        <v>8254.6730000000007</v>
      </c>
      <c r="U100">
        <v>7832.2209999999995</v>
      </c>
      <c r="V100">
        <v>7752.5379999999996</v>
      </c>
      <c r="W100">
        <v>7294.2389999999996</v>
      </c>
      <c r="X100">
        <v>7833.4229999999998</v>
      </c>
      <c r="Y100">
        <v>7452.0510000000004</v>
      </c>
      <c r="Z100">
        <v>6973.049</v>
      </c>
      <c r="AA100">
        <v>7105.71</v>
      </c>
      <c r="AB100">
        <v>7248.9690000000001</v>
      </c>
      <c r="AC100">
        <v>7202.1880000000001</v>
      </c>
      <c r="AD100">
        <v>7252.3419999999996</v>
      </c>
      <c r="AE100">
        <v>7404.2809999999999</v>
      </c>
      <c r="AF100">
        <v>7576.8</v>
      </c>
      <c r="AG100">
        <v>7746.0590000000002</v>
      </c>
      <c r="AH100">
        <v>7898.0690000000004</v>
      </c>
      <c r="AI100">
        <v>8037.0389999999998</v>
      </c>
      <c r="AJ100">
        <v>8165.7619999999997</v>
      </c>
      <c r="AK100">
        <v>8276.7510000000002</v>
      </c>
      <c r="AL100">
        <v>8377.9650000000001</v>
      </c>
      <c r="AM100">
        <v>8488.6149999999998</v>
      </c>
      <c r="AN100">
        <v>8602.9840000000004</v>
      </c>
      <c r="AO100">
        <v>8715.1839999999993</v>
      </c>
      <c r="AP100">
        <v>8831.9560000000001</v>
      </c>
      <c r="AQ100">
        <v>8953.3359999999993</v>
      </c>
      <c r="AR100">
        <v>9076.5580000000009</v>
      </c>
      <c r="AS100">
        <v>9196.8590000000004</v>
      </c>
      <c r="AT100">
        <v>9312.8369999999995</v>
      </c>
      <c r="AU100">
        <v>9432.3259999999991</v>
      </c>
      <c r="AV100">
        <v>9559.2129999999997</v>
      </c>
      <c r="AW100">
        <v>9692.2450000000008</v>
      </c>
      <c r="AX100">
        <v>9833.5550000000003</v>
      </c>
      <c r="AY100">
        <v>9984.7209999999995</v>
      </c>
      <c r="AZ100">
        <v>10140.313</v>
      </c>
      <c r="BA100">
        <v>10299.200999999999</v>
      </c>
      <c r="BB100">
        <v>10458.493</v>
      </c>
      <c r="BC100">
        <v>10626.008</v>
      </c>
      <c r="BD100">
        <v>10802.493</v>
      </c>
      <c r="BE100">
        <v>10983.606</v>
      </c>
      <c r="BF100">
        <v>11170.550999999999</v>
      </c>
      <c r="BG100">
        <v>7.94</v>
      </c>
    </row>
    <row r="101" spans="1:59">
      <c r="A101" t="s">
        <v>216</v>
      </c>
      <c r="B101" t="s">
        <v>206</v>
      </c>
      <c r="C101" t="s">
        <v>50</v>
      </c>
      <c r="D101">
        <v>315</v>
      </c>
      <c r="E101" t="s">
        <v>51</v>
      </c>
      <c r="F101" t="s">
        <v>3</v>
      </c>
      <c r="G101" t="s">
        <v>215</v>
      </c>
      <c r="H101">
        <v>12098.009</v>
      </c>
      <c r="I101">
        <v>11488.121999999999</v>
      </c>
      <c r="J101">
        <v>10646.527</v>
      </c>
      <c r="K101">
        <v>10491.876</v>
      </c>
      <c r="L101">
        <v>8585.0840000000007</v>
      </c>
      <c r="M101">
        <v>9415.0349999999999</v>
      </c>
      <c r="N101">
        <v>9060.125</v>
      </c>
      <c r="O101">
        <v>8663.1769999999997</v>
      </c>
      <c r="P101">
        <v>8541.73</v>
      </c>
      <c r="Q101">
        <v>8235.7800000000007</v>
      </c>
      <c r="R101">
        <v>7778.808</v>
      </c>
      <c r="S101">
        <v>7769.7219999999998</v>
      </c>
      <c r="T101">
        <v>7586.5789999999997</v>
      </c>
      <c r="U101">
        <v>7513.107</v>
      </c>
      <c r="V101">
        <v>7790.7929999999997</v>
      </c>
      <c r="W101">
        <v>7618.5429999999997</v>
      </c>
      <c r="X101">
        <v>8567.0339999999997</v>
      </c>
      <c r="Y101">
        <v>9521.5959999999995</v>
      </c>
      <c r="Z101">
        <v>9171.7209999999995</v>
      </c>
      <c r="AA101">
        <v>8855.2340000000004</v>
      </c>
      <c r="AB101">
        <v>8770.9629999999997</v>
      </c>
      <c r="AC101">
        <v>8564.9089999999997</v>
      </c>
      <c r="AD101">
        <v>8468.4850000000006</v>
      </c>
      <c r="AE101">
        <v>8449.1229999999996</v>
      </c>
      <c r="AF101">
        <v>8444.2890000000007</v>
      </c>
      <c r="AG101">
        <v>8437.6319999999996</v>
      </c>
      <c r="AH101">
        <v>8422.4560000000001</v>
      </c>
      <c r="AI101">
        <v>8401.4419999999991</v>
      </c>
      <c r="AJ101">
        <v>8379.9629999999997</v>
      </c>
      <c r="AK101">
        <v>8358.7430000000004</v>
      </c>
      <c r="AL101">
        <v>8333.8439999999991</v>
      </c>
      <c r="AM101">
        <v>8310.6299999999992</v>
      </c>
      <c r="AN101">
        <v>8289.0139999999992</v>
      </c>
      <c r="AO101">
        <v>8265.3420000000006</v>
      </c>
      <c r="AP101">
        <v>8239.2880000000005</v>
      </c>
      <c r="AQ101">
        <v>8212.4950000000008</v>
      </c>
      <c r="AR101">
        <v>8190.2619999999997</v>
      </c>
      <c r="AS101">
        <v>8169.8490000000002</v>
      </c>
      <c r="AT101">
        <v>8147.6620000000003</v>
      </c>
      <c r="AU101">
        <v>8124.5439999999999</v>
      </c>
      <c r="AV101">
        <v>8101.5770000000002</v>
      </c>
      <c r="AW101">
        <v>8081.1409999999996</v>
      </c>
      <c r="AX101">
        <v>8065.6530000000002</v>
      </c>
      <c r="AY101">
        <v>8054.8670000000002</v>
      </c>
      <c r="AZ101">
        <v>8045.9979999999996</v>
      </c>
      <c r="BA101">
        <v>8039.8410000000003</v>
      </c>
      <c r="BB101">
        <v>8033.5379999999996</v>
      </c>
      <c r="BC101">
        <v>8032.259</v>
      </c>
      <c r="BD101">
        <v>8035.4840000000004</v>
      </c>
      <c r="BE101">
        <v>8040.6210000000001</v>
      </c>
      <c r="BF101">
        <v>8048.5259999999998</v>
      </c>
      <c r="BG101">
        <v>0.73</v>
      </c>
    </row>
    <row r="102" spans="1:59">
      <c r="A102" t="s">
        <v>218</v>
      </c>
      <c r="B102" t="s">
        <v>206</v>
      </c>
      <c r="C102" t="s">
        <v>54</v>
      </c>
      <c r="D102">
        <v>316</v>
      </c>
      <c r="E102" t="s">
        <v>55</v>
      </c>
      <c r="F102" t="s">
        <v>3</v>
      </c>
      <c r="G102" t="s">
        <v>217</v>
      </c>
      <c r="H102">
        <v>2157.1239999999998</v>
      </c>
      <c r="I102">
        <v>2035.0360000000001</v>
      </c>
      <c r="J102">
        <v>1906.095</v>
      </c>
      <c r="K102">
        <v>1886.231</v>
      </c>
      <c r="L102">
        <v>1591.019</v>
      </c>
      <c r="M102">
        <v>1731.857</v>
      </c>
      <c r="N102">
        <v>1799.982</v>
      </c>
      <c r="O102">
        <v>1828.9280000000001</v>
      </c>
      <c r="P102">
        <v>2010.1980000000001</v>
      </c>
      <c r="Q102">
        <v>1849.22</v>
      </c>
      <c r="R102">
        <v>1902.2919999999999</v>
      </c>
      <c r="S102">
        <v>1884.278</v>
      </c>
      <c r="T102">
        <v>1862.521</v>
      </c>
      <c r="U102">
        <v>1867.7919999999999</v>
      </c>
      <c r="V102">
        <v>1969.222</v>
      </c>
      <c r="W102">
        <v>2152.181</v>
      </c>
      <c r="X102">
        <v>2469.6590000000001</v>
      </c>
      <c r="Y102">
        <v>2810.7049999999999</v>
      </c>
      <c r="Z102">
        <v>2792.183</v>
      </c>
      <c r="AA102">
        <v>2845.9639999999999</v>
      </c>
      <c r="AB102">
        <v>2817.9349999999999</v>
      </c>
      <c r="AC102">
        <v>2756.9830000000002</v>
      </c>
      <c r="AD102">
        <v>2730.39</v>
      </c>
      <c r="AE102">
        <v>2727.4409999999998</v>
      </c>
      <c r="AF102">
        <v>2728.4259999999999</v>
      </c>
      <c r="AG102">
        <v>2728.4850000000001</v>
      </c>
      <c r="AH102">
        <v>2725.739</v>
      </c>
      <c r="AI102">
        <v>2721.0160000000001</v>
      </c>
      <c r="AJ102">
        <v>2715.9830000000002</v>
      </c>
      <c r="AK102">
        <v>2710.9760000000001</v>
      </c>
      <c r="AL102">
        <v>2704.78</v>
      </c>
      <c r="AM102">
        <v>2699.076</v>
      </c>
      <c r="AN102">
        <v>2693.9630000000002</v>
      </c>
      <c r="AO102">
        <v>2688.297</v>
      </c>
      <c r="AP102">
        <v>2681.931</v>
      </c>
      <c r="AQ102">
        <v>2675.4009999999998</v>
      </c>
      <c r="AR102">
        <v>2670.35</v>
      </c>
      <c r="AS102">
        <v>2665.9090000000001</v>
      </c>
      <c r="AT102">
        <v>2660.9209999999998</v>
      </c>
      <c r="AU102">
        <v>2655.6460000000002</v>
      </c>
      <c r="AV102">
        <v>2650.4789999999998</v>
      </c>
      <c r="AW102">
        <v>2646.1880000000001</v>
      </c>
      <c r="AX102">
        <v>2643.4850000000001</v>
      </c>
      <c r="AY102">
        <v>2642.279</v>
      </c>
      <c r="AZ102">
        <v>2641.692</v>
      </c>
      <c r="BA102">
        <v>2641.9549999999999</v>
      </c>
      <c r="BB102">
        <v>2642.1669999999999</v>
      </c>
      <c r="BC102">
        <v>2643.953</v>
      </c>
      <c r="BD102">
        <v>2647.1680000000001</v>
      </c>
      <c r="BE102">
        <v>2650.9760000000001</v>
      </c>
      <c r="BF102">
        <v>2655.598</v>
      </c>
      <c r="BG102">
        <v>5.58</v>
      </c>
    </row>
    <row r="103" spans="1:59">
      <c r="A103" t="s">
        <v>220</v>
      </c>
      <c r="B103" t="s">
        <v>206</v>
      </c>
      <c r="C103" t="s">
        <v>58</v>
      </c>
      <c r="D103">
        <v>321</v>
      </c>
      <c r="E103" t="s">
        <v>59</v>
      </c>
      <c r="F103" t="s">
        <v>3</v>
      </c>
      <c r="G103" t="s">
        <v>219</v>
      </c>
      <c r="H103">
        <v>33174.6</v>
      </c>
      <c r="I103">
        <v>32701.7</v>
      </c>
      <c r="J103">
        <v>34644.699999999997</v>
      </c>
      <c r="K103">
        <v>32454.3</v>
      </c>
      <c r="L103">
        <v>27512.400000000001</v>
      </c>
      <c r="M103">
        <v>29560.1</v>
      </c>
      <c r="N103">
        <v>32801.4</v>
      </c>
      <c r="O103">
        <v>33489.1</v>
      </c>
      <c r="P103">
        <v>34212.1</v>
      </c>
      <c r="Q103">
        <v>30878.799999999999</v>
      </c>
      <c r="R103">
        <v>33594.6</v>
      </c>
      <c r="S103">
        <v>35191.5</v>
      </c>
      <c r="T103">
        <v>35688.199999999997</v>
      </c>
      <c r="U103">
        <v>33867.5</v>
      </c>
      <c r="V103">
        <v>35122</v>
      </c>
      <c r="W103">
        <v>36984.5</v>
      </c>
      <c r="X103">
        <v>35032.6</v>
      </c>
      <c r="Y103">
        <v>34927.699999999997</v>
      </c>
      <c r="Z103">
        <v>38777.800000000003</v>
      </c>
      <c r="AA103">
        <v>35643.694000000003</v>
      </c>
      <c r="AB103">
        <v>34797.885999999999</v>
      </c>
      <c r="AC103">
        <v>34966.730000000003</v>
      </c>
      <c r="AD103">
        <v>35000.300000000003</v>
      </c>
      <c r="AE103">
        <v>35102.021999999997</v>
      </c>
      <c r="AF103">
        <v>35290.32</v>
      </c>
      <c r="AG103">
        <v>35508.118000000002</v>
      </c>
      <c r="AH103">
        <v>35651.947999999997</v>
      </c>
      <c r="AI103">
        <v>35812.370999999999</v>
      </c>
      <c r="AJ103">
        <v>35976.375</v>
      </c>
      <c r="AK103">
        <v>36109.777000000002</v>
      </c>
      <c r="AL103">
        <v>36259.205999999998</v>
      </c>
      <c r="AM103">
        <v>36470.836000000003</v>
      </c>
      <c r="AN103">
        <v>36702.152000000002</v>
      </c>
      <c r="AO103">
        <v>36923.601000000002</v>
      </c>
      <c r="AP103">
        <v>37177.531000000003</v>
      </c>
      <c r="AQ103">
        <v>37430.334000000003</v>
      </c>
      <c r="AR103">
        <v>37681.985000000001</v>
      </c>
      <c r="AS103">
        <v>37943.743999999999</v>
      </c>
      <c r="AT103">
        <v>38199.550000000003</v>
      </c>
      <c r="AU103">
        <v>38465.125999999997</v>
      </c>
      <c r="AV103">
        <v>38732.137000000002</v>
      </c>
      <c r="AW103">
        <v>38992.510999999999</v>
      </c>
      <c r="AX103">
        <v>39268.43</v>
      </c>
      <c r="AY103">
        <v>39568.086000000003</v>
      </c>
      <c r="AZ103">
        <v>39885.218999999997</v>
      </c>
      <c r="BA103">
        <v>40237.141000000003</v>
      </c>
      <c r="BB103">
        <v>40595.440999999999</v>
      </c>
      <c r="BC103">
        <v>40956.644999999997</v>
      </c>
      <c r="BD103">
        <v>41314.669000000002</v>
      </c>
      <c r="BE103">
        <v>41676.411999999997</v>
      </c>
      <c r="BF103">
        <v>42040.220999999998</v>
      </c>
      <c r="BG103">
        <v>5.15</v>
      </c>
    </row>
    <row r="104" spans="1:59">
      <c r="A104" t="s">
        <v>222</v>
      </c>
      <c r="B104" t="s">
        <v>206</v>
      </c>
      <c r="C104" t="s">
        <v>62</v>
      </c>
      <c r="D104">
        <v>322</v>
      </c>
      <c r="E104" t="s">
        <v>63</v>
      </c>
      <c r="F104" t="s">
        <v>3</v>
      </c>
      <c r="G104" t="s">
        <v>221</v>
      </c>
      <c r="H104">
        <v>70123.199999999997</v>
      </c>
      <c r="I104">
        <v>74578.2</v>
      </c>
      <c r="J104">
        <v>70478.7</v>
      </c>
      <c r="K104">
        <v>62779.8</v>
      </c>
      <c r="L104">
        <v>65696</v>
      </c>
      <c r="M104">
        <v>61380.3</v>
      </c>
      <c r="N104">
        <v>58814</v>
      </c>
      <c r="O104">
        <v>58482.3</v>
      </c>
      <c r="P104">
        <v>60031.9</v>
      </c>
      <c r="Q104">
        <v>60943.199999999997</v>
      </c>
      <c r="R104">
        <v>62146.9</v>
      </c>
      <c r="S104">
        <v>60583.3</v>
      </c>
      <c r="T104">
        <v>55898</v>
      </c>
      <c r="U104">
        <v>59485.4</v>
      </c>
      <c r="V104">
        <v>62678.2</v>
      </c>
      <c r="W104">
        <v>67548.5</v>
      </c>
      <c r="X104">
        <v>64265.824999999997</v>
      </c>
      <c r="Y104">
        <v>61176.622000000003</v>
      </c>
      <c r="Z104">
        <v>57016.419000000002</v>
      </c>
      <c r="AA104">
        <v>55483.784</v>
      </c>
      <c r="AB104">
        <v>55605.462</v>
      </c>
      <c r="AC104">
        <v>55525.521999999997</v>
      </c>
      <c r="AD104">
        <v>55451.565999999999</v>
      </c>
      <c r="AE104">
        <v>55546.256999999998</v>
      </c>
      <c r="AF104">
        <v>55778.902000000002</v>
      </c>
      <c r="AG104">
        <v>56113.249000000003</v>
      </c>
      <c r="AH104">
        <v>56490.478999999999</v>
      </c>
      <c r="AI104">
        <v>56901.677000000003</v>
      </c>
      <c r="AJ104">
        <v>57362.794000000002</v>
      </c>
      <c r="AK104">
        <v>57869.59</v>
      </c>
      <c r="AL104">
        <v>58395.824000000001</v>
      </c>
      <c r="AM104">
        <v>58955.088000000003</v>
      </c>
      <c r="AN104">
        <v>59526.605000000003</v>
      </c>
      <c r="AO104">
        <v>60070.644</v>
      </c>
      <c r="AP104">
        <v>60620.923000000003</v>
      </c>
      <c r="AQ104">
        <v>61177.26</v>
      </c>
      <c r="AR104">
        <v>61737.203000000001</v>
      </c>
      <c r="AS104">
        <v>62297.832000000002</v>
      </c>
      <c r="AT104">
        <v>62853.224999999999</v>
      </c>
      <c r="AU104">
        <v>63408.286</v>
      </c>
      <c r="AV104">
        <v>63966.798000000003</v>
      </c>
      <c r="AW104">
        <v>64526.36</v>
      </c>
      <c r="AX104">
        <v>65101.836000000003</v>
      </c>
      <c r="AY104">
        <v>65702.877999999997</v>
      </c>
      <c r="AZ104">
        <v>66318.399999999994</v>
      </c>
      <c r="BA104">
        <v>66953.769</v>
      </c>
      <c r="BB104">
        <v>67603.433000000005</v>
      </c>
      <c r="BC104">
        <v>68272.653000000006</v>
      </c>
      <c r="BD104">
        <v>68955.900999999998</v>
      </c>
      <c r="BE104">
        <v>69647.998999999996</v>
      </c>
      <c r="BF104">
        <v>70344.543999999994</v>
      </c>
      <c r="BG104">
        <v>2.78</v>
      </c>
    </row>
    <row r="105" spans="1:59">
      <c r="A105" t="s">
        <v>224</v>
      </c>
      <c r="B105" t="s">
        <v>206</v>
      </c>
      <c r="C105" t="s">
        <v>66</v>
      </c>
      <c r="D105">
        <v>323</v>
      </c>
      <c r="E105" t="s">
        <v>67</v>
      </c>
      <c r="F105" t="s">
        <v>3</v>
      </c>
      <c r="G105" t="s">
        <v>223</v>
      </c>
      <c r="H105">
        <v>42530.400000000001</v>
      </c>
      <c r="I105">
        <v>43255.5</v>
      </c>
      <c r="J105">
        <v>44257.4</v>
      </c>
      <c r="K105">
        <v>43320.5</v>
      </c>
      <c r="L105">
        <v>37781.4</v>
      </c>
      <c r="M105">
        <v>38423</v>
      </c>
      <c r="N105">
        <v>38698.9</v>
      </c>
      <c r="O105">
        <v>38848.9</v>
      </c>
      <c r="P105">
        <v>39962.699999999997</v>
      </c>
      <c r="Q105">
        <v>40088.699999999997</v>
      </c>
      <c r="R105">
        <v>40169.300000000003</v>
      </c>
      <c r="S105">
        <v>40961.699999999997</v>
      </c>
      <c r="T105">
        <v>40608</v>
      </c>
      <c r="U105">
        <v>41975.1</v>
      </c>
      <c r="V105">
        <v>40671.5</v>
      </c>
      <c r="W105">
        <v>35143.199999999997</v>
      </c>
      <c r="X105">
        <v>37541.699999999997</v>
      </c>
      <c r="Y105">
        <v>34450.1</v>
      </c>
      <c r="Z105">
        <v>31154.400000000001</v>
      </c>
      <c r="AA105">
        <v>30167.417000000001</v>
      </c>
      <c r="AB105">
        <v>30071.763999999999</v>
      </c>
      <c r="AC105">
        <v>29269.353999999999</v>
      </c>
      <c r="AD105">
        <v>28608.123</v>
      </c>
      <c r="AE105">
        <v>28292.017</v>
      </c>
      <c r="AF105">
        <v>28197.1</v>
      </c>
      <c r="AG105">
        <v>28239.377</v>
      </c>
      <c r="AH105">
        <v>28308.172999999999</v>
      </c>
      <c r="AI105">
        <v>28360.949000000001</v>
      </c>
      <c r="AJ105">
        <v>28428.383999999998</v>
      </c>
      <c r="AK105">
        <v>28468.091</v>
      </c>
      <c r="AL105">
        <v>28484.02</v>
      </c>
      <c r="AM105">
        <v>28521.255000000001</v>
      </c>
      <c r="AN105">
        <v>28568.723000000002</v>
      </c>
      <c r="AO105">
        <v>28603.030999999999</v>
      </c>
      <c r="AP105">
        <v>28630.067999999999</v>
      </c>
      <c r="AQ105">
        <v>28640.28</v>
      </c>
      <c r="AR105">
        <v>28641.11</v>
      </c>
      <c r="AS105">
        <v>28621.43</v>
      </c>
      <c r="AT105">
        <v>28581.117999999999</v>
      </c>
      <c r="AU105">
        <v>28528.138999999999</v>
      </c>
      <c r="AV105">
        <v>28467.502</v>
      </c>
      <c r="AW105">
        <v>28394.644</v>
      </c>
      <c r="AX105">
        <v>28317.913</v>
      </c>
      <c r="AY105">
        <v>28244.081999999999</v>
      </c>
      <c r="AZ105">
        <v>28165.401000000002</v>
      </c>
      <c r="BA105">
        <v>28083.149000000001</v>
      </c>
      <c r="BB105">
        <v>27991.289000000001</v>
      </c>
      <c r="BC105">
        <v>27905.775000000001</v>
      </c>
      <c r="BD105">
        <v>27822.018</v>
      </c>
      <c r="BE105">
        <v>27732.751</v>
      </c>
      <c r="BF105">
        <v>27646.669000000002</v>
      </c>
      <c r="BG105">
        <v>1.37</v>
      </c>
    </row>
    <row r="106" spans="1:59">
      <c r="A106" t="s">
        <v>226</v>
      </c>
      <c r="B106" t="s">
        <v>206</v>
      </c>
      <c r="C106" t="s">
        <v>70</v>
      </c>
      <c r="D106">
        <v>324</v>
      </c>
      <c r="E106" t="s">
        <v>71</v>
      </c>
      <c r="F106" t="s">
        <v>3</v>
      </c>
      <c r="G106" t="s">
        <v>225</v>
      </c>
      <c r="H106">
        <v>164073.1</v>
      </c>
      <c r="I106">
        <v>143221.5</v>
      </c>
      <c r="J106">
        <v>146782.9</v>
      </c>
      <c r="K106">
        <v>157889.5</v>
      </c>
      <c r="L106">
        <v>148799.6</v>
      </c>
      <c r="M106">
        <v>127183.1</v>
      </c>
      <c r="N106">
        <v>106730.7</v>
      </c>
      <c r="O106">
        <v>97978.4</v>
      </c>
      <c r="P106">
        <v>106545.4</v>
      </c>
      <c r="Q106">
        <v>114775.2</v>
      </c>
      <c r="R106">
        <v>112458.6</v>
      </c>
      <c r="S106">
        <v>96507.433000000005</v>
      </c>
      <c r="T106">
        <v>110657.026</v>
      </c>
      <c r="U106">
        <v>116051.27800000001</v>
      </c>
      <c r="V106">
        <v>132891.9</v>
      </c>
      <c r="W106">
        <v>87318.5</v>
      </c>
      <c r="X106">
        <v>110444.8</v>
      </c>
      <c r="Y106">
        <v>97590.5</v>
      </c>
      <c r="Z106">
        <v>116037.6</v>
      </c>
      <c r="AA106">
        <v>137629.21</v>
      </c>
      <c r="AB106">
        <v>142421.79399999999</v>
      </c>
      <c r="AC106">
        <v>142135.85</v>
      </c>
      <c r="AD106">
        <v>142668.06700000001</v>
      </c>
      <c r="AE106">
        <v>146077.989</v>
      </c>
      <c r="AF106">
        <v>150648.80499999999</v>
      </c>
      <c r="AG106">
        <v>155420.15400000001</v>
      </c>
      <c r="AH106">
        <v>160314.43900000001</v>
      </c>
      <c r="AI106">
        <v>164868.18799999999</v>
      </c>
      <c r="AJ106">
        <v>169601.22</v>
      </c>
      <c r="AK106">
        <v>173845.17199999999</v>
      </c>
      <c r="AL106">
        <v>177289.24400000001</v>
      </c>
      <c r="AM106">
        <v>180560.51</v>
      </c>
      <c r="AN106">
        <v>183944.29199999999</v>
      </c>
      <c r="AO106">
        <v>187389.73</v>
      </c>
      <c r="AP106">
        <v>191059.64199999999</v>
      </c>
      <c r="AQ106">
        <v>194380.20699999999</v>
      </c>
      <c r="AR106">
        <v>197271.44500000001</v>
      </c>
      <c r="AS106">
        <v>199978.73300000001</v>
      </c>
      <c r="AT106">
        <v>202646.625</v>
      </c>
      <c r="AU106">
        <v>205293.429</v>
      </c>
      <c r="AV106">
        <v>207708.97500000001</v>
      </c>
      <c r="AW106">
        <v>209436.71100000001</v>
      </c>
      <c r="AX106">
        <v>211104.57699999999</v>
      </c>
      <c r="AY106">
        <v>213054.88099999999</v>
      </c>
      <c r="AZ106">
        <v>215089.796</v>
      </c>
      <c r="BA106">
        <v>217131.533</v>
      </c>
      <c r="BB106">
        <v>219073.68</v>
      </c>
      <c r="BC106">
        <v>220878.31400000001</v>
      </c>
      <c r="BD106">
        <v>222500.44899999999</v>
      </c>
      <c r="BE106">
        <v>223959.182</v>
      </c>
      <c r="BF106">
        <v>225415.21100000001</v>
      </c>
      <c r="BG106">
        <v>13.47</v>
      </c>
    </row>
    <row r="107" spans="1:59">
      <c r="A107" t="s">
        <v>228</v>
      </c>
      <c r="B107" t="s">
        <v>206</v>
      </c>
      <c r="C107" t="s">
        <v>74</v>
      </c>
      <c r="D107">
        <v>325</v>
      </c>
      <c r="E107" t="s">
        <v>75</v>
      </c>
      <c r="F107" t="s">
        <v>3</v>
      </c>
      <c r="G107" t="s">
        <v>227</v>
      </c>
      <c r="H107">
        <v>345224.1</v>
      </c>
      <c r="I107">
        <v>384639.5</v>
      </c>
      <c r="J107">
        <v>408454.7</v>
      </c>
      <c r="K107">
        <v>371313.3</v>
      </c>
      <c r="L107">
        <v>367550.1</v>
      </c>
      <c r="M107">
        <v>390359.4</v>
      </c>
      <c r="N107">
        <v>365600.8</v>
      </c>
      <c r="O107">
        <v>346383.8</v>
      </c>
      <c r="P107">
        <v>356921.1</v>
      </c>
      <c r="Q107">
        <v>350841.5</v>
      </c>
      <c r="R107">
        <v>340215.9</v>
      </c>
      <c r="S107">
        <v>352345.3</v>
      </c>
      <c r="T107">
        <v>345083.9</v>
      </c>
      <c r="U107">
        <v>387507.3</v>
      </c>
      <c r="V107">
        <v>368495.7</v>
      </c>
      <c r="W107">
        <v>388443.4</v>
      </c>
      <c r="X107">
        <v>415570.4</v>
      </c>
      <c r="Y107">
        <v>435749</v>
      </c>
      <c r="Z107">
        <v>445185.4</v>
      </c>
      <c r="AA107">
        <v>479365.14899999998</v>
      </c>
      <c r="AB107">
        <v>494304.53700000001</v>
      </c>
      <c r="AC107">
        <v>508082.74400000001</v>
      </c>
      <c r="AD107">
        <v>521005.75699999998</v>
      </c>
      <c r="AE107">
        <v>536066.90500000003</v>
      </c>
      <c r="AF107">
        <v>552485.49699999997</v>
      </c>
      <c r="AG107">
        <v>569341.30900000001</v>
      </c>
      <c r="AH107">
        <v>586704.86499999999</v>
      </c>
      <c r="AI107">
        <v>605153.47499999998</v>
      </c>
      <c r="AJ107">
        <v>623507.69999999995</v>
      </c>
      <c r="AK107">
        <v>641661.26899999997</v>
      </c>
      <c r="AL107">
        <v>659646.09600000002</v>
      </c>
      <c r="AM107">
        <v>677584.60800000001</v>
      </c>
      <c r="AN107">
        <v>695135.01300000004</v>
      </c>
      <c r="AO107">
        <v>712077.57</v>
      </c>
      <c r="AP107">
        <v>728793.22499999998</v>
      </c>
      <c r="AQ107">
        <v>744884.13399999996</v>
      </c>
      <c r="AR107">
        <v>760397.93599999999</v>
      </c>
      <c r="AS107">
        <v>775476.73600000003</v>
      </c>
      <c r="AT107">
        <v>789976.35499999998</v>
      </c>
      <c r="AU107">
        <v>803953.84699999995</v>
      </c>
      <c r="AV107">
        <v>817623.10900000005</v>
      </c>
      <c r="AW107">
        <v>831399.86300000001</v>
      </c>
      <c r="AX107">
        <v>845320.51100000006</v>
      </c>
      <c r="AY107">
        <v>859283.14800000004</v>
      </c>
      <c r="AZ107">
        <v>873366.13</v>
      </c>
      <c r="BA107">
        <v>888025.68599999999</v>
      </c>
      <c r="BB107">
        <v>902706.59400000004</v>
      </c>
      <c r="BC107">
        <v>917492.83700000006</v>
      </c>
      <c r="BD107">
        <v>932406.37800000003</v>
      </c>
      <c r="BE107">
        <v>947576.92500000005</v>
      </c>
      <c r="BF107">
        <v>963101.08200000005</v>
      </c>
      <c r="BG107">
        <v>83.34</v>
      </c>
    </row>
    <row r="108" spans="1:59">
      <c r="A108" t="s">
        <v>230</v>
      </c>
      <c r="B108" t="s">
        <v>206</v>
      </c>
      <c r="C108" t="s">
        <v>78</v>
      </c>
      <c r="D108">
        <v>326</v>
      </c>
      <c r="E108" t="s">
        <v>79</v>
      </c>
      <c r="F108" t="s">
        <v>3</v>
      </c>
      <c r="G108" t="s">
        <v>229</v>
      </c>
      <c r="H108">
        <v>77748.2</v>
      </c>
      <c r="I108">
        <v>72620.100000000006</v>
      </c>
      <c r="J108">
        <v>74378.399999999994</v>
      </c>
      <c r="K108">
        <v>64517.4</v>
      </c>
      <c r="L108">
        <v>64161.1</v>
      </c>
      <c r="M108">
        <v>68267.100000000006</v>
      </c>
      <c r="N108">
        <v>66948.3</v>
      </c>
      <c r="O108">
        <v>68788</v>
      </c>
      <c r="P108">
        <v>69027.100000000006</v>
      </c>
      <c r="Q108">
        <v>68682.899999999994</v>
      </c>
      <c r="R108">
        <v>75931.600000000006</v>
      </c>
      <c r="S108">
        <v>76753.3</v>
      </c>
      <c r="T108">
        <v>77203.100000000006</v>
      </c>
      <c r="U108">
        <v>80084.899999999994</v>
      </c>
      <c r="V108">
        <v>81597.2</v>
      </c>
      <c r="W108">
        <v>76947</v>
      </c>
      <c r="X108">
        <v>77832.899999999994</v>
      </c>
      <c r="Y108">
        <v>68627</v>
      </c>
      <c r="Z108">
        <v>63517.9</v>
      </c>
      <c r="AA108">
        <v>63427.235999999997</v>
      </c>
      <c r="AB108">
        <v>64599.830999999998</v>
      </c>
      <c r="AC108">
        <v>66667.442999999999</v>
      </c>
      <c r="AD108">
        <v>68858.721999999994</v>
      </c>
      <c r="AE108">
        <v>71466.179000000004</v>
      </c>
      <c r="AF108">
        <v>74274.876999999993</v>
      </c>
      <c r="AG108">
        <v>77055.426999999996</v>
      </c>
      <c r="AH108">
        <v>79623.501000000004</v>
      </c>
      <c r="AI108">
        <v>82085.692999999999</v>
      </c>
      <c r="AJ108">
        <v>84509.048999999999</v>
      </c>
      <c r="AK108">
        <v>86843.923999999999</v>
      </c>
      <c r="AL108">
        <v>89150.805999999997</v>
      </c>
      <c r="AM108">
        <v>91471.543999999994</v>
      </c>
      <c r="AN108">
        <v>93756.396999999997</v>
      </c>
      <c r="AO108">
        <v>95988.201000000001</v>
      </c>
      <c r="AP108">
        <v>98220.345000000001</v>
      </c>
      <c r="AQ108">
        <v>100352.268</v>
      </c>
      <c r="AR108">
        <v>102395.79399999999</v>
      </c>
      <c r="AS108">
        <v>104373.067</v>
      </c>
      <c r="AT108">
        <v>106257.726</v>
      </c>
      <c r="AU108">
        <v>108059.386</v>
      </c>
      <c r="AV108">
        <v>109805.963</v>
      </c>
      <c r="AW108">
        <v>111576.747</v>
      </c>
      <c r="AX108">
        <v>113374.67600000001</v>
      </c>
      <c r="AY108">
        <v>115170.96400000001</v>
      </c>
      <c r="AZ108">
        <v>116981.861</v>
      </c>
      <c r="BA108">
        <v>118887.754</v>
      </c>
      <c r="BB108">
        <v>120775.90300000001</v>
      </c>
      <c r="BC108">
        <v>122662.33500000001</v>
      </c>
      <c r="BD108">
        <v>124552.007</v>
      </c>
      <c r="BE108">
        <v>126470.94500000001</v>
      </c>
      <c r="BF108">
        <v>128433.314</v>
      </c>
      <c r="BG108">
        <v>45.87</v>
      </c>
    </row>
    <row r="109" spans="1:59">
      <c r="A109" t="s">
        <v>232</v>
      </c>
      <c r="B109" t="s">
        <v>206</v>
      </c>
      <c r="C109" t="s">
        <v>82</v>
      </c>
      <c r="D109">
        <v>327</v>
      </c>
      <c r="E109" t="s">
        <v>83</v>
      </c>
      <c r="F109" t="s">
        <v>3</v>
      </c>
      <c r="G109" t="s">
        <v>231</v>
      </c>
      <c r="H109">
        <v>65570.8</v>
      </c>
      <c r="I109">
        <v>61385.7</v>
      </c>
      <c r="J109">
        <v>61624.7</v>
      </c>
      <c r="K109">
        <v>58127.5</v>
      </c>
      <c r="L109">
        <v>46690.5</v>
      </c>
      <c r="M109">
        <v>48126.3</v>
      </c>
      <c r="N109">
        <v>50477.9</v>
      </c>
      <c r="O109">
        <v>53360.6</v>
      </c>
      <c r="P109">
        <v>56443.4</v>
      </c>
      <c r="Q109">
        <v>56512.4</v>
      </c>
      <c r="R109">
        <v>56479.3</v>
      </c>
      <c r="S109">
        <v>55345.2</v>
      </c>
      <c r="T109">
        <v>58488.2</v>
      </c>
      <c r="U109">
        <v>58279.1</v>
      </c>
      <c r="V109">
        <v>60622.8</v>
      </c>
      <c r="W109">
        <v>59015.199999999997</v>
      </c>
      <c r="X109">
        <v>61172.800000000003</v>
      </c>
      <c r="Y109">
        <v>58868.3</v>
      </c>
      <c r="Z109">
        <v>53188.1</v>
      </c>
      <c r="AA109">
        <v>50420.877</v>
      </c>
      <c r="AB109">
        <v>51154.133999999998</v>
      </c>
      <c r="AC109">
        <v>52077.652000000002</v>
      </c>
      <c r="AD109">
        <v>52991.271999999997</v>
      </c>
      <c r="AE109">
        <v>54144.531000000003</v>
      </c>
      <c r="AF109">
        <v>55396.002999999997</v>
      </c>
      <c r="AG109">
        <v>56613.964</v>
      </c>
      <c r="AH109">
        <v>57618.258999999998</v>
      </c>
      <c r="AI109">
        <v>58580.419000000002</v>
      </c>
      <c r="AJ109">
        <v>59494.633000000002</v>
      </c>
      <c r="AK109">
        <v>60343.374000000003</v>
      </c>
      <c r="AL109">
        <v>61214.355000000003</v>
      </c>
      <c r="AM109">
        <v>62170.798999999999</v>
      </c>
      <c r="AN109">
        <v>63139.59</v>
      </c>
      <c r="AO109">
        <v>64112.711000000003</v>
      </c>
      <c r="AP109">
        <v>65158.22</v>
      </c>
      <c r="AQ109">
        <v>66224.182000000001</v>
      </c>
      <c r="AR109">
        <v>67349.630999999994</v>
      </c>
      <c r="AS109">
        <v>68535.159</v>
      </c>
      <c r="AT109">
        <v>69732.870999999999</v>
      </c>
      <c r="AU109">
        <v>70961.226999999999</v>
      </c>
      <c r="AV109">
        <v>72243.909</v>
      </c>
      <c r="AW109">
        <v>73575.192999999999</v>
      </c>
      <c r="AX109">
        <v>74977.812999999995</v>
      </c>
      <c r="AY109">
        <v>76442.418000000005</v>
      </c>
      <c r="AZ109">
        <v>77952.692999999999</v>
      </c>
      <c r="BA109">
        <v>79538.837</v>
      </c>
      <c r="BB109">
        <v>81124.039000000004</v>
      </c>
      <c r="BC109">
        <v>82703.520999999993</v>
      </c>
      <c r="BD109">
        <v>84281.716</v>
      </c>
      <c r="BE109">
        <v>85874.012000000002</v>
      </c>
      <c r="BF109">
        <v>87466.623999999996</v>
      </c>
      <c r="BG109">
        <v>318.22000000000003</v>
      </c>
    </row>
    <row r="110" spans="1:59">
      <c r="A110" t="s">
        <v>234</v>
      </c>
      <c r="B110" t="s">
        <v>206</v>
      </c>
      <c r="C110" t="s">
        <v>86</v>
      </c>
      <c r="D110">
        <v>331</v>
      </c>
      <c r="E110" t="s">
        <v>87</v>
      </c>
      <c r="F110" t="s">
        <v>3</v>
      </c>
      <c r="G110" t="s">
        <v>233</v>
      </c>
      <c r="H110">
        <v>44338.3</v>
      </c>
      <c r="I110">
        <v>40235.199999999997</v>
      </c>
      <c r="J110">
        <v>39887.199999999997</v>
      </c>
      <c r="K110">
        <v>41665.5</v>
      </c>
      <c r="L110">
        <v>40093.199999999997</v>
      </c>
      <c r="M110">
        <v>40794.699999999997</v>
      </c>
      <c r="N110">
        <v>45322.8</v>
      </c>
      <c r="O110">
        <v>53462.5</v>
      </c>
      <c r="P110">
        <v>57870.6</v>
      </c>
      <c r="Q110">
        <v>56917.599999999999</v>
      </c>
      <c r="R110">
        <v>62682.5</v>
      </c>
      <c r="S110">
        <v>66478.399999999994</v>
      </c>
      <c r="T110">
        <v>59778</v>
      </c>
      <c r="U110">
        <v>59989</v>
      </c>
      <c r="V110">
        <v>66969.600000000006</v>
      </c>
      <c r="W110">
        <v>71466.100000000006</v>
      </c>
      <c r="X110">
        <v>65560.3</v>
      </c>
      <c r="Y110">
        <v>75870.8</v>
      </c>
      <c r="Z110">
        <v>93434</v>
      </c>
      <c r="AA110">
        <v>93034.198000000004</v>
      </c>
      <c r="AB110">
        <v>96313.285000000003</v>
      </c>
      <c r="AC110">
        <v>96507.410999999993</v>
      </c>
      <c r="AD110">
        <v>98149.032000000007</v>
      </c>
      <c r="AE110">
        <v>100726.47900000001</v>
      </c>
      <c r="AF110">
        <v>103269.86</v>
      </c>
      <c r="AG110">
        <v>105610.47100000001</v>
      </c>
      <c r="AH110">
        <v>107748.599</v>
      </c>
      <c r="AI110">
        <v>109805.743</v>
      </c>
      <c r="AJ110">
        <v>111805.504</v>
      </c>
      <c r="AK110">
        <v>113606.234</v>
      </c>
      <c r="AL110">
        <v>115257.084</v>
      </c>
      <c r="AM110">
        <v>117017.09</v>
      </c>
      <c r="AN110">
        <v>118838.561</v>
      </c>
      <c r="AO110">
        <v>120628.97100000001</v>
      </c>
      <c r="AP110">
        <v>122470.841</v>
      </c>
      <c r="AQ110">
        <v>124306.963</v>
      </c>
      <c r="AR110">
        <v>126041.394</v>
      </c>
      <c r="AS110">
        <v>127771.667</v>
      </c>
      <c r="AT110">
        <v>129496.817</v>
      </c>
      <c r="AU110">
        <v>131269.23199999999</v>
      </c>
      <c r="AV110">
        <v>133091.818</v>
      </c>
      <c r="AW110">
        <v>134923.587</v>
      </c>
      <c r="AX110">
        <v>136849.48300000001</v>
      </c>
      <c r="AY110">
        <v>138875.48300000001</v>
      </c>
      <c r="AZ110">
        <v>140945.70300000001</v>
      </c>
      <c r="BA110">
        <v>143063.37599999999</v>
      </c>
      <c r="BB110">
        <v>145182.734</v>
      </c>
      <c r="BC110">
        <v>147363.56899999999</v>
      </c>
      <c r="BD110">
        <v>149589.87</v>
      </c>
      <c r="BE110">
        <v>151839.74799999999</v>
      </c>
      <c r="BF110">
        <v>154108.96400000001</v>
      </c>
      <c r="BG110">
        <v>768.76</v>
      </c>
    </row>
    <row r="111" spans="1:59">
      <c r="A111" t="s">
        <v>236</v>
      </c>
      <c r="B111" t="s">
        <v>206</v>
      </c>
      <c r="C111" t="s">
        <v>90</v>
      </c>
      <c r="D111">
        <v>332</v>
      </c>
      <c r="E111" t="s">
        <v>91</v>
      </c>
      <c r="F111" t="s">
        <v>3</v>
      </c>
      <c r="G111" t="s">
        <v>235</v>
      </c>
      <c r="H111">
        <v>155918.5</v>
      </c>
      <c r="I111">
        <v>161418.20000000001</v>
      </c>
      <c r="J111">
        <v>168173.2</v>
      </c>
      <c r="K111">
        <v>160282.29999999999</v>
      </c>
      <c r="L111">
        <v>121100.2</v>
      </c>
      <c r="M111">
        <v>133914.5</v>
      </c>
      <c r="N111">
        <v>142205.6</v>
      </c>
      <c r="O111">
        <v>147337.1</v>
      </c>
      <c r="P111">
        <v>146470.5</v>
      </c>
      <c r="Q111">
        <v>148228.5</v>
      </c>
      <c r="R111">
        <v>141750.29999999999</v>
      </c>
      <c r="S111">
        <v>136712.5</v>
      </c>
      <c r="T111">
        <v>144769.79999999999</v>
      </c>
      <c r="U111">
        <v>150737.20000000001</v>
      </c>
      <c r="V111">
        <v>149272.9</v>
      </c>
      <c r="W111">
        <v>135225.1</v>
      </c>
      <c r="X111">
        <v>139050.6</v>
      </c>
      <c r="Y111">
        <v>133725.4</v>
      </c>
      <c r="Z111">
        <v>124419.4</v>
      </c>
      <c r="AA111">
        <v>119117.568</v>
      </c>
      <c r="AB111">
        <v>118262.113</v>
      </c>
      <c r="AC111">
        <v>116818.133</v>
      </c>
      <c r="AD111">
        <v>117353.621</v>
      </c>
      <c r="AE111">
        <v>119378.442</v>
      </c>
      <c r="AF111">
        <v>121653.79300000001</v>
      </c>
      <c r="AG111">
        <v>123657.716</v>
      </c>
      <c r="AH111">
        <v>125099.973</v>
      </c>
      <c r="AI111">
        <v>126357.732</v>
      </c>
      <c r="AJ111">
        <v>127402.114</v>
      </c>
      <c r="AK111">
        <v>128086.25</v>
      </c>
      <c r="AL111">
        <v>128512.88499999999</v>
      </c>
      <c r="AM111">
        <v>129006.158</v>
      </c>
      <c r="AN111">
        <v>129543.56</v>
      </c>
      <c r="AO111">
        <v>130083.473</v>
      </c>
      <c r="AP111">
        <v>130722.97199999999</v>
      </c>
      <c r="AQ111">
        <v>131309.88</v>
      </c>
      <c r="AR111">
        <v>131777.14499999999</v>
      </c>
      <c r="AS111">
        <v>132192.155</v>
      </c>
      <c r="AT111">
        <v>132541.96299999999</v>
      </c>
      <c r="AU111">
        <v>132918.11199999999</v>
      </c>
      <c r="AV111">
        <v>133350.26</v>
      </c>
      <c r="AW111">
        <v>133881.90400000001</v>
      </c>
      <c r="AX111">
        <v>134570.546</v>
      </c>
      <c r="AY111">
        <v>135344.853</v>
      </c>
      <c r="AZ111">
        <v>136177.17800000001</v>
      </c>
      <c r="BA111">
        <v>137118.432</v>
      </c>
      <c r="BB111">
        <v>138042.38699999999</v>
      </c>
      <c r="BC111">
        <v>139025.334</v>
      </c>
      <c r="BD111">
        <v>140074.432</v>
      </c>
      <c r="BE111">
        <v>141200.359</v>
      </c>
      <c r="BF111">
        <v>142383.5</v>
      </c>
      <c r="BG111">
        <v>191.88</v>
      </c>
    </row>
    <row r="112" spans="1:59">
      <c r="A112" t="s">
        <v>238</v>
      </c>
      <c r="B112" t="s">
        <v>206</v>
      </c>
      <c r="C112" t="s">
        <v>94</v>
      </c>
      <c r="D112">
        <v>333</v>
      </c>
      <c r="E112" t="s">
        <v>95</v>
      </c>
      <c r="F112" t="s">
        <v>3</v>
      </c>
      <c r="G112" t="s">
        <v>237</v>
      </c>
      <c r="H112">
        <v>144750.79999999999</v>
      </c>
      <c r="I112">
        <v>154129.29999999999</v>
      </c>
      <c r="J112">
        <v>161367.4</v>
      </c>
      <c r="K112">
        <v>164925.79999999999</v>
      </c>
      <c r="L112">
        <v>131347.79999999999</v>
      </c>
      <c r="M112">
        <v>148660.29999999999</v>
      </c>
      <c r="N112">
        <v>170659.1</v>
      </c>
      <c r="O112">
        <v>173027.7</v>
      </c>
      <c r="P112">
        <v>171463.1</v>
      </c>
      <c r="Q112">
        <v>168422.5</v>
      </c>
      <c r="R112">
        <v>149705.4</v>
      </c>
      <c r="S112">
        <v>136446.9</v>
      </c>
      <c r="T112">
        <v>147642.4</v>
      </c>
      <c r="U112">
        <v>156376.29999999999</v>
      </c>
      <c r="V112">
        <v>154237.29999999999</v>
      </c>
      <c r="W112">
        <v>138607.79999999999</v>
      </c>
      <c r="X112">
        <v>155935</v>
      </c>
      <c r="Y112">
        <v>156539</v>
      </c>
      <c r="Z112">
        <v>145892.20000000001</v>
      </c>
      <c r="AA112">
        <v>144217.92000000001</v>
      </c>
      <c r="AB112">
        <v>144890.16500000001</v>
      </c>
      <c r="AC112">
        <v>141736.28099999999</v>
      </c>
      <c r="AD112">
        <v>141342.11300000001</v>
      </c>
      <c r="AE112">
        <v>143265.834</v>
      </c>
      <c r="AF112">
        <v>145422.06400000001</v>
      </c>
      <c r="AG112">
        <v>147479.272</v>
      </c>
      <c r="AH112">
        <v>149339.375</v>
      </c>
      <c r="AI112">
        <v>151112.87899999999</v>
      </c>
      <c r="AJ112">
        <v>152796.21799999999</v>
      </c>
      <c r="AK112">
        <v>153974.997</v>
      </c>
      <c r="AL112">
        <v>154645.00200000001</v>
      </c>
      <c r="AM112">
        <v>155464.70600000001</v>
      </c>
      <c r="AN112">
        <v>156146.65599999999</v>
      </c>
      <c r="AO112">
        <v>156691.56299999999</v>
      </c>
      <c r="AP112">
        <v>157398.39999999999</v>
      </c>
      <c r="AQ112">
        <v>158171.05100000001</v>
      </c>
      <c r="AR112">
        <v>158863.133</v>
      </c>
      <c r="AS112">
        <v>159500.326</v>
      </c>
      <c r="AT112">
        <v>160120.07999999999</v>
      </c>
      <c r="AU112">
        <v>160820.524</v>
      </c>
      <c r="AV112">
        <v>161659.20699999999</v>
      </c>
      <c r="AW112">
        <v>162633.48699999999</v>
      </c>
      <c r="AX112">
        <v>163820.66399999999</v>
      </c>
      <c r="AY112">
        <v>165206.92000000001</v>
      </c>
      <c r="AZ112">
        <v>166676.179</v>
      </c>
      <c r="BA112">
        <v>168189.253</v>
      </c>
      <c r="BB112">
        <v>169719.40400000001</v>
      </c>
      <c r="BC112">
        <v>171371.46299999999</v>
      </c>
      <c r="BD112">
        <v>173156.83900000001</v>
      </c>
      <c r="BE112">
        <v>175030.83199999999</v>
      </c>
      <c r="BF112">
        <v>176991.715</v>
      </c>
      <c r="BG112">
        <v>51.08</v>
      </c>
    </row>
    <row r="113" spans="1:59">
      <c r="A113" t="s">
        <v>240</v>
      </c>
      <c r="B113" t="s">
        <v>206</v>
      </c>
      <c r="C113" t="s">
        <v>98</v>
      </c>
      <c r="D113">
        <v>334</v>
      </c>
      <c r="E113" t="s">
        <v>99</v>
      </c>
      <c r="F113" t="s">
        <v>3</v>
      </c>
      <c r="G113" t="s">
        <v>239</v>
      </c>
      <c r="H113">
        <v>107612.8</v>
      </c>
      <c r="I113">
        <v>128734.6</v>
      </c>
      <c r="J113">
        <v>148808.9</v>
      </c>
      <c r="K113">
        <v>171426</v>
      </c>
      <c r="L113">
        <v>173808</v>
      </c>
      <c r="M113">
        <v>193190.7</v>
      </c>
      <c r="N113">
        <v>199504.7</v>
      </c>
      <c r="O113">
        <v>205244.1</v>
      </c>
      <c r="P113">
        <v>209123</v>
      </c>
      <c r="Q113">
        <v>217709</v>
      </c>
      <c r="R113">
        <v>232224.5</v>
      </c>
      <c r="S113">
        <v>238260.5</v>
      </c>
      <c r="T113">
        <v>248739.7</v>
      </c>
      <c r="U113">
        <v>264517</v>
      </c>
      <c r="V113">
        <v>273210.09999999998</v>
      </c>
      <c r="W113">
        <v>280102.7</v>
      </c>
      <c r="X113">
        <v>303831.59999999998</v>
      </c>
      <c r="Y113">
        <v>301441.7</v>
      </c>
      <c r="Z113">
        <v>300617.3</v>
      </c>
      <c r="AA113">
        <v>294058.35100000002</v>
      </c>
      <c r="AB113">
        <v>310500.908</v>
      </c>
      <c r="AC113">
        <v>325251.739</v>
      </c>
      <c r="AD113">
        <v>340244.80699999997</v>
      </c>
      <c r="AE113">
        <v>359219.87300000002</v>
      </c>
      <c r="AF113">
        <v>380858.85200000001</v>
      </c>
      <c r="AG113">
        <v>403834.39799999999</v>
      </c>
      <c r="AH113">
        <v>427119.31</v>
      </c>
      <c r="AI113">
        <v>450330.54100000003</v>
      </c>
      <c r="AJ113">
        <v>474374.99</v>
      </c>
      <c r="AK113">
        <v>497306.408</v>
      </c>
      <c r="AL113">
        <v>518247.83100000001</v>
      </c>
      <c r="AM113">
        <v>539587.94099999999</v>
      </c>
      <c r="AN113">
        <v>562263.19900000002</v>
      </c>
      <c r="AO113">
        <v>585783.96600000001</v>
      </c>
      <c r="AP113">
        <v>610376.44700000004</v>
      </c>
      <c r="AQ113">
        <v>635782.33200000005</v>
      </c>
      <c r="AR113">
        <v>661730.16299999994</v>
      </c>
      <c r="AS113">
        <v>688002.29399999999</v>
      </c>
      <c r="AT113">
        <v>714739.75</v>
      </c>
      <c r="AU113">
        <v>742131.84400000004</v>
      </c>
      <c r="AV113">
        <v>770309.07799999998</v>
      </c>
      <c r="AW113">
        <v>799420.576</v>
      </c>
      <c r="AX113">
        <v>829909.38100000005</v>
      </c>
      <c r="AY113">
        <v>861935.23100000003</v>
      </c>
      <c r="AZ113">
        <v>894829.98499999999</v>
      </c>
      <c r="BA113">
        <v>928197.87600000005</v>
      </c>
      <c r="BB113">
        <v>962134.96900000004</v>
      </c>
      <c r="BC113">
        <v>996843.22600000002</v>
      </c>
      <c r="BD113">
        <v>1032449.028</v>
      </c>
      <c r="BE113">
        <v>1069441.4339999999</v>
      </c>
      <c r="BF113">
        <v>1108262.915</v>
      </c>
      <c r="BG113">
        <v>10.8</v>
      </c>
    </row>
    <row r="114" spans="1:59">
      <c r="A114" t="s">
        <v>242</v>
      </c>
      <c r="B114" t="s">
        <v>206</v>
      </c>
      <c r="C114" t="s">
        <v>102</v>
      </c>
      <c r="D114">
        <v>335</v>
      </c>
      <c r="E114" t="s">
        <v>103</v>
      </c>
      <c r="F114" t="s">
        <v>3</v>
      </c>
      <c r="G114" t="s">
        <v>241</v>
      </c>
      <c r="H114">
        <v>52779.5</v>
      </c>
      <c r="I114">
        <v>60476.4</v>
      </c>
      <c r="J114">
        <v>56845.7</v>
      </c>
      <c r="K114">
        <v>60833.8</v>
      </c>
      <c r="L114">
        <v>50860.5</v>
      </c>
      <c r="M114">
        <v>52546.400000000001</v>
      </c>
      <c r="N114">
        <v>50576.4</v>
      </c>
      <c r="O114">
        <v>51950.8</v>
      </c>
      <c r="P114">
        <v>57066.9</v>
      </c>
      <c r="Q114">
        <v>53030</v>
      </c>
      <c r="R114">
        <v>60056.4</v>
      </c>
      <c r="S114">
        <v>55243.8</v>
      </c>
      <c r="T114">
        <v>57628.1</v>
      </c>
      <c r="U114">
        <v>57472.4</v>
      </c>
      <c r="V114">
        <v>55346.7</v>
      </c>
      <c r="W114">
        <v>52880.6</v>
      </c>
      <c r="X114">
        <v>56532.4</v>
      </c>
      <c r="Y114">
        <v>55418.9</v>
      </c>
      <c r="Z114">
        <v>49698.2</v>
      </c>
      <c r="AA114">
        <v>48278.963000000003</v>
      </c>
      <c r="AB114">
        <v>49102.192000000003</v>
      </c>
      <c r="AC114">
        <v>49867.894</v>
      </c>
      <c r="AD114">
        <v>50916.847000000002</v>
      </c>
      <c r="AE114">
        <v>52567.25</v>
      </c>
      <c r="AF114">
        <v>54442.499000000003</v>
      </c>
      <c r="AG114">
        <v>56326.779000000002</v>
      </c>
      <c r="AH114">
        <v>57978.591999999997</v>
      </c>
      <c r="AI114">
        <v>59409.830999999998</v>
      </c>
      <c r="AJ114">
        <v>60756.57</v>
      </c>
      <c r="AK114">
        <v>61971.322</v>
      </c>
      <c r="AL114">
        <v>63111.46</v>
      </c>
      <c r="AM114">
        <v>64309.131000000001</v>
      </c>
      <c r="AN114">
        <v>65543.78</v>
      </c>
      <c r="AO114">
        <v>66795.240999999995</v>
      </c>
      <c r="AP114">
        <v>68113.919999999998</v>
      </c>
      <c r="AQ114">
        <v>69485.904999999999</v>
      </c>
      <c r="AR114">
        <v>70957.316999999995</v>
      </c>
      <c r="AS114">
        <v>72480.853000000003</v>
      </c>
      <c r="AT114">
        <v>74016.101999999999</v>
      </c>
      <c r="AU114">
        <v>75599.922999999995</v>
      </c>
      <c r="AV114">
        <v>77271.877999999997</v>
      </c>
      <c r="AW114">
        <v>79022.8</v>
      </c>
      <c r="AX114">
        <v>80847.392999999996</v>
      </c>
      <c r="AY114">
        <v>82761.629000000001</v>
      </c>
      <c r="AZ114">
        <v>84723.532000000007</v>
      </c>
      <c r="BA114">
        <v>86729.957999999999</v>
      </c>
      <c r="BB114">
        <v>88743.876000000004</v>
      </c>
      <c r="BC114">
        <v>90787.817999999999</v>
      </c>
      <c r="BD114">
        <v>92877.156000000003</v>
      </c>
      <c r="BE114">
        <v>95038.481</v>
      </c>
      <c r="BF114">
        <v>97275.308000000005</v>
      </c>
      <c r="BG114">
        <v>22.77</v>
      </c>
    </row>
    <row r="115" spans="1:59">
      <c r="A115" t="s">
        <v>244</v>
      </c>
      <c r="B115" t="s">
        <v>206</v>
      </c>
      <c r="C115" t="s">
        <v>106</v>
      </c>
      <c r="D115">
        <v>336</v>
      </c>
      <c r="E115" t="s">
        <v>107</v>
      </c>
      <c r="F115" t="s">
        <v>3</v>
      </c>
      <c r="G115" t="s">
        <v>243</v>
      </c>
      <c r="H115">
        <v>253479.93900000001</v>
      </c>
      <c r="I115">
        <v>275461.80900000001</v>
      </c>
      <c r="J115">
        <v>290332.13199999998</v>
      </c>
      <c r="K115">
        <v>255414.83</v>
      </c>
      <c r="L115">
        <v>178227.1</v>
      </c>
      <c r="M115">
        <v>233470.872</v>
      </c>
      <c r="N115">
        <v>265174.7</v>
      </c>
      <c r="O115">
        <v>269810.05</v>
      </c>
      <c r="P115">
        <v>281999.53700000001</v>
      </c>
      <c r="Q115">
        <v>290165.304</v>
      </c>
      <c r="R115">
        <v>295337.88699999999</v>
      </c>
      <c r="S115">
        <v>299904.158</v>
      </c>
      <c r="T115">
        <v>310035.09999999998</v>
      </c>
      <c r="U115">
        <v>324667.049</v>
      </c>
      <c r="V115">
        <v>329635.34700000001</v>
      </c>
      <c r="W115">
        <v>286329.69400000002</v>
      </c>
      <c r="X115">
        <v>326726.20199999999</v>
      </c>
      <c r="Y115">
        <v>360309.31599999999</v>
      </c>
      <c r="Z115">
        <v>368533.64799999999</v>
      </c>
      <c r="AA115">
        <v>382905.54300000001</v>
      </c>
      <c r="AB115">
        <v>390962.74099999998</v>
      </c>
      <c r="AC115">
        <v>371502.016</v>
      </c>
      <c r="AD115">
        <v>373334.35800000001</v>
      </c>
      <c r="AE115">
        <v>387188.34899999999</v>
      </c>
      <c r="AF115">
        <v>402812.49900000001</v>
      </c>
      <c r="AG115">
        <v>417394.47899999999</v>
      </c>
      <c r="AH115">
        <v>430729.49300000002</v>
      </c>
      <c r="AI115">
        <v>443217.08199999999</v>
      </c>
      <c r="AJ115">
        <v>453296.054</v>
      </c>
      <c r="AK115">
        <v>459260.95699999999</v>
      </c>
      <c r="AL115">
        <v>463555.69500000001</v>
      </c>
      <c r="AM115">
        <v>469477.76400000002</v>
      </c>
      <c r="AN115">
        <v>476275.09499999997</v>
      </c>
      <c r="AO115">
        <v>483330.83299999998</v>
      </c>
      <c r="AP115">
        <v>490057.06099999999</v>
      </c>
      <c r="AQ115">
        <v>495836.49</v>
      </c>
      <c r="AR115">
        <v>499826.46100000001</v>
      </c>
      <c r="AS115">
        <v>503598.63299999997</v>
      </c>
      <c r="AT115">
        <v>507039.10800000001</v>
      </c>
      <c r="AU115">
        <v>511086.07900000003</v>
      </c>
      <c r="AV115">
        <v>515468.49800000002</v>
      </c>
      <c r="AW115">
        <v>519612.52600000001</v>
      </c>
      <c r="AX115">
        <v>524578.10499999998</v>
      </c>
      <c r="AY115">
        <v>530446.90500000003</v>
      </c>
      <c r="AZ115">
        <v>536560.07400000002</v>
      </c>
      <c r="BA115">
        <v>542908.72699999996</v>
      </c>
      <c r="BB115">
        <v>549003.11499999999</v>
      </c>
      <c r="BC115">
        <v>555570.53300000005</v>
      </c>
      <c r="BD115">
        <v>562360.18299999996</v>
      </c>
      <c r="BE115">
        <v>569118.52599999995</v>
      </c>
      <c r="BF115">
        <v>576195.66399999999</v>
      </c>
      <c r="BG115">
        <v>768.86</v>
      </c>
    </row>
    <row r="116" spans="1:59">
      <c r="A116" t="s">
        <v>246</v>
      </c>
      <c r="B116" t="s">
        <v>206</v>
      </c>
      <c r="C116" t="s">
        <v>110</v>
      </c>
      <c r="D116">
        <v>337</v>
      </c>
      <c r="E116" t="s">
        <v>111</v>
      </c>
      <c r="F116" t="s">
        <v>3</v>
      </c>
      <c r="G116" t="s">
        <v>245</v>
      </c>
      <c r="H116">
        <v>41273.199999999997</v>
      </c>
      <c r="I116">
        <v>41796.699999999997</v>
      </c>
      <c r="J116">
        <v>38269.599999999999</v>
      </c>
      <c r="K116">
        <v>32593.200000000001</v>
      </c>
      <c r="L116">
        <v>23780.799999999999</v>
      </c>
      <c r="M116">
        <v>23987.599999999999</v>
      </c>
      <c r="N116">
        <v>24289.1</v>
      </c>
      <c r="O116">
        <v>23818</v>
      </c>
      <c r="P116">
        <v>25654.799999999999</v>
      </c>
      <c r="Q116">
        <v>27073.4</v>
      </c>
      <c r="R116">
        <v>28919.599999999999</v>
      </c>
      <c r="S116">
        <v>29097.4</v>
      </c>
      <c r="T116">
        <v>28896.7</v>
      </c>
      <c r="U116">
        <v>30296.3</v>
      </c>
      <c r="V116">
        <v>29064.3</v>
      </c>
      <c r="W116">
        <v>27333.7</v>
      </c>
      <c r="X116">
        <v>28794.7</v>
      </c>
      <c r="Y116">
        <v>27417.8</v>
      </c>
      <c r="Z116">
        <v>22790.1</v>
      </c>
      <c r="AA116">
        <v>22355.172999999999</v>
      </c>
      <c r="AB116">
        <v>22573.8</v>
      </c>
      <c r="AC116">
        <v>23083.615000000002</v>
      </c>
      <c r="AD116">
        <v>23364.99</v>
      </c>
      <c r="AE116">
        <v>23614.903999999999</v>
      </c>
      <c r="AF116">
        <v>23981.705999999998</v>
      </c>
      <c r="AG116">
        <v>24365.494999999999</v>
      </c>
      <c r="AH116">
        <v>24608.224999999999</v>
      </c>
      <c r="AI116">
        <v>24851.833999999999</v>
      </c>
      <c r="AJ116">
        <v>25075.008000000002</v>
      </c>
      <c r="AK116">
        <v>25237.823</v>
      </c>
      <c r="AL116">
        <v>25411.040000000001</v>
      </c>
      <c r="AM116">
        <v>25629.11</v>
      </c>
      <c r="AN116">
        <v>25852.716</v>
      </c>
      <c r="AO116">
        <v>26075.393</v>
      </c>
      <c r="AP116">
        <v>26331.103999999999</v>
      </c>
      <c r="AQ116">
        <v>26553.233</v>
      </c>
      <c r="AR116">
        <v>26753.003000000001</v>
      </c>
      <c r="AS116">
        <v>26963.142</v>
      </c>
      <c r="AT116">
        <v>27155.437000000002</v>
      </c>
      <c r="AU116">
        <v>27342.695</v>
      </c>
      <c r="AV116">
        <v>27520.977999999999</v>
      </c>
      <c r="AW116">
        <v>27707.508999999998</v>
      </c>
      <c r="AX116">
        <v>27914.028999999999</v>
      </c>
      <c r="AY116">
        <v>28111.951000000001</v>
      </c>
      <c r="AZ116">
        <v>28321.501</v>
      </c>
      <c r="BA116">
        <v>28581.904999999999</v>
      </c>
      <c r="BB116">
        <v>28840.386999999999</v>
      </c>
      <c r="BC116">
        <v>29083.26</v>
      </c>
      <c r="BD116">
        <v>29316.205999999998</v>
      </c>
      <c r="BE116">
        <v>29559.714</v>
      </c>
      <c r="BF116">
        <v>29809.992999999999</v>
      </c>
      <c r="BG116">
        <v>211.91</v>
      </c>
    </row>
    <row r="117" spans="1:59">
      <c r="A117" t="s">
        <v>248</v>
      </c>
      <c r="B117" t="s">
        <v>206</v>
      </c>
      <c r="C117" t="s">
        <v>114</v>
      </c>
      <c r="D117">
        <v>339</v>
      </c>
      <c r="E117" t="s">
        <v>115</v>
      </c>
      <c r="F117" t="s">
        <v>3</v>
      </c>
      <c r="G117" t="s">
        <v>247</v>
      </c>
      <c r="H117">
        <v>70676.100000000006</v>
      </c>
      <c r="I117">
        <v>75705.8</v>
      </c>
      <c r="J117">
        <v>77212</v>
      </c>
      <c r="K117">
        <v>82376.7</v>
      </c>
      <c r="L117">
        <v>83911.2</v>
      </c>
      <c r="M117">
        <v>87559.6</v>
      </c>
      <c r="N117">
        <v>85146.5</v>
      </c>
      <c r="O117">
        <v>84824.6</v>
      </c>
      <c r="P117">
        <v>82419.5</v>
      </c>
      <c r="Q117">
        <v>83245.3</v>
      </c>
      <c r="R117">
        <v>79534.7</v>
      </c>
      <c r="S117">
        <v>83462.600000000006</v>
      </c>
      <c r="T117">
        <v>86607.2</v>
      </c>
      <c r="U117">
        <v>91871.4</v>
      </c>
      <c r="V117">
        <v>88900.800000000003</v>
      </c>
      <c r="W117">
        <v>87621.1</v>
      </c>
      <c r="X117">
        <v>97554.3</v>
      </c>
      <c r="Y117">
        <v>102184.1</v>
      </c>
      <c r="Z117">
        <v>103662.5</v>
      </c>
      <c r="AA117">
        <v>105496.762</v>
      </c>
      <c r="AB117">
        <v>106007.455</v>
      </c>
      <c r="AC117">
        <v>106236.27</v>
      </c>
      <c r="AD117">
        <v>106921.227</v>
      </c>
      <c r="AE117">
        <v>108040.17</v>
      </c>
      <c r="AF117">
        <v>109295.41099999999</v>
      </c>
      <c r="AG117">
        <v>110603.535</v>
      </c>
      <c r="AH117">
        <v>111945.428</v>
      </c>
      <c r="AI117">
        <v>113355.219</v>
      </c>
      <c r="AJ117">
        <v>114812.499</v>
      </c>
      <c r="AK117">
        <v>116291.09699999999</v>
      </c>
      <c r="AL117">
        <v>117822.423</v>
      </c>
      <c r="AM117">
        <v>119459.22199999999</v>
      </c>
      <c r="AN117">
        <v>121152.08500000001</v>
      </c>
      <c r="AO117">
        <v>122860.99400000001</v>
      </c>
      <c r="AP117">
        <v>124653.65399999999</v>
      </c>
      <c r="AQ117">
        <v>126554.601</v>
      </c>
      <c r="AR117">
        <v>128621.368</v>
      </c>
      <c r="AS117">
        <v>130764.36900000001</v>
      </c>
      <c r="AT117">
        <v>132954.56899999999</v>
      </c>
      <c r="AU117">
        <v>135225.78400000001</v>
      </c>
      <c r="AV117">
        <v>137605.47899999999</v>
      </c>
      <c r="AW117">
        <v>140050.23699999999</v>
      </c>
      <c r="AX117">
        <v>142578.402</v>
      </c>
      <c r="AY117">
        <v>145229.921</v>
      </c>
      <c r="AZ117">
        <v>147936.91200000001</v>
      </c>
      <c r="BA117">
        <v>150682.96100000001</v>
      </c>
      <c r="BB117">
        <v>153435.82699999999</v>
      </c>
      <c r="BC117">
        <v>156241.209</v>
      </c>
      <c r="BD117">
        <v>159089.52799999999</v>
      </c>
      <c r="BE117">
        <v>161970.76500000001</v>
      </c>
      <c r="BF117">
        <v>164898.424</v>
      </c>
      <c r="BG117">
        <v>27.74</v>
      </c>
    </row>
    <row r="118" spans="1:59">
      <c r="A118" t="s">
        <v>474</v>
      </c>
      <c r="B118" t="s">
        <v>206</v>
      </c>
      <c r="C118" t="s">
        <v>333</v>
      </c>
      <c r="D118">
        <v>423</v>
      </c>
      <c r="E118" t="s">
        <v>334</v>
      </c>
      <c r="F118" t="s">
        <v>3</v>
      </c>
      <c r="G118" t="s">
        <v>475</v>
      </c>
      <c r="H118">
        <v>472007.13400000002</v>
      </c>
      <c r="I118">
        <v>495582.75300000003</v>
      </c>
      <c r="J118">
        <v>518864.56199999998</v>
      </c>
      <c r="K118">
        <v>516586.05</v>
      </c>
      <c r="L118">
        <v>453612.84</v>
      </c>
      <c r="M118">
        <v>507214.59100000001</v>
      </c>
      <c r="N118">
        <v>522635.228</v>
      </c>
      <c r="O118">
        <v>544004.90599999996</v>
      </c>
      <c r="P118">
        <v>556394.48699999996</v>
      </c>
      <c r="Q118">
        <v>587278.16299999994</v>
      </c>
      <c r="R118">
        <v>615880.76699999999</v>
      </c>
      <c r="S118">
        <v>583931.45799999998</v>
      </c>
      <c r="T118">
        <v>586327.30799999996</v>
      </c>
      <c r="U118">
        <v>594785.46600000001</v>
      </c>
      <c r="V118">
        <v>594994.52399999998</v>
      </c>
      <c r="W118">
        <v>594378.64800000004</v>
      </c>
      <c r="X118">
        <v>544331.39500000002</v>
      </c>
      <c r="Y118">
        <v>530502.29200000002</v>
      </c>
      <c r="Z118">
        <v>532790.17500000005</v>
      </c>
      <c r="AA118">
        <v>539002.67299999995</v>
      </c>
      <c r="AB118">
        <v>551663.94400000002</v>
      </c>
      <c r="AC118">
        <v>567649.83900000004</v>
      </c>
      <c r="AD118">
        <v>589294.56900000002</v>
      </c>
      <c r="AE118">
        <v>613605.63100000005</v>
      </c>
      <c r="AF118">
        <v>639083.52899999998</v>
      </c>
      <c r="AG118">
        <v>664617.41700000002</v>
      </c>
      <c r="AH118">
        <v>690919.91</v>
      </c>
      <c r="AI118">
        <v>718620.44</v>
      </c>
      <c r="AJ118">
        <v>748152.69499999995</v>
      </c>
      <c r="AK118">
        <v>777508.36100000003</v>
      </c>
      <c r="AL118">
        <v>806774.61699999997</v>
      </c>
      <c r="AM118">
        <v>836644.83100000001</v>
      </c>
      <c r="AN118">
        <v>867069.41399999999</v>
      </c>
      <c r="AO118">
        <v>897732.66099999996</v>
      </c>
      <c r="AP118">
        <v>929356.15899999999</v>
      </c>
      <c r="AQ118">
        <v>961592.49199999997</v>
      </c>
      <c r="AR118">
        <v>994104.61100000003</v>
      </c>
      <c r="AS118">
        <v>1026929.292</v>
      </c>
      <c r="AT118">
        <v>1060579.9410000001</v>
      </c>
      <c r="AU118">
        <v>1095392.0390000001</v>
      </c>
      <c r="AV118">
        <v>1131178.9129999999</v>
      </c>
      <c r="AW118">
        <v>1166883.206</v>
      </c>
      <c r="AX118">
        <v>1203287.9439999999</v>
      </c>
      <c r="AY118">
        <v>1241479.4029999999</v>
      </c>
      <c r="AZ118">
        <v>1280740.781</v>
      </c>
      <c r="BA118">
        <v>1320832.879</v>
      </c>
      <c r="BB118">
        <v>1361567.7409999999</v>
      </c>
      <c r="BC118">
        <v>1403621.358</v>
      </c>
      <c r="BD118">
        <v>1446548.6869999999</v>
      </c>
      <c r="BE118">
        <v>1490701.777</v>
      </c>
      <c r="BF118">
        <v>1536561.2379999999</v>
      </c>
      <c r="BG118">
        <v>67.38</v>
      </c>
    </row>
    <row r="119" spans="1:59">
      <c r="A119" t="s">
        <v>476</v>
      </c>
      <c r="B119" t="s">
        <v>206</v>
      </c>
      <c r="C119" t="s">
        <v>337</v>
      </c>
      <c r="D119">
        <v>424</v>
      </c>
      <c r="E119" t="s">
        <v>338</v>
      </c>
      <c r="F119" t="s">
        <v>3</v>
      </c>
      <c r="G119" t="s">
        <v>477</v>
      </c>
      <c r="H119">
        <v>515298.103</v>
      </c>
      <c r="I119">
        <v>520166.56599999999</v>
      </c>
      <c r="J119">
        <v>530536.41500000004</v>
      </c>
      <c r="K119">
        <v>524582.22900000005</v>
      </c>
      <c r="L119">
        <v>459664.73499999999</v>
      </c>
      <c r="M119">
        <v>451156.23300000001</v>
      </c>
      <c r="N119">
        <v>452912.48200000002</v>
      </c>
      <c r="O119">
        <v>461624.446</v>
      </c>
      <c r="P119">
        <v>476991.179</v>
      </c>
      <c r="Q119">
        <v>490655.94699999999</v>
      </c>
      <c r="R119">
        <v>516953.25199999998</v>
      </c>
      <c r="S119">
        <v>546344.66399999999</v>
      </c>
      <c r="T119">
        <v>557354.647</v>
      </c>
      <c r="U119">
        <v>561660.10199999996</v>
      </c>
      <c r="V119">
        <v>572829.91</v>
      </c>
      <c r="W119">
        <v>588418.43599999999</v>
      </c>
      <c r="X119">
        <v>615981.40300000005</v>
      </c>
      <c r="Y119">
        <v>605389.38500000001</v>
      </c>
      <c r="Z119">
        <v>599464.81299999997</v>
      </c>
      <c r="AA119">
        <v>605044.272</v>
      </c>
      <c r="AB119">
        <v>618597.30799999996</v>
      </c>
      <c r="AC119">
        <v>632699.22400000005</v>
      </c>
      <c r="AD119">
        <v>652899.72199999995</v>
      </c>
      <c r="AE119">
        <v>675823.33900000004</v>
      </c>
      <c r="AF119">
        <v>699827.36399999994</v>
      </c>
      <c r="AG119">
        <v>723761.39500000002</v>
      </c>
      <c r="AH119">
        <v>748394.56900000002</v>
      </c>
      <c r="AI119">
        <v>774389.94099999999</v>
      </c>
      <c r="AJ119">
        <v>802199.18400000001</v>
      </c>
      <c r="AK119">
        <v>829671.11699999997</v>
      </c>
      <c r="AL119">
        <v>856930.91899999999</v>
      </c>
      <c r="AM119">
        <v>884735.28300000005</v>
      </c>
      <c r="AN119">
        <v>913027.12</v>
      </c>
      <c r="AO119">
        <v>941479.29700000002</v>
      </c>
      <c r="AP119">
        <v>970854.22600000002</v>
      </c>
      <c r="AQ119">
        <v>1000797.721</v>
      </c>
      <c r="AR119">
        <v>1030976.863</v>
      </c>
      <c r="AS119">
        <v>1061443.2919999999</v>
      </c>
      <c r="AT119">
        <v>1092738.5759999999</v>
      </c>
      <c r="AU119">
        <v>1125218.6710000001</v>
      </c>
      <c r="AV119">
        <v>1158700.5490000001</v>
      </c>
      <c r="AW119">
        <v>1192123.5859999999</v>
      </c>
      <c r="AX119">
        <v>1226302.051</v>
      </c>
      <c r="AY119">
        <v>1262359.169</v>
      </c>
      <c r="AZ119">
        <v>1299581.4839999999</v>
      </c>
      <c r="BA119">
        <v>1337742.808</v>
      </c>
      <c r="BB119">
        <v>1376675.236</v>
      </c>
      <c r="BC119">
        <v>1417089.8659999999</v>
      </c>
      <c r="BD119">
        <v>1458558.422</v>
      </c>
      <c r="BE119">
        <v>1501459.166</v>
      </c>
      <c r="BF119">
        <v>1546297.4620000001</v>
      </c>
      <c r="BG119">
        <v>84.45</v>
      </c>
    </row>
    <row r="120" spans="1:59">
      <c r="A120" t="s">
        <v>478</v>
      </c>
      <c r="B120" t="s">
        <v>206</v>
      </c>
      <c r="C120" t="s">
        <v>341</v>
      </c>
      <c r="D120">
        <v>425</v>
      </c>
      <c r="E120" t="s">
        <v>342</v>
      </c>
      <c r="F120" t="s">
        <v>3</v>
      </c>
      <c r="G120" t="s">
        <v>479</v>
      </c>
      <c r="H120">
        <v>27798.236000000001</v>
      </c>
      <c r="I120">
        <v>27333.011999999999</v>
      </c>
      <c r="J120">
        <v>28948.9</v>
      </c>
      <c r="K120">
        <v>37566.03</v>
      </c>
      <c r="L120">
        <v>32637.645</v>
      </c>
      <c r="M120">
        <v>45399.462</v>
      </c>
      <c r="N120">
        <v>48636.546000000002</v>
      </c>
      <c r="O120">
        <v>54699.067999999999</v>
      </c>
      <c r="P120">
        <v>55320.413999999997</v>
      </c>
      <c r="Q120">
        <v>54122.144999999997</v>
      </c>
      <c r="R120">
        <v>50208.027999999998</v>
      </c>
      <c r="S120">
        <v>40500.146000000001</v>
      </c>
      <c r="T120">
        <v>32462.945</v>
      </c>
      <c r="U120">
        <v>27304.05</v>
      </c>
      <c r="V120">
        <v>27951.245999999999</v>
      </c>
      <c r="W120">
        <v>24818.652999999998</v>
      </c>
      <c r="X120">
        <v>27902.672999999999</v>
      </c>
      <c r="Y120">
        <v>26373.582999999999</v>
      </c>
      <c r="Z120">
        <v>23404.358</v>
      </c>
      <c r="AA120">
        <v>22311.608</v>
      </c>
      <c r="AB120">
        <v>22282.498</v>
      </c>
      <c r="AC120">
        <v>22162.159</v>
      </c>
      <c r="AD120">
        <v>22263.883000000002</v>
      </c>
      <c r="AE120">
        <v>22459.739000000001</v>
      </c>
      <c r="AF120">
        <v>22687.617999999999</v>
      </c>
      <c r="AG120">
        <v>22904.685000000001</v>
      </c>
      <c r="AH120">
        <v>23139.123</v>
      </c>
      <c r="AI120">
        <v>23413.33</v>
      </c>
      <c r="AJ120">
        <v>23740.059000000001</v>
      </c>
      <c r="AK120">
        <v>24054.928</v>
      </c>
      <c r="AL120">
        <v>24363.200000000001</v>
      </c>
      <c r="AM120">
        <v>24688.223000000002</v>
      </c>
      <c r="AN120">
        <v>25030.021000000001</v>
      </c>
      <c r="AO120">
        <v>25381.001</v>
      </c>
      <c r="AP120">
        <v>25762.775000000001</v>
      </c>
      <c r="AQ120">
        <v>26166.237000000001</v>
      </c>
      <c r="AR120">
        <v>26583.421999999999</v>
      </c>
      <c r="AS120">
        <v>27016.985000000001</v>
      </c>
      <c r="AT120">
        <v>27482.12</v>
      </c>
      <c r="AU120">
        <v>27988.491000000002</v>
      </c>
      <c r="AV120">
        <v>28532.275000000001</v>
      </c>
      <c r="AW120">
        <v>29088.405999999999</v>
      </c>
      <c r="AX120">
        <v>29678.726999999999</v>
      </c>
      <c r="AY120">
        <v>30331.289000000001</v>
      </c>
      <c r="AZ120">
        <v>31029.867999999999</v>
      </c>
      <c r="BA120">
        <v>31771.169000000002</v>
      </c>
      <c r="BB120">
        <v>32552.743999999999</v>
      </c>
      <c r="BC120">
        <v>33393.017</v>
      </c>
      <c r="BD120">
        <v>34283.923999999999</v>
      </c>
      <c r="BE120">
        <v>35236.669000000002</v>
      </c>
      <c r="BF120">
        <v>36265.991000000002</v>
      </c>
      <c r="BG120">
        <v>186.89</v>
      </c>
    </row>
    <row r="121" spans="1:59">
      <c r="A121" t="s">
        <v>250</v>
      </c>
      <c r="B121" t="s">
        <v>206</v>
      </c>
      <c r="C121" t="s">
        <v>118</v>
      </c>
      <c r="D121">
        <v>441</v>
      </c>
      <c r="E121" t="s">
        <v>119</v>
      </c>
      <c r="F121" t="s">
        <v>3</v>
      </c>
      <c r="G121" t="s">
        <v>249</v>
      </c>
      <c r="H121">
        <v>147819.17600000001</v>
      </c>
      <c r="I121">
        <v>143894.851</v>
      </c>
      <c r="J121">
        <v>145171.20000000001</v>
      </c>
      <c r="K121">
        <v>131052.15399999999</v>
      </c>
      <c r="L121">
        <v>109699.96</v>
      </c>
      <c r="M121">
        <v>121154.14</v>
      </c>
      <c r="N121">
        <v>123326.014</v>
      </c>
      <c r="O121">
        <v>134260.88399999999</v>
      </c>
      <c r="P121">
        <v>151081.98499999999</v>
      </c>
      <c r="Q121">
        <v>164298.03200000001</v>
      </c>
      <c r="R121">
        <v>182722.18599999999</v>
      </c>
      <c r="S121">
        <v>213137.019</v>
      </c>
      <c r="T121">
        <v>235782.04</v>
      </c>
      <c r="U121">
        <v>243710.761</v>
      </c>
      <c r="V121">
        <v>260186.837</v>
      </c>
      <c r="W121">
        <v>225690.20300000001</v>
      </c>
      <c r="X121">
        <v>189238.01199999999</v>
      </c>
      <c r="Y121">
        <v>160392.96100000001</v>
      </c>
      <c r="Z121">
        <v>222959.84899999999</v>
      </c>
      <c r="AA121">
        <v>293719.614</v>
      </c>
      <c r="AB121">
        <v>308665.505</v>
      </c>
      <c r="AC121">
        <v>321333.54300000001</v>
      </c>
      <c r="AD121">
        <v>333102.64899999998</v>
      </c>
      <c r="AE121">
        <v>344634.848</v>
      </c>
      <c r="AF121">
        <v>356649.60600000003</v>
      </c>
      <c r="AG121">
        <v>369066.03700000001</v>
      </c>
      <c r="AH121">
        <v>380830.46799999999</v>
      </c>
      <c r="AI121">
        <v>392460.84299999999</v>
      </c>
      <c r="AJ121">
        <v>403924.16100000002</v>
      </c>
      <c r="AK121">
        <v>414445.49900000001</v>
      </c>
      <c r="AL121">
        <v>424483.342</v>
      </c>
      <c r="AM121">
        <v>434986.58299999998</v>
      </c>
      <c r="AN121">
        <v>445555.78700000001</v>
      </c>
      <c r="AO121">
        <v>457092.42300000001</v>
      </c>
      <c r="AP121">
        <v>469088.01699999999</v>
      </c>
      <c r="AQ121">
        <v>480925.21500000003</v>
      </c>
      <c r="AR121">
        <v>492366.48700000002</v>
      </c>
      <c r="AS121">
        <v>503591.21799999999</v>
      </c>
      <c r="AT121">
        <v>514695.29</v>
      </c>
      <c r="AU121">
        <v>525868.48499999999</v>
      </c>
      <c r="AV121">
        <v>536836.89500000002</v>
      </c>
      <c r="AW121">
        <v>547534.34</v>
      </c>
      <c r="AX121">
        <v>558332.30799999996</v>
      </c>
      <c r="AY121">
        <v>569547.70299999998</v>
      </c>
      <c r="AZ121">
        <v>581004.64099999995</v>
      </c>
      <c r="BA121">
        <v>592681.76100000006</v>
      </c>
      <c r="BB121">
        <v>604550.49399999995</v>
      </c>
      <c r="BC121">
        <v>616694.48</v>
      </c>
      <c r="BD121">
        <v>628827.92099999997</v>
      </c>
      <c r="BE121">
        <v>640939.25399999996</v>
      </c>
      <c r="BF121">
        <v>653281.75199999998</v>
      </c>
      <c r="BG121">
        <v>153.21</v>
      </c>
    </row>
    <row r="122" spans="1:59">
      <c r="A122" t="s">
        <v>252</v>
      </c>
      <c r="B122" t="s">
        <v>206</v>
      </c>
      <c r="C122" t="s">
        <v>122</v>
      </c>
      <c r="D122">
        <v>442</v>
      </c>
      <c r="E122" t="s">
        <v>123</v>
      </c>
      <c r="F122" t="s">
        <v>3</v>
      </c>
      <c r="G122" t="s">
        <v>251</v>
      </c>
      <c r="H122">
        <v>30402.477999999999</v>
      </c>
      <c r="I122">
        <v>31844.63</v>
      </c>
      <c r="J122">
        <v>31123.616000000002</v>
      </c>
      <c r="K122">
        <v>27513.057000000001</v>
      </c>
      <c r="L122">
        <v>23286.982</v>
      </c>
      <c r="M122">
        <v>23404.651999999998</v>
      </c>
      <c r="N122">
        <v>23564.786</v>
      </c>
      <c r="O122">
        <v>24168.038</v>
      </c>
      <c r="P122">
        <v>25185.904999999999</v>
      </c>
      <c r="Q122">
        <v>26844.105</v>
      </c>
      <c r="R122">
        <v>29346.589</v>
      </c>
      <c r="S122">
        <v>31521.564999999999</v>
      </c>
      <c r="T122">
        <v>31680.867999999999</v>
      </c>
      <c r="U122">
        <v>33752.712</v>
      </c>
      <c r="V122">
        <v>36088.620999999999</v>
      </c>
      <c r="W122">
        <v>31303.661</v>
      </c>
      <c r="X122">
        <v>35450.684000000001</v>
      </c>
      <c r="Y122">
        <v>33255.559000000001</v>
      </c>
      <c r="Z122">
        <v>32084.391</v>
      </c>
      <c r="AA122">
        <v>30648.23</v>
      </c>
      <c r="AB122">
        <v>30757.712</v>
      </c>
      <c r="AC122">
        <v>30899.129000000001</v>
      </c>
      <c r="AD122">
        <v>30943.733</v>
      </c>
      <c r="AE122">
        <v>30965.032999999999</v>
      </c>
      <c r="AF122">
        <v>31031.321</v>
      </c>
      <c r="AG122">
        <v>31136.182000000001</v>
      </c>
      <c r="AH122">
        <v>31190.522000000001</v>
      </c>
      <c r="AI122">
        <v>31242.044999999998</v>
      </c>
      <c r="AJ122">
        <v>31290.692999999999</v>
      </c>
      <c r="AK122">
        <v>31280.275000000001</v>
      </c>
      <c r="AL122">
        <v>31251.223000000002</v>
      </c>
      <c r="AM122">
        <v>31276.09</v>
      </c>
      <c r="AN122">
        <v>31325.050999999999</v>
      </c>
      <c r="AO122">
        <v>31460.65</v>
      </c>
      <c r="AP122">
        <v>31645.638999999999</v>
      </c>
      <c r="AQ122">
        <v>31838.566999999999</v>
      </c>
      <c r="AR122">
        <v>32025.842000000001</v>
      </c>
      <c r="AS122">
        <v>32221.565999999999</v>
      </c>
      <c r="AT122">
        <v>32433.691999999999</v>
      </c>
      <c r="AU122">
        <v>32675.614000000001</v>
      </c>
      <c r="AV122">
        <v>32931.481</v>
      </c>
      <c r="AW122">
        <v>33198.885999999999</v>
      </c>
      <c r="AX122">
        <v>33501.921000000002</v>
      </c>
      <c r="AY122">
        <v>33860.639999999999</v>
      </c>
      <c r="AZ122">
        <v>34265.334000000003</v>
      </c>
      <c r="BA122">
        <v>34715.904000000002</v>
      </c>
      <c r="BB122">
        <v>35212.156000000003</v>
      </c>
      <c r="BC122">
        <v>35760.76</v>
      </c>
      <c r="BD122">
        <v>36347.002</v>
      </c>
      <c r="BE122">
        <v>36972.298999999999</v>
      </c>
      <c r="BF122">
        <v>37653.455999999998</v>
      </c>
      <c r="BG122">
        <v>57.16</v>
      </c>
    </row>
    <row r="123" spans="1:59">
      <c r="A123" t="s">
        <v>254</v>
      </c>
      <c r="B123" t="s">
        <v>206</v>
      </c>
      <c r="C123" t="s">
        <v>126</v>
      </c>
      <c r="D123">
        <v>443</v>
      </c>
      <c r="E123" t="s">
        <v>127</v>
      </c>
      <c r="F123" t="s">
        <v>3</v>
      </c>
      <c r="G123" t="s">
        <v>253</v>
      </c>
      <c r="H123">
        <v>36223.277999999998</v>
      </c>
      <c r="I123">
        <v>37729.341999999997</v>
      </c>
      <c r="J123">
        <v>38646.692000000003</v>
      </c>
      <c r="K123">
        <v>37864.898000000001</v>
      </c>
      <c r="L123">
        <v>34579.24</v>
      </c>
      <c r="M123">
        <v>37509.595000000001</v>
      </c>
      <c r="N123">
        <v>38280.968000000001</v>
      </c>
      <c r="O123">
        <v>39203.813000000002</v>
      </c>
      <c r="P123">
        <v>37574.267999999996</v>
      </c>
      <c r="Q123">
        <v>38754.044999999998</v>
      </c>
      <c r="R123">
        <v>43700.879000000001</v>
      </c>
      <c r="S123">
        <v>44074.578999999998</v>
      </c>
      <c r="T123">
        <v>42593.402999999998</v>
      </c>
      <c r="U123">
        <v>43981.957000000002</v>
      </c>
      <c r="V123">
        <v>46219.629000000001</v>
      </c>
      <c r="W123">
        <v>41144.163999999997</v>
      </c>
      <c r="X123">
        <v>42398.190999999999</v>
      </c>
      <c r="Y123">
        <v>38865.605000000003</v>
      </c>
      <c r="Z123">
        <v>37843.614000000001</v>
      </c>
      <c r="AA123">
        <v>36259.165999999997</v>
      </c>
      <c r="AB123">
        <v>36314.305</v>
      </c>
      <c r="AC123">
        <v>36474.351999999999</v>
      </c>
      <c r="AD123">
        <v>36520.495999999999</v>
      </c>
      <c r="AE123">
        <v>36537.839999999997</v>
      </c>
      <c r="AF123">
        <v>36606.843999999997</v>
      </c>
      <c r="AG123">
        <v>36719.692999999999</v>
      </c>
      <c r="AH123">
        <v>36772.555</v>
      </c>
      <c r="AI123">
        <v>36822.366000000002</v>
      </c>
      <c r="AJ123">
        <v>36868.656000000003</v>
      </c>
      <c r="AK123">
        <v>36845.400999999998</v>
      </c>
      <c r="AL123">
        <v>36800.550999999999</v>
      </c>
      <c r="AM123">
        <v>36819.517999999996</v>
      </c>
      <c r="AN123">
        <v>36867.002</v>
      </c>
      <c r="AO123">
        <v>37016.485999999997</v>
      </c>
      <c r="AP123">
        <v>37223.811000000002</v>
      </c>
      <c r="AQ123">
        <v>37440.226000000002</v>
      </c>
      <c r="AR123">
        <v>37649.724000000002</v>
      </c>
      <c r="AS123">
        <v>37868.92</v>
      </c>
      <c r="AT123">
        <v>38107.114000000001</v>
      </c>
      <c r="AU123">
        <v>38380.025000000001</v>
      </c>
      <c r="AV123">
        <v>38668.953999999998</v>
      </c>
      <c r="AW123">
        <v>38971.226000000002</v>
      </c>
      <c r="AX123">
        <v>39315.131000000001</v>
      </c>
      <c r="AY123">
        <v>39724.099000000002</v>
      </c>
      <c r="AZ123">
        <v>40186.699000000001</v>
      </c>
      <c r="BA123">
        <v>40702.680999999997</v>
      </c>
      <c r="BB123">
        <v>41271.82</v>
      </c>
      <c r="BC123">
        <v>41901.800000000003</v>
      </c>
      <c r="BD123">
        <v>42575.3</v>
      </c>
      <c r="BE123">
        <v>43293.919000000002</v>
      </c>
      <c r="BF123">
        <v>44077.387999999999</v>
      </c>
      <c r="BG123">
        <v>74.64</v>
      </c>
    </row>
    <row r="124" spans="1:59">
      <c r="A124" t="s">
        <v>256</v>
      </c>
      <c r="B124" t="s">
        <v>206</v>
      </c>
      <c r="C124" t="s">
        <v>130</v>
      </c>
      <c r="D124">
        <v>444</v>
      </c>
      <c r="E124" t="s">
        <v>131</v>
      </c>
      <c r="F124" t="s">
        <v>3</v>
      </c>
      <c r="G124" t="s">
        <v>255</v>
      </c>
      <c r="H124">
        <v>108241.129</v>
      </c>
      <c r="I124">
        <v>102805.894</v>
      </c>
      <c r="J124">
        <v>98665.135999999999</v>
      </c>
      <c r="K124">
        <v>97658.115000000005</v>
      </c>
      <c r="L124">
        <v>92294.967000000004</v>
      </c>
      <c r="M124">
        <v>94260.108999999997</v>
      </c>
      <c r="N124">
        <v>94084.010999999999</v>
      </c>
      <c r="O124">
        <v>92435.92</v>
      </c>
      <c r="P124">
        <v>92578.990999999995</v>
      </c>
      <c r="Q124">
        <v>97660.019</v>
      </c>
      <c r="R124">
        <v>100342.102</v>
      </c>
      <c r="S124">
        <v>105278.00900000001</v>
      </c>
      <c r="T124">
        <v>104305.018</v>
      </c>
      <c r="U124">
        <v>102817.899</v>
      </c>
      <c r="V124">
        <v>104077.935</v>
      </c>
      <c r="W124">
        <v>101955.092</v>
      </c>
      <c r="X124">
        <v>85209.005999999994</v>
      </c>
      <c r="Y124">
        <v>80909.98</v>
      </c>
      <c r="Z124">
        <v>92338.937000000005</v>
      </c>
      <c r="AA124">
        <v>94062.686000000002</v>
      </c>
      <c r="AB124">
        <v>94166.956999999995</v>
      </c>
      <c r="AC124">
        <v>94324.426999999996</v>
      </c>
      <c r="AD124">
        <v>94203.565000000002</v>
      </c>
      <c r="AE124">
        <v>94018.567999999999</v>
      </c>
      <c r="AF124">
        <v>93973.623000000007</v>
      </c>
      <c r="AG124">
        <v>94039.756999999998</v>
      </c>
      <c r="AH124">
        <v>93955.491999999998</v>
      </c>
      <c r="AI124">
        <v>93869.633000000002</v>
      </c>
      <c r="AJ124">
        <v>93782.962</v>
      </c>
      <c r="AK124">
        <v>93527.25</v>
      </c>
      <c r="AL124">
        <v>93224.394</v>
      </c>
      <c r="AM124">
        <v>93090.866999999998</v>
      </c>
      <c r="AN124">
        <v>93036.77</v>
      </c>
      <c r="AO124">
        <v>93246.498000000007</v>
      </c>
      <c r="AP124">
        <v>93609.058999999994</v>
      </c>
      <c r="AQ124">
        <v>94001.217000000004</v>
      </c>
      <c r="AR124">
        <v>94382.577000000005</v>
      </c>
      <c r="AS124">
        <v>94794.866999999998</v>
      </c>
      <c r="AT124">
        <v>95261.281000000003</v>
      </c>
      <c r="AU124">
        <v>95820.956000000006</v>
      </c>
      <c r="AV124">
        <v>96427.267000000007</v>
      </c>
      <c r="AW124">
        <v>97073.308999999994</v>
      </c>
      <c r="AX124">
        <v>97829.63</v>
      </c>
      <c r="AY124">
        <v>98754.442999999999</v>
      </c>
      <c r="AZ124">
        <v>99819.38</v>
      </c>
      <c r="BA124">
        <v>101024.046</v>
      </c>
      <c r="BB124">
        <v>102367.64599999999</v>
      </c>
      <c r="BC124">
        <v>103869.462</v>
      </c>
      <c r="BD124">
        <v>105486.68399999999</v>
      </c>
      <c r="BE124">
        <v>107223.666</v>
      </c>
      <c r="BF124">
        <v>109129.81600000001</v>
      </c>
      <c r="BG124">
        <v>93.69</v>
      </c>
    </row>
    <row r="125" spans="1:59">
      <c r="A125" t="s">
        <v>258</v>
      </c>
      <c r="B125" t="s">
        <v>206</v>
      </c>
      <c r="C125" t="s">
        <v>134</v>
      </c>
      <c r="D125">
        <v>445</v>
      </c>
      <c r="E125" t="s">
        <v>135</v>
      </c>
      <c r="F125" t="s">
        <v>3</v>
      </c>
      <c r="G125" t="s">
        <v>257</v>
      </c>
      <c r="H125">
        <v>182972.21799999999</v>
      </c>
      <c r="I125">
        <v>182318.81099999999</v>
      </c>
      <c r="J125">
        <v>174891.24100000001</v>
      </c>
      <c r="K125">
        <v>170071.2</v>
      </c>
      <c r="L125">
        <v>168153.93900000001</v>
      </c>
      <c r="M125">
        <v>177327.20499999999</v>
      </c>
      <c r="N125">
        <v>166086.019</v>
      </c>
      <c r="O125">
        <v>158648.86300000001</v>
      </c>
      <c r="P125">
        <v>161721.98300000001</v>
      </c>
      <c r="Q125">
        <v>160730.03200000001</v>
      </c>
      <c r="R125">
        <v>158866.16200000001</v>
      </c>
      <c r="S125">
        <v>156333.014</v>
      </c>
      <c r="T125">
        <v>162067.027</v>
      </c>
      <c r="U125">
        <v>158619.84400000001</v>
      </c>
      <c r="V125">
        <v>160282.9</v>
      </c>
      <c r="W125">
        <v>173666.15599999999</v>
      </c>
      <c r="X125">
        <v>179446.01199999999</v>
      </c>
      <c r="Y125">
        <v>166059.959</v>
      </c>
      <c r="Z125">
        <v>159725.89199999999</v>
      </c>
      <c r="AA125">
        <v>157140.31599999999</v>
      </c>
      <c r="AB125">
        <v>154951.75700000001</v>
      </c>
      <c r="AC125">
        <v>152314.49400000001</v>
      </c>
      <c r="AD125">
        <v>149342.54199999999</v>
      </c>
      <c r="AE125">
        <v>146410.69699999999</v>
      </c>
      <c r="AF125">
        <v>143840.31700000001</v>
      </c>
      <c r="AG125">
        <v>141594.30300000001</v>
      </c>
      <c r="AH125">
        <v>139256.111</v>
      </c>
      <c r="AI125">
        <v>137040.99900000001</v>
      </c>
      <c r="AJ125">
        <v>134942.74</v>
      </c>
      <c r="AK125">
        <v>132718.30799999999</v>
      </c>
      <c r="AL125">
        <v>130546.04700000001</v>
      </c>
      <c r="AM125">
        <v>128725.673</v>
      </c>
      <c r="AN125">
        <v>127120.83</v>
      </c>
      <c r="AO125">
        <v>125973.496</v>
      </c>
      <c r="AP125">
        <v>125119.38099999999</v>
      </c>
      <c r="AQ125">
        <v>124387.114</v>
      </c>
      <c r="AR125">
        <v>123721.234</v>
      </c>
      <c r="AS125">
        <v>123175.12</v>
      </c>
      <c r="AT125">
        <v>122776.792</v>
      </c>
      <c r="AU125">
        <v>122574.223</v>
      </c>
      <c r="AV125">
        <v>122505.083</v>
      </c>
      <c r="AW125">
        <v>122559.54</v>
      </c>
      <c r="AX125">
        <v>122825.205</v>
      </c>
      <c r="AY125">
        <v>123373.427</v>
      </c>
      <c r="AZ125">
        <v>124166.65</v>
      </c>
      <c r="BA125">
        <v>125203.644</v>
      </c>
      <c r="BB125">
        <v>126483.88</v>
      </c>
      <c r="BC125">
        <v>128032.622</v>
      </c>
      <c r="BD125">
        <v>129798.95699999999</v>
      </c>
      <c r="BE125">
        <v>131790.46400000001</v>
      </c>
      <c r="BF125">
        <v>134069.93799999999</v>
      </c>
      <c r="BG125">
        <v>143.13999999999999</v>
      </c>
    </row>
    <row r="126" spans="1:59">
      <c r="A126" t="s">
        <v>260</v>
      </c>
      <c r="B126" t="s">
        <v>206</v>
      </c>
      <c r="C126" t="s">
        <v>138</v>
      </c>
      <c r="D126">
        <v>446</v>
      </c>
      <c r="E126" t="s">
        <v>139</v>
      </c>
      <c r="F126" t="s">
        <v>3</v>
      </c>
      <c r="G126" t="s">
        <v>259</v>
      </c>
      <c r="H126">
        <v>57644.069000000003</v>
      </c>
      <c r="I126">
        <v>53719.944000000003</v>
      </c>
      <c r="J126">
        <v>53144.072999999997</v>
      </c>
      <c r="K126">
        <v>52114.061000000002</v>
      </c>
      <c r="L126">
        <v>50537.982000000004</v>
      </c>
      <c r="M126">
        <v>52016.06</v>
      </c>
      <c r="N126">
        <v>56082.006000000001</v>
      </c>
      <c r="O126">
        <v>55880.951999999997</v>
      </c>
      <c r="P126">
        <v>56901.993999999999</v>
      </c>
      <c r="Q126">
        <v>56545.010999999999</v>
      </c>
      <c r="R126">
        <v>63220.063999999998</v>
      </c>
      <c r="S126">
        <v>67399.005999999994</v>
      </c>
      <c r="T126">
        <v>72105.012000000002</v>
      </c>
      <c r="U126">
        <v>71753.929999999993</v>
      </c>
      <c r="V126">
        <v>72573.955000000002</v>
      </c>
      <c r="W126">
        <v>69467.062999999995</v>
      </c>
      <c r="X126">
        <v>77422.005000000005</v>
      </c>
      <c r="Y126">
        <v>83827.979000000007</v>
      </c>
      <c r="Z126">
        <v>93996.937000000005</v>
      </c>
      <c r="AA126">
        <v>96874.888999999996</v>
      </c>
      <c r="AB126">
        <v>99016.945000000007</v>
      </c>
      <c r="AC126">
        <v>100676.565</v>
      </c>
      <c r="AD126">
        <v>101994.049</v>
      </c>
      <c r="AE126">
        <v>103198.97199999999</v>
      </c>
      <c r="AF126">
        <v>104518.92600000001</v>
      </c>
      <c r="AG126">
        <v>105937.943</v>
      </c>
      <c r="AH126">
        <v>107155.954</v>
      </c>
      <c r="AI126">
        <v>108331.23</v>
      </c>
      <c r="AJ126">
        <v>109460.761</v>
      </c>
      <c r="AK126">
        <v>110345.67</v>
      </c>
      <c r="AL126">
        <v>111125.46400000001</v>
      </c>
      <c r="AM126">
        <v>112056.836</v>
      </c>
      <c r="AN126">
        <v>113035.06299999999</v>
      </c>
      <c r="AO126">
        <v>114287.595</v>
      </c>
      <c r="AP126">
        <v>115681.821</v>
      </c>
      <c r="AQ126">
        <v>117067.28</v>
      </c>
      <c r="AR126">
        <v>118392.47100000001</v>
      </c>
      <c r="AS126">
        <v>119707.764</v>
      </c>
      <c r="AT126">
        <v>121041.29300000001</v>
      </c>
      <c r="AU126">
        <v>122442.443</v>
      </c>
      <c r="AV126">
        <v>123851.014</v>
      </c>
      <c r="AW126">
        <v>125257.58</v>
      </c>
      <c r="AX126">
        <v>126751.626</v>
      </c>
      <c r="AY126">
        <v>128408.435</v>
      </c>
      <c r="AZ126">
        <v>130191.133</v>
      </c>
      <c r="BA126">
        <v>132098.43900000001</v>
      </c>
      <c r="BB126">
        <v>134128.15</v>
      </c>
      <c r="BC126">
        <v>136303.682</v>
      </c>
      <c r="BD126">
        <v>138566.652</v>
      </c>
      <c r="BE126">
        <v>140919.628</v>
      </c>
      <c r="BF126">
        <v>143423.66699999999</v>
      </c>
      <c r="BG126">
        <v>115.05</v>
      </c>
    </row>
    <row r="127" spans="1:59">
      <c r="A127" t="s">
        <v>262</v>
      </c>
      <c r="B127" t="s">
        <v>206</v>
      </c>
      <c r="C127" t="s">
        <v>142</v>
      </c>
      <c r="D127">
        <v>447</v>
      </c>
      <c r="E127" t="s">
        <v>143</v>
      </c>
      <c r="F127" t="s">
        <v>3</v>
      </c>
      <c r="G127" t="s">
        <v>261</v>
      </c>
      <c r="H127">
        <v>131136.15599999999</v>
      </c>
      <c r="I127">
        <v>142285.853</v>
      </c>
      <c r="J127">
        <v>98494.135999999999</v>
      </c>
      <c r="K127">
        <v>103048.121</v>
      </c>
      <c r="L127">
        <v>94475.966</v>
      </c>
      <c r="M127">
        <v>91169.106</v>
      </c>
      <c r="N127">
        <v>84769.01</v>
      </c>
      <c r="O127">
        <v>78161.932000000001</v>
      </c>
      <c r="P127">
        <v>76968.991999999998</v>
      </c>
      <c r="Q127">
        <v>70344.013999999996</v>
      </c>
      <c r="R127">
        <v>62413.063999999998</v>
      </c>
      <c r="S127">
        <v>60655.004999999997</v>
      </c>
      <c r="T127">
        <v>60950.010999999999</v>
      </c>
      <c r="U127">
        <v>63761.938000000002</v>
      </c>
      <c r="V127">
        <v>67160.957999999999</v>
      </c>
      <c r="W127">
        <v>46910.042999999998</v>
      </c>
      <c r="X127">
        <v>55615.002999999997</v>
      </c>
      <c r="Y127">
        <v>49367.987000000001</v>
      </c>
      <c r="Z127">
        <v>53433.964</v>
      </c>
      <c r="AA127">
        <v>54884.813999999998</v>
      </c>
      <c r="AB127">
        <v>53557.444000000003</v>
      </c>
      <c r="AC127">
        <v>52206.821000000004</v>
      </c>
      <c r="AD127">
        <v>50795.027999999998</v>
      </c>
      <c r="AE127">
        <v>49433.529000000002</v>
      </c>
      <c r="AF127">
        <v>48223.110999999997</v>
      </c>
      <c r="AG127">
        <v>47134.809000000001</v>
      </c>
      <c r="AH127">
        <v>46036.51</v>
      </c>
      <c r="AI127">
        <v>45004.953000000001</v>
      </c>
      <c r="AJ127">
        <v>44037.411999999997</v>
      </c>
      <c r="AK127">
        <v>43052.688999999998</v>
      </c>
      <c r="AL127">
        <v>42107.177000000003</v>
      </c>
      <c r="AM127">
        <v>41295.745000000003</v>
      </c>
      <c r="AN127">
        <v>40571.877999999997</v>
      </c>
      <c r="AO127">
        <v>40010.184999999998</v>
      </c>
      <c r="AP127">
        <v>39556.982000000004</v>
      </c>
      <c r="AQ127">
        <v>39156.525000000001</v>
      </c>
      <c r="AR127">
        <v>38790.427000000003</v>
      </c>
      <c r="AS127">
        <v>38474.678</v>
      </c>
      <c r="AT127">
        <v>38217.245999999999</v>
      </c>
      <c r="AU127">
        <v>38031.877999999997</v>
      </c>
      <c r="AV127">
        <v>37898.675999999999</v>
      </c>
      <c r="AW127">
        <v>37814.036999999997</v>
      </c>
      <c r="AX127">
        <v>37804.838000000003</v>
      </c>
      <c r="AY127">
        <v>37892.290999999997</v>
      </c>
      <c r="AZ127">
        <v>38064.396000000001</v>
      </c>
      <c r="BA127">
        <v>38320.483</v>
      </c>
      <c r="BB127">
        <v>38660.063999999998</v>
      </c>
      <c r="BC127">
        <v>39090.661</v>
      </c>
      <c r="BD127">
        <v>39596.684000000001</v>
      </c>
      <c r="BE127">
        <v>40180.853000000003</v>
      </c>
      <c r="BF127">
        <v>40863.230000000003</v>
      </c>
      <c r="BG127">
        <v>21.53</v>
      </c>
    </row>
    <row r="128" spans="1:59">
      <c r="A128" t="s">
        <v>264</v>
      </c>
      <c r="B128" t="s">
        <v>206</v>
      </c>
      <c r="C128" t="s">
        <v>146</v>
      </c>
      <c r="D128">
        <v>448</v>
      </c>
      <c r="E128" t="s">
        <v>147</v>
      </c>
      <c r="F128" t="s">
        <v>3</v>
      </c>
      <c r="G128" t="s">
        <v>263</v>
      </c>
      <c r="H128">
        <v>68613.081999999995</v>
      </c>
      <c r="I128">
        <v>67345.929999999993</v>
      </c>
      <c r="J128">
        <v>66006.091</v>
      </c>
      <c r="K128">
        <v>64397.076000000001</v>
      </c>
      <c r="L128">
        <v>61331.978000000003</v>
      </c>
      <c r="M128">
        <v>61510.071000000004</v>
      </c>
      <c r="N128">
        <v>58623.006999999998</v>
      </c>
      <c r="O128">
        <v>63085.945</v>
      </c>
      <c r="P128">
        <v>67685.993000000002</v>
      </c>
      <c r="Q128">
        <v>65838.013000000006</v>
      </c>
      <c r="R128">
        <v>66318.066999999995</v>
      </c>
      <c r="S128">
        <v>67172.005999999994</v>
      </c>
      <c r="T128">
        <v>70208.012000000002</v>
      </c>
      <c r="U128">
        <v>75351.926000000007</v>
      </c>
      <c r="V128">
        <v>76900.952000000005</v>
      </c>
      <c r="W128">
        <v>62361.055999999997</v>
      </c>
      <c r="X128">
        <v>71883.005000000005</v>
      </c>
      <c r="Y128">
        <v>71512.982000000004</v>
      </c>
      <c r="Z128">
        <v>72522.951000000001</v>
      </c>
      <c r="AA128">
        <v>71764.153000000006</v>
      </c>
      <c r="AB128">
        <v>71963.665999999997</v>
      </c>
      <c r="AC128">
        <v>72085.153000000006</v>
      </c>
      <c r="AD128">
        <v>71971.498000000007</v>
      </c>
      <c r="AE128">
        <v>71801.88</v>
      </c>
      <c r="AF128">
        <v>71738.212</v>
      </c>
      <c r="AG128">
        <v>71776.017000000007</v>
      </c>
      <c r="AH128">
        <v>71705.357999999993</v>
      </c>
      <c r="AI128">
        <v>71633.001999999993</v>
      </c>
      <c r="AJ128">
        <v>71557.532000000007</v>
      </c>
      <c r="AK128">
        <v>71351.191999999995</v>
      </c>
      <c r="AL128">
        <v>71108.572</v>
      </c>
      <c r="AM128">
        <v>70995.495999999999</v>
      </c>
      <c r="AN128">
        <v>70943.286999999997</v>
      </c>
      <c r="AO128">
        <v>71092.832999999999</v>
      </c>
      <c r="AP128">
        <v>71357.667000000001</v>
      </c>
      <c r="AQ128">
        <v>71643.913</v>
      </c>
      <c r="AR128">
        <v>71920.975000000006</v>
      </c>
      <c r="AS128">
        <v>72220.754000000001</v>
      </c>
      <c r="AT128">
        <v>72560.694000000003</v>
      </c>
      <c r="AU128">
        <v>72970.900999999998</v>
      </c>
      <c r="AV128">
        <v>73415.971000000005</v>
      </c>
      <c r="AW128">
        <v>73890.745999999999</v>
      </c>
      <c r="AX128">
        <v>74448.305999999997</v>
      </c>
      <c r="AY128">
        <v>75133.388000000006</v>
      </c>
      <c r="AZ128">
        <v>75924.364000000001</v>
      </c>
      <c r="BA128">
        <v>76821.013000000006</v>
      </c>
      <c r="BB128">
        <v>77822.862999999998</v>
      </c>
      <c r="BC128">
        <v>78945.036999999997</v>
      </c>
      <c r="BD128">
        <v>80155.182000000001</v>
      </c>
      <c r="BE128">
        <v>81456.251999999993</v>
      </c>
      <c r="BF128">
        <v>82884.898000000001</v>
      </c>
      <c r="BG128">
        <v>151.36000000000001</v>
      </c>
    </row>
    <row r="129" spans="1:59">
      <c r="A129" t="s">
        <v>266</v>
      </c>
      <c r="B129" t="s">
        <v>206</v>
      </c>
      <c r="C129" t="s">
        <v>150</v>
      </c>
      <c r="D129">
        <v>451</v>
      </c>
      <c r="E129" t="s">
        <v>151</v>
      </c>
      <c r="F129" t="s">
        <v>3</v>
      </c>
      <c r="G129" t="s">
        <v>265</v>
      </c>
      <c r="H129">
        <v>19523.982</v>
      </c>
      <c r="I129">
        <v>19985.769</v>
      </c>
      <c r="J129">
        <v>20053.679</v>
      </c>
      <c r="K129">
        <v>19069.098000000002</v>
      </c>
      <c r="L129">
        <v>18305.057000000001</v>
      </c>
      <c r="M129">
        <v>18727.822</v>
      </c>
      <c r="N129">
        <v>19205.435000000001</v>
      </c>
      <c r="O129">
        <v>19766.742999999999</v>
      </c>
      <c r="P129">
        <v>20941.742999999999</v>
      </c>
      <c r="Q129">
        <v>21898.364000000001</v>
      </c>
      <c r="R129">
        <v>23439.307000000001</v>
      </c>
      <c r="S129">
        <v>24138.3</v>
      </c>
      <c r="T129">
        <v>23269.454000000002</v>
      </c>
      <c r="U129">
        <v>23715.141</v>
      </c>
      <c r="V129">
        <v>24830.677</v>
      </c>
      <c r="W129">
        <v>21837.805</v>
      </c>
      <c r="X129">
        <v>24087.512999999999</v>
      </c>
      <c r="Y129">
        <v>24468.566999999999</v>
      </c>
      <c r="Z129">
        <v>24363.878000000001</v>
      </c>
      <c r="AA129">
        <v>23972.715</v>
      </c>
      <c r="AB129">
        <v>24285.510999999999</v>
      </c>
      <c r="AC129">
        <v>24593.493999999999</v>
      </c>
      <c r="AD129">
        <v>24822.591</v>
      </c>
      <c r="AE129">
        <v>25027.663</v>
      </c>
      <c r="AF129">
        <v>25262.800999999999</v>
      </c>
      <c r="AG129">
        <v>25521.773000000001</v>
      </c>
      <c r="AH129">
        <v>25733.328000000001</v>
      </c>
      <c r="AI129">
        <v>25937.06</v>
      </c>
      <c r="AJ129">
        <v>26132.718000000001</v>
      </c>
      <c r="AK129">
        <v>26272.957999999999</v>
      </c>
      <c r="AL129">
        <v>26391.079000000002</v>
      </c>
      <c r="AM129">
        <v>26548.218000000001</v>
      </c>
      <c r="AN129">
        <v>26719.565999999999</v>
      </c>
      <c r="AO129">
        <v>26958.883000000002</v>
      </c>
      <c r="AP129">
        <v>27234.915000000001</v>
      </c>
      <c r="AQ129">
        <v>27512.18</v>
      </c>
      <c r="AR129">
        <v>27778.7</v>
      </c>
      <c r="AS129">
        <v>28046.483</v>
      </c>
      <c r="AT129">
        <v>28322.29</v>
      </c>
      <c r="AU129">
        <v>28617.668000000001</v>
      </c>
      <c r="AV129">
        <v>28918.756000000001</v>
      </c>
      <c r="AW129">
        <v>29223.368999999999</v>
      </c>
      <c r="AX129">
        <v>29552.601999999999</v>
      </c>
      <c r="AY129">
        <v>29924.016</v>
      </c>
      <c r="AZ129">
        <v>30329.037</v>
      </c>
      <c r="BA129">
        <v>30767.444</v>
      </c>
      <c r="BB129">
        <v>31238.866999999998</v>
      </c>
      <c r="BC129">
        <v>31748.968000000001</v>
      </c>
      <c r="BD129">
        <v>32284.36</v>
      </c>
      <c r="BE129">
        <v>32845.93</v>
      </c>
      <c r="BF129">
        <v>33448.182999999997</v>
      </c>
      <c r="BG129">
        <v>108.95</v>
      </c>
    </row>
    <row r="130" spans="1:59">
      <c r="A130" t="s">
        <v>268</v>
      </c>
      <c r="B130" t="s">
        <v>206</v>
      </c>
      <c r="C130" t="s">
        <v>154</v>
      </c>
      <c r="D130">
        <v>452</v>
      </c>
      <c r="E130" t="s">
        <v>155</v>
      </c>
      <c r="F130" t="s">
        <v>3</v>
      </c>
      <c r="G130" t="s">
        <v>267</v>
      </c>
      <c r="H130">
        <v>135051.16099999999</v>
      </c>
      <c r="I130">
        <v>137289.85800000001</v>
      </c>
      <c r="J130">
        <v>135982.18799999999</v>
      </c>
      <c r="K130">
        <v>138098.16200000001</v>
      </c>
      <c r="L130">
        <v>145731.94699999999</v>
      </c>
      <c r="M130">
        <v>142906.16500000001</v>
      </c>
      <c r="N130">
        <v>148765.01699999999</v>
      </c>
      <c r="O130">
        <v>130071.887</v>
      </c>
      <c r="P130">
        <v>132581.986</v>
      </c>
      <c r="Q130">
        <v>135723.027</v>
      </c>
      <c r="R130">
        <v>141984.144</v>
      </c>
      <c r="S130">
        <v>144156.01300000001</v>
      </c>
      <c r="T130">
        <v>152115.02600000001</v>
      </c>
      <c r="U130">
        <v>158326.845</v>
      </c>
      <c r="V130">
        <v>157187.902</v>
      </c>
      <c r="W130">
        <v>166520.15</v>
      </c>
      <c r="X130">
        <v>179162.01199999999</v>
      </c>
      <c r="Y130">
        <v>156917.96100000001</v>
      </c>
      <c r="Z130">
        <v>148324.9</v>
      </c>
      <c r="AA130">
        <v>152025.57999999999</v>
      </c>
      <c r="AB130">
        <v>153054.58900000001</v>
      </c>
      <c r="AC130">
        <v>154184.62899999999</v>
      </c>
      <c r="AD130">
        <v>154838.69500000001</v>
      </c>
      <c r="AE130">
        <v>155357.70000000001</v>
      </c>
      <c r="AF130">
        <v>156077.88099999999</v>
      </c>
      <c r="AG130">
        <v>156952.89300000001</v>
      </c>
      <c r="AH130">
        <v>157549.492</v>
      </c>
      <c r="AI130">
        <v>158116.10800000001</v>
      </c>
      <c r="AJ130">
        <v>158653.27299999999</v>
      </c>
      <c r="AK130">
        <v>158875.05799999999</v>
      </c>
      <c r="AL130">
        <v>158986.484</v>
      </c>
      <c r="AM130">
        <v>159356.524</v>
      </c>
      <c r="AN130">
        <v>159833.239</v>
      </c>
      <c r="AO130">
        <v>160735.39000000001</v>
      </c>
      <c r="AP130">
        <v>161874.861</v>
      </c>
      <c r="AQ130">
        <v>163039.91399999999</v>
      </c>
      <c r="AR130">
        <v>164160.04399999999</v>
      </c>
      <c r="AS130">
        <v>165306.897</v>
      </c>
      <c r="AT130">
        <v>166520.658</v>
      </c>
      <c r="AU130">
        <v>167869.522</v>
      </c>
      <c r="AV130">
        <v>169272.23300000001</v>
      </c>
      <c r="AW130">
        <v>170716.617</v>
      </c>
      <c r="AX130">
        <v>172326.446</v>
      </c>
      <c r="AY130">
        <v>174204.30600000001</v>
      </c>
      <c r="AZ130">
        <v>176300.32500000001</v>
      </c>
      <c r="BA130">
        <v>178613.53899999999</v>
      </c>
      <c r="BB130">
        <v>181142.217</v>
      </c>
      <c r="BC130">
        <v>183919.71100000001</v>
      </c>
      <c r="BD130">
        <v>186869.20600000001</v>
      </c>
      <c r="BE130">
        <v>189996.995</v>
      </c>
      <c r="BF130">
        <v>193389.18</v>
      </c>
      <c r="BG130">
        <v>130.87</v>
      </c>
    </row>
    <row r="131" spans="1:59">
      <c r="A131" t="s">
        <v>270</v>
      </c>
      <c r="B131" t="s">
        <v>206</v>
      </c>
      <c r="C131" t="s">
        <v>158</v>
      </c>
      <c r="D131">
        <v>453</v>
      </c>
      <c r="E131" t="s">
        <v>159</v>
      </c>
      <c r="F131" t="s">
        <v>3</v>
      </c>
      <c r="G131" t="s">
        <v>269</v>
      </c>
      <c r="H131">
        <v>35743.406999999999</v>
      </c>
      <c r="I131">
        <v>36130.129000000001</v>
      </c>
      <c r="J131">
        <v>35809.186999999998</v>
      </c>
      <c r="K131">
        <v>33569.087</v>
      </c>
      <c r="L131">
        <v>31077.682000000001</v>
      </c>
      <c r="M131">
        <v>32141.061000000002</v>
      </c>
      <c r="N131">
        <v>31952.824000000001</v>
      </c>
      <c r="O131">
        <v>33543.305999999997</v>
      </c>
      <c r="P131">
        <v>34448.072</v>
      </c>
      <c r="Q131">
        <v>36124.51</v>
      </c>
      <c r="R131">
        <v>38433.362999999998</v>
      </c>
      <c r="S131">
        <v>40633.567999999999</v>
      </c>
      <c r="T131">
        <v>40446.298000000003</v>
      </c>
      <c r="U131">
        <v>42774.048999999999</v>
      </c>
      <c r="V131">
        <v>47140.976000000002</v>
      </c>
      <c r="W131">
        <v>40702.491999999998</v>
      </c>
      <c r="X131">
        <v>45356.620999999999</v>
      </c>
      <c r="Y131">
        <v>46499.235000000001</v>
      </c>
      <c r="Z131">
        <v>47953.021000000001</v>
      </c>
      <c r="AA131">
        <v>47845.04</v>
      </c>
      <c r="AB131">
        <v>48437.468999999997</v>
      </c>
      <c r="AC131">
        <v>49078.474000000002</v>
      </c>
      <c r="AD131">
        <v>49561.317000000003</v>
      </c>
      <c r="AE131">
        <v>49995.580999999998</v>
      </c>
      <c r="AF131">
        <v>50489.322</v>
      </c>
      <c r="AG131">
        <v>51030.495999999999</v>
      </c>
      <c r="AH131">
        <v>51476.413</v>
      </c>
      <c r="AI131">
        <v>51905.559000000001</v>
      </c>
      <c r="AJ131">
        <v>52317.608</v>
      </c>
      <c r="AK131">
        <v>52617.722999999998</v>
      </c>
      <c r="AL131">
        <v>52872.355000000003</v>
      </c>
      <c r="AM131">
        <v>53203.892999999996</v>
      </c>
      <c r="AN131">
        <v>53562.7</v>
      </c>
      <c r="AO131">
        <v>54056.586000000003</v>
      </c>
      <c r="AP131">
        <v>54623.154999999999</v>
      </c>
      <c r="AQ131">
        <v>55191.294999999998</v>
      </c>
      <c r="AR131">
        <v>55736.862999999998</v>
      </c>
      <c r="AS131">
        <v>56283.722000000002</v>
      </c>
      <c r="AT131">
        <v>56845.298999999999</v>
      </c>
      <c r="AU131">
        <v>57444.95</v>
      </c>
      <c r="AV131">
        <v>58054.921999999999</v>
      </c>
      <c r="AW131">
        <v>58670.608999999997</v>
      </c>
      <c r="AX131">
        <v>59334.167000000001</v>
      </c>
      <c r="AY131">
        <v>60081.074999999997</v>
      </c>
      <c r="AZ131">
        <v>60894.165999999997</v>
      </c>
      <c r="BA131">
        <v>61773.048999999999</v>
      </c>
      <c r="BB131">
        <v>62716.987999999998</v>
      </c>
      <c r="BC131">
        <v>63737.372000000003</v>
      </c>
      <c r="BD131">
        <v>64807.252</v>
      </c>
      <c r="BE131">
        <v>65928.285999999993</v>
      </c>
      <c r="BF131">
        <v>67129.437000000005</v>
      </c>
      <c r="BG131">
        <v>35.869999999999997</v>
      </c>
    </row>
    <row r="132" spans="1:59">
      <c r="A132" t="s">
        <v>272</v>
      </c>
      <c r="B132" t="s">
        <v>206</v>
      </c>
      <c r="C132" t="s">
        <v>162</v>
      </c>
      <c r="D132">
        <v>454</v>
      </c>
      <c r="E132" t="s">
        <v>163</v>
      </c>
      <c r="F132" t="s">
        <v>3</v>
      </c>
      <c r="G132" t="s">
        <v>271</v>
      </c>
      <c r="H132">
        <v>68504.081000000006</v>
      </c>
      <c r="I132">
        <v>78264.918999999994</v>
      </c>
      <c r="J132">
        <v>84025.115999999995</v>
      </c>
      <c r="K132">
        <v>80740.095000000001</v>
      </c>
      <c r="L132">
        <v>86898.968999999997</v>
      </c>
      <c r="M132">
        <v>97758.112999999998</v>
      </c>
      <c r="N132">
        <v>104898.012</v>
      </c>
      <c r="O132">
        <v>120391.89599999999</v>
      </c>
      <c r="P132">
        <v>131641.98699999999</v>
      </c>
      <c r="Q132">
        <v>139526.027</v>
      </c>
      <c r="R132">
        <v>152184.155</v>
      </c>
      <c r="S132">
        <v>168166.01500000001</v>
      </c>
      <c r="T132">
        <v>183401.03099999999</v>
      </c>
      <c r="U132">
        <v>201856.802</v>
      </c>
      <c r="V132">
        <v>202123.87299999999</v>
      </c>
      <c r="W132">
        <v>246992.22200000001</v>
      </c>
      <c r="X132">
        <v>268048.01699999999</v>
      </c>
      <c r="Y132">
        <v>306862.92499999999</v>
      </c>
      <c r="Z132">
        <v>345169.766</v>
      </c>
      <c r="AA132">
        <v>358472.07</v>
      </c>
      <c r="AB132">
        <v>383369.39799999999</v>
      </c>
      <c r="AC132">
        <v>412163.31300000002</v>
      </c>
      <c r="AD132">
        <v>440720.57299999997</v>
      </c>
      <c r="AE132">
        <v>469764.14799999999</v>
      </c>
      <c r="AF132">
        <v>500170.217</v>
      </c>
      <c r="AG132">
        <v>531810.30799999996</v>
      </c>
      <c r="AH132">
        <v>563146.804</v>
      </c>
      <c r="AI132">
        <v>594845.44999999995</v>
      </c>
      <c r="AJ132">
        <v>626792.473</v>
      </c>
      <c r="AK132">
        <v>657690.19099999999</v>
      </c>
      <c r="AL132">
        <v>688127.92299999995</v>
      </c>
      <c r="AM132">
        <v>719557.424</v>
      </c>
      <c r="AN132">
        <v>751296.98300000001</v>
      </c>
      <c r="AO132">
        <v>784835.37</v>
      </c>
      <c r="AP132">
        <v>819302.93599999999</v>
      </c>
      <c r="AQ132">
        <v>853566.41399999999</v>
      </c>
      <c r="AR132">
        <v>887087.57200000004</v>
      </c>
      <c r="AS132">
        <v>920092.98499999999</v>
      </c>
      <c r="AT132">
        <v>952661.30599999998</v>
      </c>
      <c r="AU132">
        <v>985067.73300000001</v>
      </c>
      <c r="AV132">
        <v>1016708.0209999999</v>
      </c>
      <c r="AW132">
        <v>1047347.43</v>
      </c>
      <c r="AX132">
        <v>1077599.0619999999</v>
      </c>
      <c r="AY132">
        <v>1107995.2509999999</v>
      </c>
      <c r="AZ132">
        <v>1138118.672</v>
      </c>
      <c r="BA132">
        <v>1167857.199</v>
      </c>
      <c r="BB132">
        <v>1197070.5719999999</v>
      </c>
      <c r="BC132">
        <v>1225854.17</v>
      </c>
      <c r="BD132">
        <v>1253565.6610000001</v>
      </c>
      <c r="BE132">
        <v>1280103.6459999999</v>
      </c>
      <c r="BF132">
        <v>1305910.058</v>
      </c>
      <c r="BG132">
        <v>34.29</v>
      </c>
    </row>
    <row r="133" spans="1:59">
      <c r="A133" t="s">
        <v>274</v>
      </c>
      <c r="B133" t="s">
        <v>206</v>
      </c>
      <c r="C133" t="s">
        <v>166</v>
      </c>
      <c r="D133">
        <v>481</v>
      </c>
      <c r="E133" t="s">
        <v>167</v>
      </c>
      <c r="F133" t="s">
        <v>3</v>
      </c>
      <c r="G133" t="s">
        <v>273</v>
      </c>
      <c r="H133">
        <v>78398.8</v>
      </c>
      <c r="I133">
        <v>85675.4</v>
      </c>
      <c r="J133">
        <v>92933.4</v>
      </c>
      <c r="K133">
        <v>88679.7</v>
      </c>
      <c r="L133">
        <v>88032.6</v>
      </c>
      <c r="M133">
        <v>102410.2</v>
      </c>
      <c r="N133">
        <v>102738.4</v>
      </c>
      <c r="O133">
        <v>98131.4</v>
      </c>
      <c r="P133">
        <v>103198.8</v>
      </c>
      <c r="Q133">
        <v>106431.8</v>
      </c>
      <c r="R133">
        <v>111645.5</v>
      </c>
      <c r="S133">
        <v>120349</v>
      </c>
      <c r="T133">
        <v>128682.9</v>
      </c>
      <c r="U133">
        <v>133937.4</v>
      </c>
      <c r="V133">
        <v>133171.4</v>
      </c>
      <c r="W133">
        <v>70687.199999999997</v>
      </c>
      <c r="X133">
        <v>117623.5</v>
      </c>
      <c r="Y133">
        <v>147027</v>
      </c>
      <c r="Z133">
        <v>151574.6</v>
      </c>
      <c r="AA133">
        <v>158047.93299999999</v>
      </c>
      <c r="AB133">
        <v>159091.69500000001</v>
      </c>
      <c r="AC133">
        <v>153533.64799999999</v>
      </c>
      <c r="AD133">
        <v>152406.46299999999</v>
      </c>
      <c r="AE133">
        <v>154198.79399999999</v>
      </c>
      <c r="AF133">
        <v>157053.245</v>
      </c>
      <c r="AG133">
        <v>160132.38800000001</v>
      </c>
      <c r="AH133">
        <v>162242.071</v>
      </c>
      <c r="AI133">
        <v>163916.516</v>
      </c>
      <c r="AJ133">
        <v>165557.62899999999</v>
      </c>
      <c r="AK133">
        <v>166335.503</v>
      </c>
      <c r="AL133">
        <v>167278.75200000001</v>
      </c>
      <c r="AM133">
        <v>169254.302</v>
      </c>
      <c r="AN133">
        <v>171549.84599999999</v>
      </c>
      <c r="AO133">
        <v>173981.22899999999</v>
      </c>
      <c r="AP133">
        <v>176397.065</v>
      </c>
      <c r="AQ133">
        <v>178945.00399999999</v>
      </c>
      <c r="AR133">
        <v>181609.50099999999</v>
      </c>
      <c r="AS133">
        <v>184262.231</v>
      </c>
      <c r="AT133">
        <v>186962.01</v>
      </c>
      <c r="AU133">
        <v>190305.41399999999</v>
      </c>
      <c r="AV133">
        <v>194136.747</v>
      </c>
      <c r="AW133">
        <v>198188.84599999999</v>
      </c>
      <c r="AX133">
        <v>202354.75599999999</v>
      </c>
      <c r="AY133">
        <v>206814.44200000001</v>
      </c>
      <c r="AZ133">
        <v>211133.48699999999</v>
      </c>
      <c r="BA133">
        <v>215385.397</v>
      </c>
      <c r="BB133">
        <v>219573.644</v>
      </c>
      <c r="BC133">
        <v>223852.34299999999</v>
      </c>
      <c r="BD133">
        <v>228131.90900000001</v>
      </c>
      <c r="BE133">
        <v>232423.15400000001</v>
      </c>
      <c r="BF133">
        <v>236814.70699999999</v>
      </c>
      <c r="BG133">
        <v>295.18</v>
      </c>
    </row>
    <row r="134" spans="1:59">
      <c r="A134" t="s">
        <v>276</v>
      </c>
      <c r="B134" t="s">
        <v>206</v>
      </c>
      <c r="C134" t="s">
        <v>170</v>
      </c>
      <c r="D134">
        <v>482</v>
      </c>
      <c r="E134" t="s">
        <v>171</v>
      </c>
      <c r="F134" t="s">
        <v>3</v>
      </c>
      <c r="G134" t="s">
        <v>275</v>
      </c>
      <c r="H134">
        <v>44130.1</v>
      </c>
      <c r="I134">
        <v>45628.800000000003</v>
      </c>
      <c r="J134">
        <v>44713.5</v>
      </c>
      <c r="K134">
        <v>45825.8</v>
      </c>
      <c r="L134">
        <v>40727.199999999997</v>
      </c>
      <c r="M134">
        <v>40730.199999999997</v>
      </c>
      <c r="N134">
        <v>41020.300000000003</v>
      </c>
      <c r="O134">
        <v>42371.1</v>
      </c>
      <c r="P134">
        <v>42673.7</v>
      </c>
      <c r="Q134">
        <v>45046.3</v>
      </c>
      <c r="R134">
        <v>46181.8</v>
      </c>
      <c r="S134">
        <v>43074.400000000001</v>
      </c>
      <c r="T134">
        <v>44334</v>
      </c>
      <c r="U134">
        <v>44864.5</v>
      </c>
      <c r="V134">
        <v>41880</v>
      </c>
      <c r="W134">
        <v>37270.5</v>
      </c>
      <c r="X134">
        <v>40268.199999999997</v>
      </c>
      <c r="Y134">
        <v>42952.800000000003</v>
      </c>
      <c r="Z134">
        <v>41011.199999999997</v>
      </c>
      <c r="AA134">
        <v>40313.125999999997</v>
      </c>
      <c r="AB134">
        <v>40615.739000000001</v>
      </c>
      <c r="AC134">
        <v>40308.336000000003</v>
      </c>
      <c r="AD134">
        <v>40226.445</v>
      </c>
      <c r="AE134">
        <v>40336.275999999998</v>
      </c>
      <c r="AF134">
        <v>40529.497000000003</v>
      </c>
      <c r="AG134">
        <v>40708.81</v>
      </c>
      <c r="AH134">
        <v>40793.366000000002</v>
      </c>
      <c r="AI134">
        <v>40848.256999999998</v>
      </c>
      <c r="AJ134">
        <v>40877.415999999997</v>
      </c>
      <c r="AK134">
        <v>40843.718999999997</v>
      </c>
      <c r="AL134">
        <v>40792.097000000002</v>
      </c>
      <c r="AM134">
        <v>40798.61</v>
      </c>
      <c r="AN134">
        <v>40827.084999999999</v>
      </c>
      <c r="AO134">
        <v>40848.048000000003</v>
      </c>
      <c r="AP134">
        <v>40904.959999999999</v>
      </c>
      <c r="AQ134">
        <v>40987.063999999998</v>
      </c>
      <c r="AR134">
        <v>41093.839999999997</v>
      </c>
      <c r="AS134">
        <v>41212.837</v>
      </c>
      <c r="AT134">
        <v>41345.694000000003</v>
      </c>
      <c r="AU134">
        <v>41493.756000000001</v>
      </c>
      <c r="AV134">
        <v>41661.864000000001</v>
      </c>
      <c r="AW134">
        <v>41856.748</v>
      </c>
      <c r="AX134">
        <v>42101.029000000002</v>
      </c>
      <c r="AY134">
        <v>42406.701000000001</v>
      </c>
      <c r="AZ134">
        <v>42771.491999999998</v>
      </c>
      <c r="BA134">
        <v>43190.146000000001</v>
      </c>
      <c r="BB134">
        <v>43656.5</v>
      </c>
      <c r="BC134">
        <v>44191.567000000003</v>
      </c>
      <c r="BD134">
        <v>44788.338000000003</v>
      </c>
      <c r="BE134">
        <v>45445.343999999997</v>
      </c>
      <c r="BF134">
        <v>46166.964999999997</v>
      </c>
      <c r="BG134">
        <v>27.14</v>
      </c>
    </row>
    <row r="135" spans="1:59">
      <c r="A135" t="s">
        <v>278</v>
      </c>
      <c r="B135" t="s">
        <v>206</v>
      </c>
      <c r="C135" t="s">
        <v>174</v>
      </c>
      <c r="D135">
        <v>483</v>
      </c>
      <c r="E135" t="s">
        <v>175</v>
      </c>
      <c r="F135" t="s">
        <v>3</v>
      </c>
      <c r="G135" t="s">
        <v>277</v>
      </c>
      <c r="H135">
        <v>6248.0190000000002</v>
      </c>
      <c r="I135">
        <v>10063.421</v>
      </c>
      <c r="J135">
        <v>12966.624</v>
      </c>
      <c r="K135">
        <v>15713.7</v>
      </c>
      <c r="L135">
        <v>19630.331999999999</v>
      </c>
      <c r="M135">
        <v>16219.928</v>
      </c>
      <c r="N135">
        <v>17266.526999999998</v>
      </c>
      <c r="O135">
        <v>17779.254000000001</v>
      </c>
      <c r="P135">
        <v>23305</v>
      </c>
      <c r="Q135">
        <v>21479.025000000001</v>
      </c>
      <c r="R135">
        <v>17728.522000000001</v>
      </c>
      <c r="S135">
        <v>14893.249</v>
      </c>
      <c r="T135">
        <v>13955.4</v>
      </c>
      <c r="U135">
        <v>14532.4</v>
      </c>
      <c r="V135">
        <v>13334</v>
      </c>
      <c r="W135">
        <v>12967.3</v>
      </c>
      <c r="X135">
        <v>17225.2</v>
      </c>
      <c r="Y135">
        <v>15570.3</v>
      </c>
      <c r="Z135">
        <v>15853.7</v>
      </c>
      <c r="AA135">
        <v>17614.181</v>
      </c>
      <c r="AB135">
        <v>19271.526000000002</v>
      </c>
      <c r="AC135">
        <v>20233.887999999999</v>
      </c>
      <c r="AD135">
        <v>21279.852999999999</v>
      </c>
      <c r="AE135">
        <v>22424.473000000002</v>
      </c>
      <c r="AF135">
        <v>23634.097000000002</v>
      </c>
      <c r="AG135">
        <v>24867.928</v>
      </c>
      <c r="AH135">
        <v>26074.071</v>
      </c>
      <c r="AI135">
        <v>27275.383999999998</v>
      </c>
      <c r="AJ135">
        <v>28464.447</v>
      </c>
      <c r="AK135">
        <v>29616.317999999999</v>
      </c>
      <c r="AL135">
        <v>30744.639999999999</v>
      </c>
      <c r="AM135">
        <v>31895.223000000002</v>
      </c>
      <c r="AN135">
        <v>33045.135000000002</v>
      </c>
      <c r="AO135">
        <v>34167.718999999997</v>
      </c>
      <c r="AP135">
        <v>35299.211000000003</v>
      </c>
      <c r="AQ135">
        <v>36426.108999999997</v>
      </c>
      <c r="AR135">
        <v>37544.904999999999</v>
      </c>
      <c r="AS135">
        <v>38642.114000000001</v>
      </c>
      <c r="AT135">
        <v>39715.025999999998</v>
      </c>
      <c r="AU135">
        <v>40755.186000000002</v>
      </c>
      <c r="AV135">
        <v>41764.962</v>
      </c>
      <c r="AW135">
        <v>42749.771999999997</v>
      </c>
      <c r="AX135">
        <v>43731.432999999997</v>
      </c>
      <c r="AY135">
        <v>44719.563000000002</v>
      </c>
      <c r="AZ135">
        <v>45714.659</v>
      </c>
      <c r="BA135">
        <v>46707.864000000001</v>
      </c>
      <c r="BB135">
        <v>47688.947999999997</v>
      </c>
      <c r="BC135">
        <v>48677.02</v>
      </c>
      <c r="BD135">
        <v>49661.985999999997</v>
      </c>
      <c r="BE135">
        <v>50637.936999999998</v>
      </c>
      <c r="BF135">
        <v>51605.27</v>
      </c>
      <c r="BG135">
        <v>55.19</v>
      </c>
    </row>
    <row r="136" spans="1:59">
      <c r="A136" t="s">
        <v>280</v>
      </c>
      <c r="B136" t="s">
        <v>206</v>
      </c>
      <c r="C136" t="s">
        <v>178</v>
      </c>
      <c r="D136">
        <v>484</v>
      </c>
      <c r="E136" t="s">
        <v>179</v>
      </c>
      <c r="F136" t="s">
        <v>3</v>
      </c>
      <c r="G136" t="s">
        <v>279</v>
      </c>
      <c r="H136">
        <v>143475.29999999999</v>
      </c>
      <c r="I136">
        <v>150210.20000000001</v>
      </c>
      <c r="J136">
        <v>151255.1</v>
      </c>
      <c r="K136">
        <v>139694.5</v>
      </c>
      <c r="L136">
        <v>127718.2</v>
      </c>
      <c r="M136">
        <v>136053.20000000001</v>
      </c>
      <c r="N136">
        <v>142761.9</v>
      </c>
      <c r="O136">
        <v>144516.5</v>
      </c>
      <c r="P136">
        <v>148786.5</v>
      </c>
      <c r="Q136">
        <v>158544.20000000001</v>
      </c>
      <c r="R136">
        <v>163391.1</v>
      </c>
      <c r="S136">
        <v>165463.20000000001</v>
      </c>
      <c r="T136">
        <v>177967</v>
      </c>
      <c r="U136">
        <v>177788.7</v>
      </c>
      <c r="V136">
        <v>176116.5</v>
      </c>
      <c r="W136">
        <v>173877.5</v>
      </c>
      <c r="X136">
        <v>188036</v>
      </c>
      <c r="Y136">
        <v>167269.70000000001</v>
      </c>
      <c r="Z136">
        <v>168748.2</v>
      </c>
      <c r="AA136">
        <v>178639.58600000001</v>
      </c>
      <c r="AB136">
        <v>183755.55600000001</v>
      </c>
      <c r="AC136">
        <v>186060.323</v>
      </c>
      <c r="AD136">
        <v>189161.19699999999</v>
      </c>
      <c r="AE136">
        <v>193036.18799999999</v>
      </c>
      <c r="AF136">
        <v>197255.90599999999</v>
      </c>
      <c r="AG136">
        <v>201365.45499999999</v>
      </c>
      <c r="AH136">
        <v>204986.03400000001</v>
      </c>
      <c r="AI136">
        <v>208406.78099999999</v>
      </c>
      <c r="AJ136">
        <v>211622.66699999999</v>
      </c>
      <c r="AK136">
        <v>214457.33499999999</v>
      </c>
      <c r="AL136">
        <v>217086.09299999999</v>
      </c>
      <c r="AM136">
        <v>219885.72899999999</v>
      </c>
      <c r="AN136">
        <v>222694.413</v>
      </c>
      <c r="AO136">
        <v>225354.94200000001</v>
      </c>
      <c r="AP136">
        <v>228120.008</v>
      </c>
      <c r="AQ136">
        <v>230922.19099999999</v>
      </c>
      <c r="AR136">
        <v>233757.024</v>
      </c>
      <c r="AS136">
        <v>236556.78400000001</v>
      </c>
      <c r="AT136">
        <v>239326.66500000001</v>
      </c>
      <c r="AU136">
        <v>242052.00899999999</v>
      </c>
      <c r="AV136">
        <v>244764.21</v>
      </c>
      <c r="AW136">
        <v>247509.28200000001</v>
      </c>
      <c r="AX136">
        <v>250426.01800000001</v>
      </c>
      <c r="AY136">
        <v>253581.516</v>
      </c>
      <c r="AZ136">
        <v>256978.94399999999</v>
      </c>
      <c r="BA136">
        <v>260582.15100000001</v>
      </c>
      <c r="BB136">
        <v>264348.88400000002</v>
      </c>
      <c r="BC136">
        <v>268400.43599999999</v>
      </c>
      <c r="BD136">
        <v>272693.05300000001</v>
      </c>
      <c r="BE136">
        <v>277209.842</v>
      </c>
      <c r="BF136">
        <v>281966.33899999998</v>
      </c>
      <c r="BG136">
        <v>23.56</v>
      </c>
    </row>
    <row r="137" spans="1:59">
      <c r="A137" t="s">
        <v>282</v>
      </c>
      <c r="B137" t="s">
        <v>206</v>
      </c>
      <c r="C137" t="s">
        <v>182</v>
      </c>
      <c r="D137">
        <v>485</v>
      </c>
      <c r="E137" t="s">
        <v>183</v>
      </c>
      <c r="F137" t="s">
        <v>3</v>
      </c>
      <c r="G137" t="s">
        <v>281</v>
      </c>
      <c r="H137">
        <v>35986.199999999997</v>
      </c>
      <c r="I137">
        <v>37521.800000000003</v>
      </c>
      <c r="J137">
        <v>38305</v>
      </c>
      <c r="K137">
        <v>39219.699999999997</v>
      </c>
      <c r="L137">
        <v>36836.5</v>
      </c>
      <c r="M137">
        <v>37664.5</v>
      </c>
      <c r="N137">
        <v>39285.199999999997</v>
      </c>
      <c r="O137">
        <v>41392</v>
      </c>
      <c r="P137">
        <v>41228.699999999997</v>
      </c>
      <c r="Q137">
        <v>43568.5</v>
      </c>
      <c r="R137">
        <v>42870.1</v>
      </c>
      <c r="S137">
        <v>41534</v>
      </c>
      <c r="T137">
        <v>43408.2</v>
      </c>
      <c r="U137">
        <v>46803.9</v>
      </c>
      <c r="V137">
        <v>55420</v>
      </c>
      <c r="W137">
        <v>43466.1</v>
      </c>
      <c r="X137">
        <v>49226.9</v>
      </c>
      <c r="Y137">
        <v>61788</v>
      </c>
      <c r="Z137">
        <v>73024.800000000003</v>
      </c>
      <c r="AA137">
        <v>85461.985000000001</v>
      </c>
      <c r="AB137">
        <v>91509.263999999996</v>
      </c>
      <c r="AC137">
        <v>95216.148000000001</v>
      </c>
      <c r="AD137">
        <v>99288.171000000002</v>
      </c>
      <c r="AE137">
        <v>103770.71400000001</v>
      </c>
      <c r="AF137">
        <v>108491.359</v>
      </c>
      <c r="AG137">
        <v>113226.681</v>
      </c>
      <c r="AH137">
        <v>117753.57399999999</v>
      </c>
      <c r="AI137">
        <v>122200.04700000001</v>
      </c>
      <c r="AJ137">
        <v>126542.482</v>
      </c>
      <c r="AK137">
        <v>130671.681</v>
      </c>
      <c r="AL137">
        <v>134658.07699999999</v>
      </c>
      <c r="AM137">
        <v>138710.86799999999</v>
      </c>
      <c r="AN137">
        <v>142726.16099999999</v>
      </c>
      <c r="AO137">
        <v>146594.21</v>
      </c>
      <c r="AP137">
        <v>150471.81299999999</v>
      </c>
      <c r="AQ137">
        <v>154304.42000000001</v>
      </c>
      <c r="AR137">
        <v>158082.19</v>
      </c>
      <c r="AS137">
        <v>161748.83900000001</v>
      </c>
      <c r="AT137">
        <v>165295.34299999999</v>
      </c>
      <c r="AU137">
        <v>168695.42800000001</v>
      </c>
      <c r="AV137">
        <v>171963.791</v>
      </c>
      <c r="AW137">
        <v>175127.32500000001</v>
      </c>
      <c r="AX137">
        <v>178272.587</v>
      </c>
      <c r="AY137">
        <v>181439.25200000001</v>
      </c>
      <c r="AZ137">
        <v>184627.93100000001</v>
      </c>
      <c r="BA137">
        <v>187805.30799999999</v>
      </c>
      <c r="BB137">
        <v>190933.49299999999</v>
      </c>
      <c r="BC137">
        <v>194093.11199999999</v>
      </c>
      <c r="BD137">
        <v>197244.83600000001</v>
      </c>
      <c r="BE137">
        <v>200365.94500000001</v>
      </c>
      <c r="BF137">
        <v>203455.66099999999</v>
      </c>
      <c r="BG137">
        <v>129.56</v>
      </c>
    </row>
    <row r="138" spans="1:59">
      <c r="A138" t="s">
        <v>284</v>
      </c>
      <c r="B138" t="s">
        <v>206</v>
      </c>
      <c r="C138" t="s">
        <v>186</v>
      </c>
      <c r="D138">
        <v>486</v>
      </c>
      <c r="E138" t="s">
        <v>187</v>
      </c>
      <c r="F138" t="s">
        <v>3</v>
      </c>
      <c r="G138" t="s">
        <v>283</v>
      </c>
      <c r="H138">
        <v>17973.053</v>
      </c>
      <c r="I138">
        <v>17276.547999999999</v>
      </c>
      <c r="J138">
        <v>19343.447</v>
      </c>
      <c r="K138">
        <v>23011.687000000002</v>
      </c>
      <c r="L138">
        <v>20261.475999999999</v>
      </c>
      <c r="M138">
        <v>25203.035</v>
      </c>
      <c r="N138">
        <v>25525.032999999999</v>
      </c>
      <c r="O138">
        <v>29310.732</v>
      </c>
      <c r="P138">
        <v>29094.63</v>
      </c>
      <c r="Q138">
        <v>32105.3</v>
      </c>
      <c r="R138">
        <v>39313</v>
      </c>
      <c r="S138">
        <v>39853.413</v>
      </c>
      <c r="T138">
        <v>41003.913</v>
      </c>
      <c r="U138">
        <v>43270.400000000001</v>
      </c>
      <c r="V138">
        <v>35024.345999999998</v>
      </c>
      <c r="W138">
        <v>32768.411</v>
      </c>
      <c r="X138">
        <v>34190.410000000003</v>
      </c>
      <c r="Y138">
        <v>34134.31</v>
      </c>
      <c r="Z138">
        <v>35123.909</v>
      </c>
      <c r="AA138">
        <v>35034.603000000003</v>
      </c>
      <c r="AB138">
        <v>35772.464</v>
      </c>
      <c r="AC138">
        <v>36446.841</v>
      </c>
      <c r="AD138">
        <v>37316.667999999998</v>
      </c>
      <c r="AE138">
        <v>38349.605000000003</v>
      </c>
      <c r="AF138">
        <v>39461.771000000001</v>
      </c>
      <c r="AG138">
        <v>40582.873</v>
      </c>
      <c r="AH138">
        <v>41624.792000000001</v>
      </c>
      <c r="AI138">
        <v>42639.148999999998</v>
      </c>
      <c r="AJ138">
        <v>43621.05</v>
      </c>
      <c r="AK138">
        <v>44529.811000000002</v>
      </c>
      <c r="AL138">
        <v>45402.639000000003</v>
      </c>
      <c r="AM138">
        <v>46318.031000000003</v>
      </c>
      <c r="AN138">
        <v>47238.436000000002</v>
      </c>
      <c r="AO138">
        <v>48128.813000000002</v>
      </c>
      <c r="AP138">
        <v>49037.995999999999</v>
      </c>
      <c r="AQ138">
        <v>49950.116000000002</v>
      </c>
      <c r="AR138">
        <v>50862.756999999998</v>
      </c>
      <c r="AS138">
        <v>51760.481</v>
      </c>
      <c r="AT138">
        <v>52643.106</v>
      </c>
      <c r="AU138">
        <v>53499.188999999998</v>
      </c>
      <c r="AV138">
        <v>54335.31</v>
      </c>
      <c r="AW138">
        <v>55164.826000000001</v>
      </c>
      <c r="AX138">
        <v>56019.47</v>
      </c>
      <c r="AY138">
        <v>56912.154999999999</v>
      </c>
      <c r="AZ138">
        <v>57841.652999999998</v>
      </c>
      <c r="BA138">
        <v>58799.995999999999</v>
      </c>
      <c r="BB138">
        <v>59777.23</v>
      </c>
      <c r="BC138">
        <v>60798.828000000001</v>
      </c>
      <c r="BD138">
        <v>61853.881999999998</v>
      </c>
      <c r="BE138">
        <v>62938.127999999997</v>
      </c>
      <c r="BF138">
        <v>64055.37</v>
      </c>
      <c r="BG138">
        <v>40.79</v>
      </c>
    </row>
    <row r="139" spans="1:59">
      <c r="A139" t="s">
        <v>286</v>
      </c>
      <c r="B139" t="s">
        <v>206</v>
      </c>
      <c r="C139" t="s">
        <v>190</v>
      </c>
      <c r="D139">
        <v>487</v>
      </c>
      <c r="E139" t="s">
        <v>191</v>
      </c>
      <c r="F139" t="s">
        <v>3</v>
      </c>
      <c r="G139" t="s">
        <v>285</v>
      </c>
      <c r="H139">
        <v>1669.6969999999999</v>
      </c>
      <c r="I139">
        <v>1665.0550000000001</v>
      </c>
      <c r="J139">
        <v>1547.806</v>
      </c>
      <c r="K139">
        <v>1594.7460000000001</v>
      </c>
      <c r="L139">
        <v>1483.296</v>
      </c>
      <c r="M139">
        <v>1583.789</v>
      </c>
      <c r="N139">
        <v>1674.1510000000001</v>
      </c>
      <c r="O139">
        <v>1742.057</v>
      </c>
      <c r="P139">
        <v>1873.3679999999999</v>
      </c>
      <c r="Q139">
        <v>1930.6120000000001</v>
      </c>
      <c r="R139">
        <v>2048.317</v>
      </c>
      <c r="S139">
        <v>2148.893</v>
      </c>
      <c r="T139">
        <v>2115.9929999999999</v>
      </c>
      <c r="U139">
        <v>2189.1750000000002</v>
      </c>
      <c r="V139">
        <v>2240.732</v>
      </c>
      <c r="W139">
        <v>1458.145</v>
      </c>
      <c r="X139">
        <v>1410.346</v>
      </c>
      <c r="Y139">
        <v>1767.2670000000001</v>
      </c>
      <c r="Z139">
        <v>2344.0050000000001</v>
      </c>
      <c r="AA139">
        <v>2557.8380000000002</v>
      </c>
      <c r="AB139">
        <v>2700.116</v>
      </c>
      <c r="AC139">
        <v>2779.9960000000001</v>
      </c>
      <c r="AD139">
        <v>2866.91</v>
      </c>
      <c r="AE139">
        <v>2962.4639999999999</v>
      </c>
      <c r="AF139">
        <v>3062.8710000000001</v>
      </c>
      <c r="AG139">
        <v>3163.277</v>
      </c>
      <c r="AH139">
        <v>3258.2669999999998</v>
      </c>
      <c r="AI139">
        <v>3351.0259999999998</v>
      </c>
      <c r="AJ139">
        <v>3440.6439999999998</v>
      </c>
      <c r="AK139">
        <v>3525.0169999999998</v>
      </c>
      <c r="AL139">
        <v>3605.5129999999999</v>
      </c>
      <c r="AM139">
        <v>3687.3449999999998</v>
      </c>
      <c r="AN139">
        <v>3768.3820000000001</v>
      </c>
      <c r="AO139">
        <v>3845.84</v>
      </c>
      <c r="AP139">
        <v>3924.2510000000002</v>
      </c>
      <c r="AQ139">
        <v>4002.114</v>
      </c>
      <c r="AR139">
        <v>4079.3330000000001</v>
      </c>
      <c r="AS139">
        <v>4154.7190000000001</v>
      </c>
      <c r="AT139">
        <v>4228.1589999999997</v>
      </c>
      <c r="AU139">
        <v>4298.3909999999996</v>
      </c>
      <c r="AV139">
        <v>4366.1080000000002</v>
      </c>
      <c r="AW139">
        <v>4432.4549999999999</v>
      </c>
      <c r="AX139">
        <v>4500.027</v>
      </c>
      <c r="AY139">
        <v>4569.817</v>
      </c>
      <c r="AZ139">
        <v>4642.3100000000004</v>
      </c>
      <c r="BA139">
        <v>4716.6610000000001</v>
      </c>
      <c r="BB139">
        <v>4791.9920000000002</v>
      </c>
      <c r="BC139">
        <v>4870.38</v>
      </c>
      <c r="BD139">
        <v>4951.0039999999999</v>
      </c>
      <c r="BE139">
        <v>5033.4489999999996</v>
      </c>
      <c r="BF139">
        <v>5117.9340000000002</v>
      </c>
      <c r="BG139">
        <v>145.37</v>
      </c>
    </row>
    <row r="140" spans="1:59">
      <c r="A140" t="s">
        <v>288</v>
      </c>
      <c r="B140" t="s">
        <v>206</v>
      </c>
      <c r="C140" t="s">
        <v>194</v>
      </c>
      <c r="D140">
        <v>488</v>
      </c>
      <c r="E140" t="s">
        <v>195</v>
      </c>
      <c r="F140" t="s">
        <v>3</v>
      </c>
      <c r="G140" t="s">
        <v>287</v>
      </c>
      <c r="H140">
        <v>54919.048000000003</v>
      </c>
      <c r="I140">
        <v>55924.067000000003</v>
      </c>
      <c r="J140">
        <v>50692.02</v>
      </c>
      <c r="K140">
        <v>53696.726999999999</v>
      </c>
      <c r="L140">
        <v>48975.055999999997</v>
      </c>
      <c r="M140">
        <v>52727.370999999999</v>
      </c>
      <c r="N140">
        <v>55330.697</v>
      </c>
      <c r="O140">
        <v>56240.881999999998</v>
      </c>
      <c r="P140">
        <v>57597.692000000003</v>
      </c>
      <c r="Q140">
        <v>60461.108999999997</v>
      </c>
      <c r="R140">
        <v>65487.624000000003</v>
      </c>
      <c r="S140">
        <v>66299.221999999994</v>
      </c>
      <c r="T140">
        <v>66348.006999999998</v>
      </c>
      <c r="U140">
        <v>70387.259000000005</v>
      </c>
      <c r="V140">
        <v>74663.429000000004</v>
      </c>
      <c r="W140">
        <v>78175.343999999997</v>
      </c>
      <c r="X140">
        <v>65831.585000000006</v>
      </c>
      <c r="Y140">
        <v>73413.732999999993</v>
      </c>
      <c r="Z140">
        <v>95835.137000000002</v>
      </c>
      <c r="AA140">
        <v>95135.445000000007</v>
      </c>
      <c r="AB140">
        <v>97925.660999999993</v>
      </c>
      <c r="AC140">
        <v>101241.50199999999</v>
      </c>
      <c r="AD140">
        <v>104945.90700000001</v>
      </c>
      <c r="AE140">
        <v>109073.38099999999</v>
      </c>
      <c r="AF140">
        <v>113432.037</v>
      </c>
      <c r="AG140">
        <v>117786.583</v>
      </c>
      <c r="AH140">
        <v>121913.795</v>
      </c>
      <c r="AI140">
        <v>125955.53</v>
      </c>
      <c r="AJ140">
        <v>129888.789</v>
      </c>
      <c r="AK140">
        <v>133607.71900000001</v>
      </c>
      <c r="AL140">
        <v>137188.73800000001</v>
      </c>
      <c r="AM140">
        <v>140848.27299999999</v>
      </c>
      <c r="AN140">
        <v>144489.36499999999</v>
      </c>
      <c r="AO140">
        <v>148004.68900000001</v>
      </c>
      <c r="AP140">
        <v>151559.16200000001</v>
      </c>
      <c r="AQ140">
        <v>155100.17499999999</v>
      </c>
      <c r="AR140">
        <v>158619.78400000001</v>
      </c>
      <c r="AS140">
        <v>162067.92300000001</v>
      </c>
      <c r="AT140">
        <v>165440.155</v>
      </c>
      <c r="AU140">
        <v>168706.99799999999</v>
      </c>
      <c r="AV140">
        <v>171887.04800000001</v>
      </c>
      <c r="AW140">
        <v>175012.427</v>
      </c>
      <c r="AX140">
        <v>178179.30600000001</v>
      </c>
      <c r="AY140">
        <v>181429.72399999999</v>
      </c>
      <c r="AZ140">
        <v>184770.38099999999</v>
      </c>
      <c r="BA140">
        <v>188169.53599999999</v>
      </c>
      <c r="BB140">
        <v>191591.68100000001</v>
      </c>
      <c r="BC140">
        <v>195118.508</v>
      </c>
      <c r="BD140">
        <v>198714.28</v>
      </c>
      <c r="BE140">
        <v>202359.64</v>
      </c>
      <c r="BF140">
        <v>206058.486</v>
      </c>
      <c r="BG140">
        <v>276.8</v>
      </c>
    </row>
    <row r="141" spans="1:59">
      <c r="A141" t="s">
        <v>290</v>
      </c>
      <c r="B141" t="s">
        <v>206</v>
      </c>
      <c r="C141" t="s">
        <v>198</v>
      </c>
      <c r="D141">
        <v>492</v>
      </c>
      <c r="E141" t="s">
        <v>199</v>
      </c>
      <c r="F141" t="s">
        <v>3</v>
      </c>
      <c r="G141" t="s">
        <v>289</v>
      </c>
      <c r="H141">
        <v>100744.546</v>
      </c>
      <c r="I141">
        <v>102935.21799999999</v>
      </c>
      <c r="J141">
        <v>90224.698999999993</v>
      </c>
      <c r="K141">
        <v>85432.184999999998</v>
      </c>
      <c r="L141">
        <v>73281.058000000005</v>
      </c>
      <c r="M141">
        <v>67624.953999999998</v>
      </c>
      <c r="N141">
        <v>60374.78</v>
      </c>
      <c r="O141">
        <v>53899.942999999999</v>
      </c>
      <c r="P141">
        <v>52320.053</v>
      </c>
      <c r="Q141">
        <v>49879.576000000001</v>
      </c>
      <c r="R141">
        <v>49984.955999999998</v>
      </c>
      <c r="S141">
        <v>52606.088000000003</v>
      </c>
      <c r="T141">
        <v>56532</v>
      </c>
      <c r="U141">
        <v>57296.343000000001</v>
      </c>
      <c r="V141">
        <v>56741.118000000002</v>
      </c>
      <c r="W141">
        <v>68221.418999999994</v>
      </c>
      <c r="X141">
        <v>81973.915999999997</v>
      </c>
      <c r="Y141">
        <v>75867</v>
      </c>
      <c r="Z141">
        <v>64089.093000000001</v>
      </c>
      <c r="AA141">
        <v>52338.328000000001</v>
      </c>
      <c r="AB141">
        <v>50762.627999999997</v>
      </c>
      <c r="AC141">
        <v>48922.836000000003</v>
      </c>
      <c r="AD141">
        <v>47410.355000000003</v>
      </c>
      <c r="AE141">
        <v>46192.29</v>
      </c>
      <c r="AF141">
        <v>45140.639999999999</v>
      </c>
      <c r="AG141">
        <v>44142.542999999998</v>
      </c>
      <c r="AH141">
        <v>43117.281999999999</v>
      </c>
      <c r="AI141">
        <v>42131.822999999997</v>
      </c>
      <c r="AJ141">
        <v>41185.953000000001</v>
      </c>
      <c r="AK141">
        <v>40247.771999999997</v>
      </c>
      <c r="AL141">
        <v>39351.178</v>
      </c>
      <c r="AM141">
        <v>38562.133999999998</v>
      </c>
      <c r="AN141">
        <v>37846.807999999997</v>
      </c>
      <c r="AO141">
        <v>37175.699999999997</v>
      </c>
      <c r="AP141">
        <v>36589.093000000001</v>
      </c>
      <c r="AQ141">
        <v>36072.417000000001</v>
      </c>
      <c r="AR141">
        <v>35622.082999999999</v>
      </c>
      <c r="AS141">
        <v>35225.633000000002</v>
      </c>
      <c r="AT141">
        <v>34882.330999999998</v>
      </c>
      <c r="AU141">
        <v>34588.945</v>
      </c>
      <c r="AV141">
        <v>34349.019999999997</v>
      </c>
      <c r="AW141">
        <v>34168.023999999998</v>
      </c>
      <c r="AX141">
        <v>34063.79</v>
      </c>
      <c r="AY141">
        <v>34043.995999999999</v>
      </c>
      <c r="AZ141">
        <v>34108.112000000001</v>
      </c>
      <c r="BA141">
        <v>34250.555</v>
      </c>
      <c r="BB141">
        <v>34465.781999999999</v>
      </c>
      <c r="BC141">
        <v>34770.247000000003</v>
      </c>
      <c r="BD141">
        <v>35159.131999999998</v>
      </c>
      <c r="BE141">
        <v>35631.625</v>
      </c>
      <c r="BF141">
        <v>36191.828000000001</v>
      </c>
      <c r="BG141">
        <v>202.23</v>
      </c>
    </row>
    <row r="142" spans="1:59">
      <c r="A142" t="s">
        <v>292</v>
      </c>
      <c r="B142" t="s">
        <v>206</v>
      </c>
      <c r="C142" t="s">
        <v>202</v>
      </c>
      <c r="D142">
        <v>493</v>
      </c>
      <c r="E142" t="s">
        <v>203</v>
      </c>
      <c r="F142" t="s">
        <v>3</v>
      </c>
      <c r="G142" t="s">
        <v>291</v>
      </c>
      <c r="H142">
        <v>36637.800000000003</v>
      </c>
      <c r="I142">
        <v>39290.9</v>
      </c>
      <c r="J142">
        <v>37234.400000000001</v>
      </c>
      <c r="K142">
        <v>39367.1</v>
      </c>
      <c r="L142">
        <v>38749.699999999997</v>
      </c>
      <c r="M142">
        <v>40457.699999999997</v>
      </c>
      <c r="N142">
        <v>42761</v>
      </c>
      <c r="O142">
        <v>47093.8</v>
      </c>
      <c r="P142">
        <v>49630.7</v>
      </c>
      <c r="Q142">
        <v>51330.3</v>
      </c>
      <c r="R142">
        <v>52864.9</v>
      </c>
      <c r="S142">
        <v>57631.9</v>
      </c>
      <c r="T142">
        <v>61115.9</v>
      </c>
      <c r="U142">
        <v>66790.899999999994</v>
      </c>
      <c r="V142">
        <v>71648.5</v>
      </c>
      <c r="W142">
        <v>79571.7</v>
      </c>
      <c r="X142">
        <v>93938.1</v>
      </c>
      <c r="Y142">
        <v>93021.8</v>
      </c>
      <c r="Z142">
        <v>81417.899999999994</v>
      </c>
      <c r="AA142">
        <v>80305.152000000002</v>
      </c>
      <c r="AB142">
        <v>83505.070000000007</v>
      </c>
      <c r="AC142">
        <v>86912.217000000004</v>
      </c>
      <c r="AD142">
        <v>90717.232000000004</v>
      </c>
      <c r="AE142">
        <v>94942.6</v>
      </c>
      <c r="AF142">
        <v>99407.24</v>
      </c>
      <c r="AG142">
        <v>103887.74</v>
      </c>
      <c r="AH142">
        <v>108180.943</v>
      </c>
      <c r="AI142">
        <v>112413.34699999999</v>
      </c>
      <c r="AJ142">
        <v>116565.088</v>
      </c>
      <c r="AK142">
        <v>120528.88499999999</v>
      </c>
      <c r="AL142">
        <v>124375.042</v>
      </c>
      <c r="AM142">
        <v>128300.897</v>
      </c>
      <c r="AN142">
        <v>132211.89300000001</v>
      </c>
      <c r="AO142">
        <v>136006.11300000001</v>
      </c>
      <c r="AP142">
        <v>139827.98000000001</v>
      </c>
      <c r="AQ142">
        <v>143627.91500000001</v>
      </c>
      <c r="AR142">
        <v>147395.12599999999</v>
      </c>
      <c r="AS142">
        <v>151078.40700000001</v>
      </c>
      <c r="AT142">
        <v>154670.69399999999</v>
      </c>
      <c r="AU142">
        <v>158147.734</v>
      </c>
      <c r="AV142">
        <v>161521.549</v>
      </c>
      <c r="AW142">
        <v>164815.60800000001</v>
      </c>
      <c r="AX142">
        <v>168115.022</v>
      </c>
      <c r="AY142">
        <v>171457.981</v>
      </c>
      <c r="AZ142">
        <v>174844.45199999999</v>
      </c>
      <c r="BA142">
        <v>178243.53099999999</v>
      </c>
      <c r="BB142">
        <v>181618.59</v>
      </c>
      <c r="BC142">
        <v>185044.34899999999</v>
      </c>
      <c r="BD142">
        <v>188483.641</v>
      </c>
      <c r="BE142">
        <v>191915.53</v>
      </c>
      <c r="BF142">
        <v>195340.421</v>
      </c>
      <c r="BG142">
        <v>78.08</v>
      </c>
    </row>
    <row r="143" spans="1:59">
      <c r="A143" t="s">
        <v>480</v>
      </c>
      <c r="B143" t="s">
        <v>206</v>
      </c>
      <c r="C143" t="s">
        <v>345</v>
      </c>
      <c r="D143">
        <v>511</v>
      </c>
      <c r="E143" t="s">
        <v>346</v>
      </c>
      <c r="F143" t="s">
        <v>3</v>
      </c>
      <c r="G143" t="s">
        <v>481</v>
      </c>
      <c r="H143">
        <v>139743.5</v>
      </c>
      <c r="I143">
        <v>130488.8</v>
      </c>
      <c r="J143">
        <v>156054</v>
      </c>
      <c r="K143">
        <v>153853.9</v>
      </c>
      <c r="L143">
        <v>145496.5</v>
      </c>
      <c r="M143">
        <v>158269.20000000001</v>
      </c>
      <c r="N143">
        <v>165923.1</v>
      </c>
      <c r="O143">
        <v>174063.1</v>
      </c>
      <c r="P143">
        <v>183159.1</v>
      </c>
      <c r="Q143">
        <v>193583</v>
      </c>
      <c r="R143">
        <v>201799.1</v>
      </c>
      <c r="S143">
        <v>215952.8</v>
      </c>
      <c r="T143">
        <v>236014.6</v>
      </c>
      <c r="U143">
        <v>252984.7</v>
      </c>
      <c r="V143">
        <v>286484</v>
      </c>
      <c r="W143">
        <v>312316.09999999998</v>
      </c>
      <c r="X143">
        <v>371649</v>
      </c>
      <c r="Y143">
        <v>390100.1</v>
      </c>
      <c r="Z143">
        <v>434119.4</v>
      </c>
      <c r="AA143">
        <v>448410.46100000001</v>
      </c>
      <c r="AB143">
        <v>460842.21</v>
      </c>
      <c r="AC143">
        <v>472437.66600000003</v>
      </c>
      <c r="AD143">
        <v>485495.70799999998</v>
      </c>
      <c r="AE143">
        <v>500742.05599999998</v>
      </c>
      <c r="AF143">
        <v>517290.98100000003</v>
      </c>
      <c r="AG143">
        <v>534812.26599999995</v>
      </c>
      <c r="AH143">
        <v>552392.64899999998</v>
      </c>
      <c r="AI143">
        <v>570546.29399999999</v>
      </c>
      <c r="AJ143">
        <v>588966.45700000005</v>
      </c>
      <c r="AK143">
        <v>606376.45600000001</v>
      </c>
      <c r="AL143">
        <v>622664.64599999995</v>
      </c>
      <c r="AM143">
        <v>639260.83100000001</v>
      </c>
      <c r="AN143">
        <v>656255.72699999996</v>
      </c>
      <c r="AO143">
        <v>673149.94099999999</v>
      </c>
      <c r="AP143">
        <v>690621.93200000003</v>
      </c>
      <c r="AQ143">
        <v>708588.11</v>
      </c>
      <c r="AR143">
        <v>726674.15300000005</v>
      </c>
      <c r="AS143">
        <v>744890.30500000005</v>
      </c>
      <c r="AT143">
        <v>763194.37600000005</v>
      </c>
      <c r="AU143">
        <v>781624.95200000005</v>
      </c>
      <c r="AV143">
        <v>800220.05799999996</v>
      </c>
      <c r="AW143">
        <v>818998.45600000001</v>
      </c>
      <c r="AX143">
        <v>838240.58499999996</v>
      </c>
      <c r="AY143">
        <v>858241.625</v>
      </c>
      <c r="AZ143">
        <v>878872.23100000003</v>
      </c>
      <c r="BA143">
        <v>900005.30200000003</v>
      </c>
      <c r="BB143">
        <v>921556.25800000003</v>
      </c>
      <c r="BC143">
        <v>943617.60400000005</v>
      </c>
      <c r="BD143">
        <v>966143.65800000005</v>
      </c>
      <c r="BE143">
        <v>989208.91599999997</v>
      </c>
      <c r="BF143">
        <v>1012886.519</v>
      </c>
      <c r="BG143">
        <v>100.65</v>
      </c>
    </row>
    <row r="144" spans="1:59">
      <c r="A144" t="s">
        <v>482</v>
      </c>
      <c r="B144" t="s">
        <v>206</v>
      </c>
      <c r="C144" t="s">
        <v>349</v>
      </c>
      <c r="D144">
        <v>512</v>
      </c>
      <c r="E144" t="s">
        <v>350</v>
      </c>
      <c r="F144" t="s">
        <v>3</v>
      </c>
      <c r="G144" t="s">
        <v>483</v>
      </c>
      <c r="H144">
        <v>54103.6</v>
      </c>
      <c r="I144">
        <v>61128.800000000003</v>
      </c>
      <c r="J144">
        <v>70488.100000000006</v>
      </c>
      <c r="K144">
        <v>74449.8</v>
      </c>
      <c r="L144">
        <v>82071.199999999997</v>
      </c>
      <c r="M144">
        <v>90762.3</v>
      </c>
      <c r="N144">
        <v>85353.5</v>
      </c>
      <c r="O144">
        <v>81356.5</v>
      </c>
      <c r="P144">
        <v>84035.4</v>
      </c>
      <c r="Q144">
        <v>84662.2</v>
      </c>
      <c r="R144">
        <v>91949.3</v>
      </c>
      <c r="S144">
        <v>96120.2</v>
      </c>
      <c r="T144">
        <v>97725</v>
      </c>
      <c r="U144">
        <v>93178</v>
      </c>
      <c r="V144">
        <v>89939.3</v>
      </c>
      <c r="W144">
        <v>78743.8</v>
      </c>
      <c r="X144">
        <v>96926.7</v>
      </c>
      <c r="Y144">
        <v>114352.9</v>
      </c>
      <c r="Z144">
        <v>116349.3</v>
      </c>
      <c r="AA144">
        <v>116802.107</v>
      </c>
      <c r="AB144">
        <v>115127.292</v>
      </c>
      <c r="AC144">
        <v>113521.38499999999</v>
      </c>
      <c r="AD144">
        <v>112385.49</v>
      </c>
      <c r="AE144">
        <v>111946.216</v>
      </c>
      <c r="AF144">
        <v>111878.485</v>
      </c>
      <c r="AG144">
        <v>112050.014</v>
      </c>
      <c r="AH144">
        <v>112173.21</v>
      </c>
      <c r="AI144">
        <v>112389.336</v>
      </c>
      <c r="AJ144">
        <v>112602.87</v>
      </c>
      <c r="AK144">
        <v>112486.255</v>
      </c>
      <c r="AL144">
        <v>112042.30899999999</v>
      </c>
      <c r="AM144">
        <v>111649.344</v>
      </c>
      <c r="AN144">
        <v>111320.666</v>
      </c>
      <c r="AO144">
        <v>110948.31</v>
      </c>
      <c r="AP144">
        <v>110675.98699999999</v>
      </c>
      <c r="AQ144">
        <v>110475.16</v>
      </c>
      <c r="AR144">
        <v>110261.735</v>
      </c>
      <c r="AS144">
        <v>110038.465</v>
      </c>
      <c r="AT144">
        <v>109798.003</v>
      </c>
      <c r="AU144">
        <v>109549.97900000001</v>
      </c>
      <c r="AV144">
        <v>109300.321</v>
      </c>
      <c r="AW144">
        <v>109054.272</v>
      </c>
      <c r="AX144">
        <v>108860.815</v>
      </c>
      <c r="AY144">
        <v>108769.842</v>
      </c>
      <c r="AZ144">
        <v>108752.83900000001</v>
      </c>
      <c r="BA144">
        <v>108781.97900000001</v>
      </c>
      <c r="BB144">
        <v>108841.262</v>
      </c>
      <c r="BC144">
        <v>108943.465</v>
      </c>
      <c r="BD144">
        <v>109077.41099999999</v>
      </c>
      <c r="BE144">
        <v>109250.144</v>
      </c>
      <c r="BF144">
        <v>109473.861</v>
      </c>
      <c r="BG144">
        <v>182.13</v>
      </c>
    </row>
    <row r="145" spans="1:59">
      <c r="A145" t="s">
        <v>484</v>
      </c>
      <c r="B145" t="s">
        <v>206</v>
      </c>
      <c r="C145" t="s">
        <v>353</v>
      </c>
      <c r="D145">
        <v>515</v>
      </c>
      <c r="E145" t="s">
        <v>354</v>
      </c>
      <c r="F145" t="s">
        <v>3</v>
      </c>
      <c r="G145" t="s">
        <v>485</v>
      </c>
      <c r="H145">
        <v>67460.120999999999</v>
      </c>
      <c r="I145">
        <v>69014.142000000007</v>
      </c>
      <c r="J145">
        <v>74982.039999999994</v>
      </c>
      <c r="K145">
        <v>80337.816000000006</v>
      </c>
      <c r="L145">
        <v>77683</v>
      </c>
      <c r="M145">
        <v>82186.218999999997</v>
      </c>
      <c r="N145">
        <v>82744.471999999994</v>
      </c>
      <c r="O145">
        <v>88004.881999999998</v>
      </c>
      <c r="P145">
        <v>90314.221000000005</v>
      </c>
      <c r="Q145">
        <v>88552.221000000005</v>
      </c>
      <c r="R145">
        <v>96197.021999999997</v>
      </c>
      <c r="S145">
        <v>97883.979000000007</v>
      </c>
      <c r="T145">
        <v>104405.932</v>
      </c>
      <c r="U145">
        <v>108102.795</v>
      </c>
      <c r="V145">
        <v>106701.575</v>
      </c>
      <c r="W145">
        <v>111766.977</v>
      </c>
      <c r="X145">
        <v>114476.977</v>
      </c>
      <c r="Y145">
        <v>107816.755</v>
      </c>
      <c r="Z145">
        <v>131130.78700000001</v>
      </c>
      <c r="AA145">
        <v>141606.06599999999</v>
      </c>
      <c r="AB145">
        <v>143471.079</v>
      </c>
      <c r="AC145">
        <v>143997.07999999999</v>
      </c>
      <c r="AD145">
        <v>144783.576</v>
      </c>
      <c r="AE145">
        <v>146164.59700000001</v>
      </c>
      <c r="AF145">
        <v>147837.595</v>
      </c>
      <c r="AG145">
        <v>149688.64000000001</v>
      </c>
      <c r="AH145">
        <v>151422.42000000001</v>
      </c>
      <c r="AI145">
        <v>153186.93599999999</v>
      </c>
      <c r="AJ145">
        <v>154888.89600000001</v>
      </c>
      <c r="AK145">
        <v>156174.739</v>
      </c>
      <c r="AL145">
        <v>157036.21</v>
      </c>
      <c r="AM145">
        <v>157886.50099999999</v>
      </c>
      <c r="AN145">
        <v>158749.63200000001</v>
      </c>
      <c r="AO145">
        <v>159500.34899999999</v>
      </c>
      <c r="AP145">
        <v>160306.70699999999</v>
      </c>
      <c r="AQ145">
        <v>161140.90299999999</v>
      </c>
      <c r="AR145">
        <v>161911.39799999999</v>
      </c>
      <c r="AS145">
        <v>162621.75399999999</v>
      </c>
      <c r="AT145">
        <v>163264.826</v>
      </c>
      <c r="AU145">
        <v>163852.04500000001</v>
      </c>
      <c r="AV145">
        <v>164394.79500000001</v>
      </c>
      <c r="AW145">
        <v>164900.88800000001</v>
      </c>
      <c r="AX145">
        <v>165429.49400000001</v>
      </c>
      <c r="AY145">
        <v>166041.27900000001</v>
      </c>
      <c r="AZ145">
        <v>166703.424</v>
      </c>
      <c r="BA145">
        <v>167385.85800000001</v>
      </c>
      <c r="BB145">
        <v>168069.255</v>
      </c>
      <c r="BC145">
        <v>168768.97899999999</v>
      </c>
      <c r="BD145">
        <v>169473.19099999999</v>
      </c>
      <c r="BE145">
        <v>170196.42499999999</v>
      </c>
      <c r="BF145">
        <v>170956.06700000001</v>
      </c>
      <c r="BG145">
        <v>14.06</v>
      </c>
    </row>
    <row r="146" spans="1:59">
      <c r="A146" t="s">
        <v>486</v>
      </c>
      <c r="B146" t="s">
        <v>206</v>
      </c>
      <c r="C146" t="s">
        <v>357</v>
      </c>
      <c r="D146">
        <v>517</v>
      </c>
      <c r="E146" t="s">
        <v>358</v>
      </c>
      <c r="F146" t="s">
        <v>3</v>
      </c>
      <c r="G146" t="s">
        <v>487</v>
      </c>
      <c r="H146">
        <v>188083.639</v>
      </c>
      <c r="I146">
        <v>200635.052</v>
      </c>
      <c r="J146">
        <v>227440.31700000001</v>
      </c>
      <c r="K146">
        <v>245020.628</v>
      </c>
      <c r="L146">
        <v>231873.34</v>
      </c>
      <c r="M146">
        <v>237164.96599999999</v>
      </c>
      <c r="N146">
        <v>233952.76</v>
      </c>
      <c r="O146">
        <v>235334.889</v>
      </c>
      <c r="P146">
        <v>265293.06599999999</v>
      </c>
      <c r="Q146">
        <v>265713.13699999999</v>
      </c>
      <c r="R146">
        <v>307535.90999999997</v>
      </c>
      <c r="S146">
        <v>341550.82799999998</v>
      </c>
      <c r="T146">
        <v>357709.76799999998</v>
      </c>
      <c r="U146">
        <v>374333.989</v>
      </c>
      <c r="V146">
        <v>407315.22</v>
      </c>
      <c r="W146">
        <v>389274.81400000001</v>
      </c>
      <c r="X146">
        <v>410076.04499999998</v>
      </c>
      <c r="Y146">
        <v>409624.20699999999</v>
      </c>
      <c r="Z146">
        <v>397594.97600000002</v>
      </c>
      <c r="AA146">
        <v>387986.69099999999</v>
      </c>
      <c r="AB146">
        <v>399371.59700000001</v>
      </c>
      <c r="AC146">
        <v>411427.78499999997</v>
      </c>
      <c r="AD146">
        <v>424443.84600000002</v>
      </c>
      <c r="AE146">
        <v>439446.29499999998</v>
      </c>
      <c r="AF146">
        <v>455625.86599999998</v>
      </c>
      <c r="AG146">
        <v>472688.54599999997</v>
      </c>
      <c r="AH146">
        <v>489745.32400000002</v>
      </c>
      <c r="AI146">
        <v>507297.37800000003</v>
      </c>
      <c r="AJ146">
        <v>525032.07299999997</v>
      </c>
      <c r="AK146">
        <v>541697.77599999995</v>
      </c>
      <c r="AL146">
        <v>557192.77399999998</v>
      </c>
      <c r="AM146">
        <v>572937.603</v>
      </c>
      <c r="AN146">
        <v>589038.16799999995</v>
      </c>
      <c r="AO146">
        <v>605028.723</v>
      </c>
      <c r="AP146">
        <v>621551.61899999995</v>
      </c>
      <c r="AQ146">
        <v>638521.12699999998</v>
      </c>
      <c r="AR146">
        <v>655572.51500000001</v>
      </c>
      <c r="AS146">
        <v>672713.14500000002</v>
      </c>
      <c r="AT146">
        <v>689907.52599999995</v>
      </c>
      <c r="AU146">
        <v>707179.81200000003</v>
      </c>
      <c r="AV146">
        <v>724567.83900000004</v>
      </c>
      <c r="AW146">
        <v>742111.29</v>
      </c>
      <c r="AX146">
        <v>760093.93799999997</v>
      </c>
      <c r="AY146">
        <v>778812.43200000003</v>
      </c>
      <c r="AZ146">
        <v>798134.40300000005</v>
      </c>
      <c r="BA146">
        <v>817929.46699999995</v>
      </c>
      <c r="BB146">
        <v>838121.99100000004</v>
      </c>
      <c r="BC146">
        <v>858794.03300000005</v>
      </c>
      <c r="BD146">
        <v>879895.97100000002</v>
      </c>
      <c r="BE146">
        <v>901509.11499999999</v>
      </c>
      <c r="BF146">
        <v>923727.93900000001</v>
      </c>
      <c r="BG146">
        <v>131.47</v>
      </c>
    </row>
    <row r="147" spans="1:59">
      <c r="A147" t="s">
        <v>488</v>
      </c>
      <c r="B147" t="s">
        <v>206</v>
      </c>
      <c r="C147" t="s">
        <v>361</v>
      </c>
      <c r="D147">
        <v>518</v>
      </c>
      <c r="E147" t="s">
        <v>362</v>
      </c>
      <c r="F147" t="s">
        <v>3</v>
      </c>
      <c r="G147" t="s">
        <v>489</v>
      </c>
      <c r="H147">
        <v>52469.93</v>
      </c>
      <c r="I147">
        <v>57502.398000000001</v>
      </c>
      <c r="J147">
        <v>41940.697</v>
      </c>
      <c r="K147">
        <v>48914.463000000003</v>
      </c>
      <c r="L147">
        <v>51900.5</v>
      </c>
      <c r="M147">
        <v>62775.595000000001</v>
      </c>
      <c r="N147">
        <v>68707.937999999995</v>
      </c>
      <c r="O147">
        <v>60105.012999999999</v>
      </c>
      <c r="P147">
        <v>67039.034</v>
      </c>
      <c r="Q147">
        <v>74673.073000000004</v>
      </c>
      <c r="R147">
        <v>76816.489000000001</v>
      </c>
      <c r="S147">
        <v>88957.475000000006</v>
      </c>
      <c r="T147">
        <v>96384.759000000005</v>
      </c>
      <c r="U147">
        <v>112219.55</v>
      </c>
      <c r="V147">
        <v>137856.09</v>
      </c>
      <c r="W147">
        <v>162031.03599999999</v>
      </c>
      <c r="X147">
        <v>199493.886</v>
      </c>
      <c r="Y147">
        <v>268013.86300000001</v>
      </c>
      <c r="Z147">
        <v>309206.08799999999</v>
      </c>
      <c r="AA147">
        <v>341604.17800000001</v>
      </c>
      <c r="AB147">
        <v>350890.00599999999</v>
      </c>
      <c r="AC147">
        <v>352183.43800000002</v>
      </c>
      <c r="AD147">
        <v>354441.60700000002</v>
      </c>
      <c r="AE147">
        <v>358571.81400000001</v>
      </c>
      <c r="AF147">
        <v>363762.00599999999</v>
      </c>
      <c r="AG147">
        <v>369686.18900000001</v>
      </c>
      <c r="AH147">
        <v>375575.44799999997</v>
      </c>
      <c r="AI147">
        <v>381846.11499999999</v>
      </c>
      <c r="AJ147">
        <v>388229.65899999999</v>
      </c>
      <c r="AK147">
        <v>393744.908</v>
      </c>
      <c r="AL147">
        <v>398358.29700000002</v>
      </c>
      <c r="AM147">
        <v>403191.84700000001</v>
      </c>
      <c r="AN147">
        <v>408310.63199999998</v>
      </c>
      <c r="AO147">
        <v>413367.54</v>
      </c>
      <c r="AP147">
        <v>418831.3</v>
      </c>
      <c r="AQ147">
        <v>424626.755</v>
      </c>
      <c r="AR147">
        <v>430485.16899999999</v>
      </c>
      <c r="AS147">
        <v>436410.29100000003</v>
      </c>
      <c r="AT147">
        <v>442376.90700000001</v>
      </c>
      <c r="AU147">
        <v>448408.61099999998</v>
      </c>
      <c r="AV147">
        <v>454527.83100000001</v>
      </c>
      <c r="AW147">
        <v>460757.636</v>
      </c>
      <c r="AX147">
        <v>467282.24099999998</v>
      </c>
      <c r="AY147">
        <v>474293.598</v>
      </c>
      <c r="AZ147">
        <v>481693.86499999999</v>
      </c>
      <c r="BA147">
        <v>489389.87400000001</v>
      </c>
      <c r="BB147">
        <v>497331.20400000003</v>
      </c>
      <c r="BC147">
        <v>505565.158</v>
      </c>
      <c r="BD147">
        <v>514052.21399999998</v>
      </c>
      <c r="BE147">
        <v>522832.52100000001</v>
      </c>
      <c r="BF147">
        <v>531957.79399999999</v>
      </c>
      <c r="BG147">
        <v>27.93</v>
      </c>
    </row>
    <row r="148" spans="1:59">
      <c r="A148" t="s">
        <v>490</v>
      </c>
      <c r="B148" t="s">
        <v>206</v>
      </c>
      <c r="C148" t="s">
        <v>365</v>
      </c>
      <c r="D148">
        <v>519</v>
      </c>
      <c r="E148" t="s">
        <v>366</v>
      </c>
      <c r="F148" t="s">
        <v>3</v>
      </c>
      <c r="G148" t="s">
        <v>491</v>
      </c>
      <c r="H148">
        <v>19170.975999999999</v>
      </c>
      <c r="I148">
        <v>23055.157999999999</v>
      </c>
      <c r="J148">
        <v>26604.438999999998</v>
      </c>
      <c r="K148">
        <v>36835.589999999997</v>
      </c>
      <c r="L148">
        <v>36113.656999999999</v>
      </c>
      <c r="M148">
        <v>40969.741999999998</v>
      </c>
      <c r="N148">
        <v>50134.966999999997</v>
      </c>
      <c r="O148">
        <v>52033.987999999998</v>
      </c>
      <c r="P148">
        <v>73380.062000000005</v>
      </c>
      <c r="Q148">
        <v>81016.12</v>
      </c>
      <c r="R148">
        <v>96536.581000000006</v>
      </c>
      <c r="S148">
        <v>107283.613</v>
      </c>
      <c r="T148">
        <v>117777.74099999999</v>
      </c>
      <c r="U148">
        <v>125748.606</v>
      </c>
      <c r="V148">
        <v>151097.12</v>
      </c>
      <c r="W148">
        <v>173342.06899999999</v>
      </c>
      <c r="X148">
        <v>202920.894</v>
      </c>
      <c r="Y148">
        <v>201350.62100000001</v>
      </c>
      <c r="Z148">
        <v>235624.03099999999</v>
      </c>
      <c r="AA148">
        <v>259947.71100000001</v>
      </c>
      <c r="AB148">
        <v>269175.864</v>
      </c>
      <c r="AC148">
        <v>276750.614</v>
      </c>
      <c r="AD148">
        <v>285481.13199999998</v>
      </c>
      <c r="AE148">
        <v>296028.84100000001</v>
      </c>
      <c r="AF148">
        <v>307667.46000000002</v>
      </c>
      <c r="AG148">
        <v>320100.57799999998</v>
      </c>
      <c r="AH148">
        <v>332518.05499999999</v>
      </c>
      <c r="AI148">
        <v>345343.01299999998</v>
      </c>
      <c r="AJ148">
        <v>358286.54200000002</v>
      </c>
      <c r="AK148">
        <v>370235.88400000002</v>
      </c>
      <c r="AL148">
        <v>381097.891</v>
      </c>
      <c r="AM148">
        <v>392121.734</v>
      </c>
      <c r="AN148">
        <v>403362.02100000001</v>
      </c>
      <c r="AO148">
        <v>414416.163</v>
      </c>
      <c r="AP148">
        <v>425836.24</v>
      </c>
      <c r="AQ148">
        <v>437530.36599999998</v>
      </c>
      <c r="AR148">
        <v>449163.217</v>
      </c>
      <c r="AS148">
        <v>460739.34</v>
      </c>
      <c r="AT148">
        <v>472217.82699999999</v>
      </c>
      <c r="AU148">
        <v>483636.136</v>
      </c>
      <c r="AV148">
        <v>495013.49099999998</v>
      </c>
      <c r="AW148">
        <v>506367.723</v>
      </c>
      <c r="AX148">
        <v>517933.84899999999</v>
      </c>
      <c r="AY148">
        <v>529971.97199999995</v>
      </c>
      <c r="AZ148">
        <v>542364.84900000005</v>
      </c>
      <c r="BA148">
        <v>554986.92500000005</v>
      </c>
      <c r="BB148">
        <v>567764.27099999995</v>
      </c>
      <c r="BC148">
        <v>580777.34299999999</v>
      </c>
      <c r="BD148">
        <v>593975.228</v>
      </c>
      <c r="BE148">
        <v>607398.01</v>
      </c>
      <c r="BF148">
        <v>621117.42099999997</v>
      </c>
    </row>
    <row r="149" spans="1:59">
      <c r="A149" t="s">
        <v>492</v>
      </c>
      <c r="B149" t="s">
        <v>206</v>
      </c>
      <c r="C149" t="s">
        <v>369</v>
      </c>
      <c r="D149">
        <v>521</v>
      </c>
      <c r="E149" t="s">
        <v>370</v>
      </c>
      <c r="F149" t="s">
        <v>3</v>
      </c>
      <c r="G149" t="s">
        <v>493</v>
      </c>
      <c r="H149">
        <v>4693.1180000000004</v>
      </c>
      <c r="I149">
        <v>4649.3289999999997</v>
      </c>
      <c r="J149">
        <v>4536.6540000000005</v>
      </c>
      <c r="K149">
        <v>5745.6319999999996</v>
      </c>
      <c r="L149">
        <v>7922.3230000000003</v>
      </c>
      <c r="M149">
        <v>7357.0079999999998</v>
      </c>
      <c r="N149">
        <v>7463.8980000000001</v>
      </c>
      <c r="O149">
        <v>7429.0020000000004</v>
      </c>
      <c r="P149">
        <v>7118.018</v>
      </c>
      <c r="Q149">
        <v>7532.3490000000002</v>
      </c>
      <c r="R149">
        <v>7325.5389999999998</v>
      </c>
      <c r="S149">
        <v>7179.7709999999997</v>
      </c>
      <c r="T149">
        <v>6798.1289999999999</v>
      </c>
      <c r="U149">
        <v>6626.835</v>
      </c>
      <c r="V149">
        <v>6860.107</v>
      </c>
      <c r="W149">
        <v>6985.4319999999998</v>
      </c>
      <c r="X149">
        <v>7186.0529999999999</v>
      </c>
      <c r="Y149">
        <v>6937.03</v>
      </c>
      <c r="Z149">
        <v>7208.8320000000003</v>
      </c>
      <c r="AA149">
        <v>7758.6710000000003</v>
      </c>
      <c r="AB149">
        <v>7854.8689999999997</v>
      </c>
      <c r="AC149">
        <v>7902.0469999999996</v>
      </c>
      <c r="AD149">
        <v>7974.4970000000003</v>
      </c>
      <c r="AE149">
        <v>8025.5820000000003</v>
      </c>
      <c r="AF149">
        <v>8063.0870000000004</v>
      </c>
      <c r="AG149">
        <v>8103.134</v>
      </c>
      <c r="AH149">
        <v>8146.3190000000004</v>
      </c>
      <c r="AI149">
        <v>8194.2579999999998</v>
      </c>
      <c r="AJ149">
        <v>8244.3940000000002</v>
      </c>
      <c r="AK149">
        <v>8290.0679999999993</v>
      </c>
      <c r="AL149">
        <v>8328.5759999999991</v>
      </c>
      <c r="AM149">
        <v>8366.482</v>
      </c>
      <c r="AN149">
        <v>8408.2240000000002</v>
      </c>
      <c r="AO149">
        <v>8451.2810000000009</v>
      </c>
      <c r="AP149">
        <v>8498.2129999999997</v>
      </c>
      <c r="AQ149">
        <v>8546.5689999999995</v>
      </c>
      <c r="AR149">
        <v>8595.5990000000002</v>
      </c>
      <c r="AS149">
        <v>8648.0640000000003</v>
      </c>
      <c r="AT149">
        <v>8702.8739999999998</v>
      </c>
      <c r="AU149">
        <v>8759.1959999999999</v>
      </c>
      <c r="AV149">
        <v>8817.3420000000006</v>
      </c>
      <c r="AW149">
        <v>8877.5640000000003</v>
      </c>
      <c r="AX149">
        <v>8943.3250000000007</v>
      </c>
      <c r="AY149">
        <v>9016.3790000000008</v>
      </c>
      <c r="AZ149">
        <v>9093.3880000000008</v>
      </c>
      <c r="BA149">
        <v>9173.61</v>
      </c>
      <c r="BB149">
        <v>9257.7880000000005</v>
      </c>
      <c r="BC149">
        <v>9347.3970000000008</v>
      </c>
      <c r="BD149">
        <v>9440.5409999999993</v>
      </c>
      <c r="BE149">
        <v>9536.6370000000006</v>
      </c>
      <c r="BF149">
        <v>9638.8150000000005</v>
      </c>
    </row>
    <row r="150" spans="1:59">
      <c r="A150" t="s">
        <v>494</v>
      </c>
      <c r="B150" t="s">
        <v>206</v>
      </c>
      <c r="C150" t="s">
        <v>373</v>
      </c>
      <c r="D150">
        <v>522</v>
      </c>
      <c r="E150" t="s">
        <v>374</v>
      </c>
      <c r="F150" t="s">
        <v>3</v>
      </c>
      <c r="G150" t="s">
        <v>495</v>
      </c>
      <c r="H150">
        <v>578301.16299999994</v>
      </c>
      <c r="I150">
        <v>565953.13199999998</v>
      </c>
      <c r="J150">
        <v>522332.51199999999</v>
      </c>
      <c r="K150">
        <v>556991.50300000003</v>
      </c>
      <c r="L150">
        <v>684067.50800000003</v>
      </c>
      <c r="M150">
        <v>628784.84</v>
      </c>
      <c r="N150">
        <v>695724.03500000003</v>
      </c>
      <c r="O150">
        <v>751464.99800000002</v>
      </c>
      <c r="P150">
        <v>695552.39599999995</v>
      </c>
      <c r="Q150">
        <v>716549.522</v>
      </c>
      <c r="R150">
        <v>707217.24</v>
      </c>
      <c r="S150">
        <v>675323.99699999997</v>
      </c>
      <c r="T150">
        <v>642062.87100000004</v>
      </c>
      <c r="U150">
        <v>616247.43500000006</v>
      </c>
      <c r="V150">
        <v>644535.03700000001</v>
      </c>
      <c r="W150">
        <v>691610.83900000004</v>
      </c>
      <c r="X150">
        <v>726388.94700000004</v>
      </c>
      <c r="Y150">
        <v>647094.19299999997</v>
      </c>
      <c r="Z150">
        <v>631706.44799999997</v>
      </c>
      <c r="AA150">
        <v>653075.84499999997</v>
      </c>
      <c r="AB150">
        <v>654265.81400000001</v>
      </c>
      <c r="AC150">
        <v>655918.45600000001</v>
      </c>
      <c r="AD150">
        <v>659801.05099999998</v>
      </c>
      <c r="AE150">
        <v>661969.49399999995</v>
      </c>
      <c r="AF150">
        <v>663090.69400000002</v>
      </c>
      <c r="AG150">
        <v>664499.92700000003</v>
      </c>
      <c r="AH150">
        <v>666254.50899999996</v>
      </c>
      <c r="AI150">
        <v>668488.63100000005</v>
      </c>
      <c r="AJ150">
        <v>671003.90399999998</v>
      </c>
      <c r="AK150">
        <v>673252.95799999998</v>
      </c>
      <c r="AL150">
        <v>675008.04799999995</v>
      </c>
      <c r="AM150">
        <v>676801.59100000001</v>
      </c>
      <c r="AN150">
        <v>678998.13899999997</v>
      </c>
      <c r="AO150">
        <v>681389.56599999999</v>
      </c>
      <c r="AP150">
        <v>684197.47</v>
      </c>
      <c r="AQ150">
        <v>687222.43099999998</v>
      </c>
      <c r="AR150">
        <v>690402.58299999998</v>
      </c>
      <c r="AS150">
        <v>693963.527</v>
      </c>
      <c r="AT150">
        <v>697815.81</v>
      </c>
      <c r="AU150">
        <v>701892.82</v>
      </c>
      <c r="AV150">
        <v>706225.27899999998</v>
      </c>
      <c r="AW150">
        <v>710831.60600000003</v>
      </c>
      <c r="AX150">
        <v>715993.40899999999</v>
      </c>
      <c r="AY150">
        <v>721855.07799999998</v>
      </c>
      <c r="AZ150">
        <v>728148.78599999996</v>
      </c>
      <c r="BA150">
        <v>734819.87600000005</v>
      </c>
      <c r="BB150">
        <v>741928.56499999994</v>
      </c>
      <c r="BC150">
        <v>749594.53</v>
      </c>
      <c r="BD150">
        <v>757666.07200000004</v>
      </c>
      <c r="BE150">
        <v>766102.11899999995</v>
      </c>
      <c r="BF150">
        <v>775146.74199999997</v>
      </c>
    </row>
    <row r="151" spans="1:59">
      <c r="A151" t="s">
        <v>496</v>
      </c>
      <c r="B151" t="s">
        <v>206</v>
      </c>
      <c r="C151" t="s">
        <v>377</v>
      </c>
      <c r="D151">
        <v>523</v>
      </c>
      <c r="E151" t="s">
        <v>378</v>
      </c>
      <c r="F151" t="s">
        <v>3</v>
      </c>
      <c r="G151" t="s">
        <v>497</v>
      </c>
      <c r="H151">
        <v>330529.59999999998</v>
      </c>
      <c r="I151">
        <v>371303</v>
      </c>
      <c r="J151">
        <v>309853.8</v>
      </c>
      <c r="K151">
        <v>155032.20000000001</v>
      </c>
      <c r="L151">
        <v>357766.1</v>
      </c>
      <c r="M151">
        <v>330344.3</v>
      </c>
      <c r="N151">
        <v>260767.7</v>
      </c>
      <c r="O151">
        <v>330864.7</v>
      </c>
      <c r="P151">
        <v>308939.09999999998</v>
      </c>
      <c r="Q151">
        <v>248535.4</v>
      </c>
      <c r="R151">
        <v>245481.8</v>
      </c>
      <c r="S151">
        <v>274635.2</v>
      </c>
      <c r="T151">
        <v>283427.09999999998</v>
      </c>
      <c r="U151">
        <v>273617.59999999998</v>
      </c>
      <c r="V151">
        <v>257389.5</v>
      </c>
      <c r="W151">
        <v>264244.5</v>
      </c>
      <c r="X151">
        <v>266219.2</v>
      </c>
      <c r="Y151">
        <v>297382.3</v>
      </c>
      <c r="Z151">
        <v>312089.09999999998</v>
      </c>
      <c r="AA151">
        <v>315923.24099999998</v>
      </c>
      <c r="AB151">
        <v>317218.83299999998</v>
      </c>
      <c r="AC151">
        <v>321037.84999999998</v>
      </c>
      <c r="AD151">
        <v>325787.05699999997</v>
      </c>
      <c r="AE151">
        <v>329604.77500000002</v>
      </c>
      <c r="AF151">
        <v>332819.11700000003</v>
      </c>
      <c r="AG151">
        <v>336146.36300000001</v>
      </c>
      <c r="AH151">
        <v>339591.23800000001</v>
      </c>
      <c r="AI151">
        <v>343200.21600000001</v>
      </c>
      <c r="AJ151">
        <v>346852.84100000001</v>
      </c>
      <c r="AK151">
        <v>350266.58399999997</v>
      </c>
      <c r="AL151">
        <v>353324.90700000001</v>
      </c>
      <c r="AM151">
        <v>356299.77299999999</v>
      </c>
      <c r="AN151">
        <v>359388.00400000002</v>
      </c>
      <c r="AO151">
        <v>362484.26899999997</v>
      </c>
      <c r="AP151">
        <v>365691.033</v>
      </c>
      <c r="AQ151">
        <v>368900.973</v>
      </c>
      <c r="AR151">
        <v>372081.09899999999</v>
      </c>
      <c r="AS151">
        <v>375349.03499999997</v>
      </c>
      <c r="AT151">
        <v>378653.283</v>
      </c>
      <c r="AU151">
        <v>381953.27899999998</v>
      </c>
      <c r="AV151">
        <v>385262.353</v>
      </c>
      <c r="AW151">
        <v>388590.772</v>
      </c>
      <c r="AX151">
        <v>392091.266</v>
      </c>
      <c r="AY151">
        <v>395838.80300000001</v>
      </c>
      <c r="AZ151">
        <v>399683.685</v>
      </c>
      <c r="BA151">
        <v>403594.18599999999</v>
      </c>
      <c r="BB151">
        <v>407600.761</v>
      </c>
      <c r="BC151">
        <v>411767.99400000001</v>
      </c>
      <c r="BD151">
        <v>416010.95299999998</v>
      </c>
      <c r="BE151">
        <v>420301.61800000002</v>
      </c>
      <c r="BF151">
        <v>424766.16499999998</v>
      </c>
    </row>
    <row r="152" spans="1:59">
      <c r="A152" t="s">
        <v>498</v>
      </c>
      <c r="B152" t="s">
        <v>206</v>
      </c>
      <c r="C152" t="s">
        <v>381</v>
      </c>
      <c r="D152">
        <v>524</v>
      </c>
      <c r="E152" t="s">
        <v>382</v>
      </c>
      <c r="F152" t="s">
        <v>3</v>
      </c>
      <c r="G152" t="s">
        <v>499</v>
      </c>
      <c r="H152">
        <v>388472.5</v>
      </c>
      <c r="I152">
        <v>412216.4</v>
      </c>
      <c r="J152">
        <v>449852.1</v>
      </c>
      <c r="K152">
        <v>392533.3</v>
      </c>
      <c r="L152">
        <v>398782.4</v>
      </c>
      <c r="M152">
        <v>400160.2</v>
      </c>
      <c r="N152">
        <v>406082.9</v>
      </c>
      <c r="O152">
        <v>423533.8</v>
      </c>
      <c r="P152">
        <v>401416.7</v>
      </c>
      <c r="Q152">
        <v>500300.7</v>
      </c>
      <c r="R152">
        <v>566254.9</v>
      </c>
      <c r="S152">
        <v>581276</v>
      </c>
      <c r="T152">
        <v>568888.9</v>
      </c>
      <c r="U152">
        <v>575157.69999999995</v>
      </c>
      <c r="V152">
        <v>614526.9</v>
      </c>
      <c r="W152">
        <v>588083.6</v>
      </c>
      <c r="X152">
        <v>607427.6</v>
      </c>
      <c r="Y152">
        <v>639271.6</v>
      </c>
      <c r="Z152">
        <v>632441.69999999995</v>
      </c>
      <c r="AA152">
        <v>636134.20600000001</v>
      </c>
      <c r="AB152">
        <v>655975.53799999994</v>
      </c>
      <c r="AC152">
        <v>678423.64099999995</v>
      </c>
      <c r="AD152">
        <v>703243.31900000002</v>
      </c>
      <c r="AE152">
        <v>726239.22600000002</v>
      </c>
      <c r="AF152">
        <v>748030.68099999998</v>
      </c>
      <c r="AG152">
        <v>770044.35800000001</v>
      </c>
      <c r="AH152">
        <v>792313.22</v>
      </c>
      <c r="AI152">
        <v>814971.24399999995</v>
      </c>
      <c r="AJ152">
        <v>837777.48400000005</v>
      </c>
      <c r="AK152">
        <v>860002.93200000003</v>
      </c>
      <c r="AL152">
        <v>881264.85400000005</v>
      </c>
      <c r="AM152">
        <v>902172.65399999998</v>
      </c>
      <c r="AN152">
        <v>923168.58799999999</v>
      </c>
      <c r="AO152">
        <v>943928.16399999999</v>
      </c>
      <c r="AP152">
        <v>964735.25</v>
      </c>
      <c r="AQ152">
        <v>985267.66899999999</v>
      </c>
      <c r="AR152">
        <v>1005394.518</v>
      </c>
      <c r="AS152">
        <v>1025409.37</v>
      </c>
      <c r="AT152">
        <v>1045147.16</v>
      </c>
      <c r="AU152">
        <v>1064462.453</v>
      </c>
      <c r="AV152">
        <v>1083358.96</v>
      </c>
      <c r="AW152">
        <v>1101822.9750000001</v>
      </c>
      <c r="AX152">
        <v>1120254.5290000001</v>
      </c>
      <c r="AY152">
        <v>1138840.6869999999</v>
      </c>
      <c r="AZ152">
        <v>1157123.7890000001</v>
      </c>
      <c r="BA152">
        <v>1174977.426</v>
      </c>
      <c r="BB152">
        <v>1192451.801</v>
      </c>
      <c r="BC152">
        <v>1209678.6910000001</v>
      </c>
      <c r="BD152">
        <v>1226363.4650000001</v>
      </c>
      <c r="BE152">
        <v>1242396.378</v>
      </c>
      <c r="BF152">
        <v>1258102.1599999999</v>
      </c>
    </row>
    <row r="153" spans="1:59">
      <c r="A153" t="s">
        <v>500</v>
      </c>
      <c r="B153" t="s">
        <v>206</v>
      </c>
      <c r="C153" t="s">
        <v>385</v>
      </c>
      <c r="D153">
        <v>525</v>
      </c>
      <c r="E153" t="s">
        <v>386</v>
      </c>
      <c r="F153" t="s">
        <v>3</v>
      </c>
      <c r="G153" t="s">
        <v>501</v>
      </c>
      <c r="H153">
        <v>7444.3</v>
      </c>
      <c r="I153">
        <v>7599.4</v>
      </c>
      <c r="J153">
        <v>5358.2</v>
      </c>
      <c r="K153">
        <v>2613.8000000000002</v>
      </c>
      <c r="L153">
        <v>430.3</v>
      </c>
      <c r="M153">
        <v>2994.2</v>
      </c>
      <c r="N153">
        <v>9784.6</v>
      </c>
      <c r="O153">
        <v>22994.799999999999</v>
      </c>
      <c r="P153">
        <v>31516.2</v>
      </c>
      <c r="Q153">
        <v>68296</v>
      </c>
      <c r="R153">
        <v>33536.199999999997</v>
      </c>
      <c r="S153">
        <v>4170.5</v>
      </c>
      <c r="T153">
        <v>6834</v>
      </c>
      <c r="U153">
        <v>646.81700000000001</v>
      </c>
      <c r="V153">
        <v>816.5</v>
      </c>
      <c r="W153">
        <v>631.71400000000006</v>
      </c>
      <c r="X153">
        <v>14374.3</v>
      </c>
      <c r="Y153">
        <v>5082.5</v>
      </c>
      <c r="Z153">
        <v>3458.3</v>
      </c>
      <c r="AA153">
        <v>3786.0920000000001</v>
      </c>
      <c r="AB153">
        <v>3697.223</v>
      </c>
      <c r="AC153">
        <v>3936.35</v>
      </c>
      <c r="AD153">
        <v>4196.0050000000001</v>
      </c>
      <c r="AE153">
        <v>4450.8689999999997</v>
      </c>
      <c r="AF153">
        <v>4703.9449999999997</v>
      </c>
      <c r="AG153">
        <v>4964.4589999999998</v>
      </c>
      <c r="AH153">
        <v>5232.0990000000002</v>
      </c>
      <c r="AI153">
        <v>5507.6149999999998</v>
      </c>
      <c r="AJ153">
        <v>5788.8559999999998</v>
      </c>
      <c r="AK153">
        <v>6070.2749999999996</v>
      </c>
      <c r="AL153">
        <v>6348.3710000000001</v>
      </c>
      <c r="AM153">
        <v>6626.6279999999997</v>
      </c>
      <c r="AN153">
        <v>6907.9279999999999</v>
      </c>
      <c r="AO153">
        <v>7189.4660000000003</v>
      </c>
      <c r="AP153">
        <v>7472.6059999999998</v>
      </c>
      <c r="AQ153">
        <v>7754.0929999999998</v>
      </c>
      <c r="AR153">
        <v>8032.1880000000001</v>
      </c>
      <c r="AS153">
        <v>8308.6329999999998</v>
      </c>
      <c r="AT153">
        <v>8581.3799999999992</v>
      </c>
      <c r="AU153">
        <v>8848.2350000000006</v>
      </c>
      <c r="AV153">
        <v>9108.5470000000005</v>
      </c>
      <c r="AW153">
        <v>9361.5049999999992</v>
      </c>
      <c r="AX153">
        <v>9610.0450000000001</v>
      </c>
      <c r="AY153">
        <v>9855.0910000000003</v>
      </c>
      <c r="AZ153">
        <v>10091.936</v>
      </c>
      <c r="BA153">
        <v>10318.754999999999</v>
      </c>
      <c r="BB153">
        <v>10535.398999999999</v>
      </c>
      <c r="BC153">
        <v>10742.527</v>
      </c>
      <c r="BD153">
        <v>10936.941999999999</v>
      </c>
      <c r="BE153">
        <v>11117.066000000001</v>
      </c>
      <c r="BF153">
        <v>11285.181</v>
      </c>
    </row>
    <row r="154" spans="1:59">
      <c r="A154" t="s">
        <v>502</v>
      </c>
      <c r="B154" t="s">
        <v>206</v>
      </c>
      <c r="C154" t="s">
        <v>389</v>
      </c>
      <c r="D154">
        <v>531</v>
      </c>
      <c r="E154" t="s">
        <v>390</v>
      </c>
      <c r="F154" t="s">
        <v>3</v>
      </c>
      <c r="G154" t="s">
        <v>503</v>
      </c>
      <c r="H154">
        <v>1861345.4</v>
      </c>
      <c r="I154">
        <v>1860029.3</v>
      </c>
      <c r="J154">
        <v>2001945.2</v>
      </c>
      <c r="K154">
        <v>2075970.4</v>
      </c>
      <c r="L154">
        <v>2043189.2</v>
      </c>
      <c r="M154">
        <v>2142833.4</v>
      </c>
      <c r="N154">
        <v>2193392.4</v>
      </c>
      <c r="O154">
        <v>2219533.2999999998</v>
      </c>
      <c r="P154">
        <v>2281109.9</v>
      </c>
      <c r="Q154">
        <v>2287535</v>
      </c>
      <c r="R154">
        <v>2265213.1</v>
      </c>
      <c r="S154">
        <v>2272322.4</v>
      </c>
      <c r="T154">
        <v>2312760</v>
      </c>
      <c r="U154">
        <v>2398011.4</v>
      </c>
      <c r="V154">
        <v>2424220.7000000002</v>
      </c>
      <c r="W154">
        <v>2446912.2999999998</v>
      </c>
      <c r="X154">
        <v>2592773.4</v>
      </c>
      <c r="Y154">
        <v>2762959.7</v>
      </c>
      <c r="Z154">
        <v>2816426.2</v>
      </c>
      <c r="AA154">
        <v>2863433.6869999999</v>
      </c>
      <c r="AB154">
        <v>2926238.8259999999</v>
      </c>
      <c r="AC154">
        <v>2984468.6779999998</v>
      </c>
      <c r="AD154">
        <v>3052235.8119999999</v>
      </c>
      <c r="AE154">
        <v>3123716.5410000002</v>
      </c>
      <c r="AF154">
        <v>3195350.8629999999</v>
      </c>
      <c r="AG154">
        <v>3267447.4079999998</v>
      </c>
      <c r="AH154">
        <v>3340074.4849999999</v>
      </c>
      <c r="AI154">
        <v>3414322.875</v>
      </c>
      <c r="AJ154">
        <v>3490028.003</v>
      </c>
      <c r="AK154">
        <v>3564931.8149999999</v>
      </c>
      <c r="AL154">
        <v>3638423.3679999998</v>
      </c>
      <c r="AM154">
        <v>3713006.7650000001</v>
      </c>
      <c r="AN154">
        <v>3788180.8760000002</v>
      </c>
      <c r="AO154">
        <v>3862015.8739999998</v>
      </c>
      <c r="AP154">
        <v>3936662.6120000002</v>
      </c>
      <c r="AQ154">
        <v>4012231.08</v>
      </c>
      <c r="AR154">
        <v>4088563.4759999998</v>
      </c>
      <c r="AS154">
        <v>4165587.216</v>
      </c>
      <c r="AT154">
        <v>4243501.6440000003</v>
      </c>
      <c r="AU154">
        <v>4321895.8059999999</v>
      </c>
      <c r="AV154">
        <v>4400102.17</v>
      </c>
      <c r="AW154">
        <v>4478699.5650000004</v>
      </c>
      <c r="AX154">
        <v>4559188.55</v>
      </c>
      <c r="AY154">
        <v>4642475.1359999999</v>
      </c>
      <c r="AZ154">
        <v>4727392.5640000002</v>
      </c>
      <c r="BA154">
        <v>4813469.9890000001</v>
      </c>
      <c r="BB154">
        <v>4900890.3080000002</v>
      </c>
      <c r="BC154">
        <v>4991077.2649999997</v>
      </c>
      <c r="BD154">
        <v>5083399.1849999996</v>
      </c>
      <c r="BE154">
        <v>5177670.4790000003</v>
      </c>
      <c r="BF154">
        <v>5274691.3190000001</v>
      </c>
    </row>
    <row r="155" spans="1:59">
      <c r="A155" t="s">
        <v>504</v>
      </c>
      <c r="B155" t="s">
        <v>206</v>
      </c>
      <c r="C155" t="s">
        <v>393</v>
      </c>
      <c r="D155">
        <v>532</v>
      </c>
      <c r="E155" t="s">
        <v>394</v>
      </c>
      <c r="F155" t="s">
        <v>3</v>
      </c>
      <c r="G155" t="s">
        <v>505</v>
      </c>
      <c r="H155">
        <v>147524.152</v>
      </c>
      <c r="I155">
        <v>167540.07199999999</v>
      </c>
      <c r="J155">
        <v>159820.42499999999</v>
      </c>
      <c r="K155">
        <v>169263.91699999999</v>
      </c>
      <c r="L155">
        <v>148783.39499999999</v>
      </c>
      <c r="M155">
        <v>146597.546</v>
      </c>
      <c r="N155">
        <v>148897.76</v>
      </c>
      <c r="O155">
        <v>156563.16200000001</v>
      </c>
      <c r="P155">
        <v>162338.726</v>
      </c>
      <c r="Q155">
        <v>166038.22700000001</v>
      </c>
      <c r="R155">
        <v>179999.25599999999</v>
      </c>
      <c r="S155">
        <v>191810.54</v>
      </c>
      <c r="T155">
        <v>194766.68400000001</v>
      </c>
      <c r="U155">
        <v>207928.55799999999</v>
      </c>
      <c r="V155">
        <v>220656.85</v>
      </c>
      <c r="W155">
        <v>221406.66899999999</v>
      </c>
      <c r="X155">
        <v>241170.88399999999</v>
      </c>
      <c r="Y155">
        <v>253047.59899999999</v>
      </c>
      <c r="Z155">
        <v>271898.45</v>
      </c>
      <c r="AA155">
        <v>280705.19900000002</v>
      </c>
      <c r="AB155">
        <v>289198.14899999998</v>
      </c>
      <c r="AC155">
        <v>299364.54200000002</v>
      </c>
      <c r="AD155">
        <v>310616.61499999999</v>
      </c>
      <c r="AE155">
        <v>322363.41499999998</v>
      </c>
      <c r="AF155">
        <v>334235.67700000003</v>
      </c>
      <c r="AG155">
        <v>346248.36700000003</v>
      </c>
      <c r="AH155">
        <v>358391.80699999997</v>
      </c>
      <c r="AI155">
        <v>370782.33899999998</v>
      </c>
      <c r="AJ155">
        <v>383407.462</v>
      </c>
      <c r="AK155">
        <v>396005.20699999999</v>
      </c>
      <c r="AL155">
        <v>408484.87800000003</v>
      </c>
      <c r="AM155">
        <v>421110.734</v>
      </c>
      <c r="AN155">
        <v>433805.326</v>
      </c>
      <c r="AO155">
        <v>446328.17599999998</v>
      </c>
      <c r="AP155">
        <v>458914.68199999997</v>
      </c>
      <c r="AQ155">
        <v>471562.39</v>
      </c>
      <c r="AR155">
        <v>484237.86300000001</v>
      </c>
      <c r="AS155">
        <v>496918.734</v>
      </c>
      <c r="AT155">
        <v>509614.39</v>
      </c>
      <c r="AU155">
        <v>522257.46</v>
      </c>
      <c r="AV155">
        <v>534752.62199999997</v>
      </c>
      <c r="AW155">
        <v>547152.76100000006</v>
      </c>
      <c r="AX155">
        <v>559623.26399999997</v>
      </c>
      <c r="AY155">
        <v>572261.304</v>
      </c>
      <c r="AZ155">
        <v>584909.08299999998</v>
      </c>
      <c r="BA155">
        <v>597493.50199999998</v>
      </c>
      <c r="BB155">
        <v>610017.01800000004</v>
      </c>
      <c r="BC155">
        <v>622638.19700000004</v>
      </c>
      <c r="BD155">
        <v>635261.755</v>
      </c>
      <c r="BE155">
        <v>647849.23800000001</v>
      </c>
      <c r="BF155">
        <v>660484.90500000003</v>
      </c>
    </row>
    <row r="156" spans="1:59">
      <c r="A156" t="s">
        <v>506</v>
      </c>
      <c r="B156" t="s">
        <v>206</v>
      </c>
      <c r="C156" t="s">
        <v>397</v>
      </c>
      <c r="D156">
        <v>533</v>
      </c>
      <c r="E156" t="s">
        <v>398</v>
      </c>
      <c r="F156" t="s">
        <v>3</v>
      </c>
      <c r="G156" t="s">
        <v>507</v>
      </c>
      <c r="H156">
        <v>14198.977000000001</v>
      </c>
      <c r="I156">
        <v>17070.808000000001</v>
      </c>
      <c r="J156">
        <v>16014.468000000001</v>
      </c>
      <c r="K156">
        <v>16488.082999999999</v>
      </c>
      <c r="L156">
        <v>15343.504999999999</v>
      </c>
      <c r="M156">
        <v>14879.446</v>
      </c>
      <c r="N156">
        <v>13868.642</v>
      </c>
      <c r="O156">
        <v>14712.739</v>
      </c>
      <c r="P156">
        <v>14718.197</v>
      </c>
      <c r="Q156">
        <v>15014.87</v>
      </c>
      <c r="R156">
        <v>15398.734</v>
      </c>
      <c r="S156">
        <v>16775.858</v>
      </c>
      <c r="T156">
        <v>17491.216</v>
      </c>
      <c r="U156">
        <v>16860.344000000001</v>
      </c>
      <c r="V156">
        <v>17584.150000000001</v>
      </c>
      <c r="W156">
        <v>19711.627</v>
      </c>
      <c r="X156">
        <v>20077.116000000002</v>
      </c>
      <c r="Y156">
        <v>20903.575000000001</v>
      </c>
      <c r="Z156">
        <v>20873.802</v>
      </c>
      <c r="AA156">
        <v>21363.41</v>
      </c>
      <c r="AB156">
        <v>21734.187999999998</v>
      </c>
      <c r="AC156">
        <v>22021.969000000001</v>
      </c>
      <c r="AD156">
        <v>22376.059000000001</v>
      </c>
      <c r="AE156">
        <v>22760.125</v>
      </c>
      <c r="AF156">
        <v>23146.717000000001</v>
      </c>
      <c r="AG156">
        <v>23537.642</v>
      </c>
      <c r="AH156">
        <v>23932.238000000001</v>
      </c>
      <c r="AI156">
        <v>24338.358</v>
      </c>
      <c r="AJ156">
        <v>24755.24</v>
      </c>
      <c r="AK156">
        <v>25167.038</v>
      </c>
      <c r="AL156">
        <v>25569.815999999999</v>
      </c>
      <c r="AM156">
        <v>25981.804</v>
      </c>
      <c r="AN156">
        <v>26399.02</v>
      </c>
      <c r="AO156">
        <v>26808.424999999999</v>
      </c>
      <c r="AP156">
        <v>27224.987000000001</v>
      </c>
      <c r="AQ156">
        <v>27649.861000000001</v>
      </c>
      <c r="AR156">
        <v>28082.312000000002</v>
      </c>
      <c r="AS156">
        <v>28521.654999999999</v>
      </c>
      <c r="AT156">
        <v>28969.673999999999</v>
      </c>
      <c r="AU156">
        <v>29423.877</v>
      </c>
      <c r="AV156">
        <v>29879.944</v>
      </c>
      <c r="AW156">
        <v>30342.254000000001</v>
      </c>
      <c r="AX156">
        <v>30820.893</v>
      </c>
      <c r="AY156">
        <v>31322.156999999999</v>
      </c>
      <c r="AZ156">
        <v>31838.463</v>
      </c>
      <c r="BA156">
        <v>32367.005000000001</v>
      </c>
      <c r="BB156">
        <v>32909.052000000003</v>
      </c>
      <c r="BC156">
        <v>33474.665000000001</v>
      </c>
      <c r="BD156">
        <v>34060.122000000003</v>
      </c>
      <c r="BE156">
        <v>34664.392999999996</v>
      </c>
      <c r="BF156">
        <v>35293.180999999997</v>
      </c>
    </row>
    <row r="157" spans="1:59">
      <c r="A157" t="s">
        <v>508</v>
      </c>
      <c r="B157" t="s">
        <v>206</v>
      </c>
      <c r="C157" t="s">
        <v>401</v>
      </c>
      <c r="D157">
        <v>541</v>
      </c>
      <c r="E157" t="s">
        <v>26</v>
      </c>
      <c r="F157" t="s">
        <v>3</v>
      </c>
      <c r="G157" t="s">
        <v>15</v>
      </c>
      <c r="H157">
        <v>1004832.6</v>
      </c>
      <c r="I157">
        <v>1044199</v>
      </c>
      <c r="J157">
        <v>1086301</v>
      </c>
      <c r="K157">
        <v>1172965.3999999999</v>
      </c>
      <c r="L157">
        <v>1107412.6000000001</v>
      </c>
      <c r="M157">
        <v>1138354.8999999999</v>
      </c>
      <c r="N157">
        <v>1190012.5</v>
      </c>
      <c r="O157">
        <v>1243679.3</v>
      </c>
      <c r="P157">
        <v>1254106.8999999999</v>
      </c>
      <c r="Q157">
        <v>1306549.6000000001</v>
      </c>
      <c r="R157">
        <v>1365708.8</v>
      </c>
      <c r="S157">
        <v>1408373.7</v>
      </c>
      <c r="T157">
        <v>1460642.1</v>
      </c>
      <c r="U157">
        <v>1558185.1</v>
      </c>
      <c r="V157">
        <v>1644065.6</v>
      </c>
      <c r="W157">
        <v>1656742.6</v>
      </c>
      <c r="X157">
        <v>1882036.7</v>
      </c>
      <c r="Y157">
        <v>2034392.3</v>
      </c>
      <c r="Z157">
        <v>2117303</v>
      </c>
      <c r="AA157">
        <v>2200106.8829999999</v>
      </c>
      <c r="AB157">
        <v>2278758.395</v>
      </c>
      <c r="AC157">
        <v>2353144.1719999998</v>
      </c>
      <c r="AD157">
        <v>2434657.3110000002</v>
      </c>
      <c r="AE157">
        <v>2522523.2149999999</v>
      </c>
      <c r="AF157">
        <v>2613056.8820000002</v>
      </c>
      <c r="AG157">
        <v>2705542.2760000001</v>
      </c>
      <c r="AH157">
        <v>2797116.284</v>
      </c>
      <c r="AI157">
        <v>2891375.156</v>
      </c>
      <c r="AJ157">
        <v>2987968.5839999998</v>
      </c>
      <c r="AK157">
        <v>3082065.0109999999</v>
      </c>
      <c r="AL157">
        <v>3174033.3829999999</v>
      </c>
      <c r="AM157">
        <v>3269943.0869999998</v>
      </c>
      <c r="AN157">
        <v>3368731.4270000001</v>
      </c>
      <c r="AO157">
        <v>3467336.8509999998</v>
      </c>
      <c r="AP157">
        <v>3568562.8569999998</v>
      </c>
      <c r="AQ157">
        <v>3672066.2069999999</v>
      </c>
      <c r="AR157">
        <v>3776620.3730000001</v>
      </c>
      <c r="AS157">
        <v>3882347.42</v>
      </c>
      <c r="AT157">
        <v>3989394.5079999999</v>
      </c>
      <c r="AU157">
        <v>4098210.8059999999</v>
      </c>
      <c r="AV157">
        <v>4208469.6660000002</v>
      </c>
      <c r="AW157">
        <v>4319811.7580000004</v>
      </c>
      <c r="AX157">
        <v>4434209.1260000002</v>
      </c>
      <c r="AY157">
        <v>4553045.88</v>
      </c>
      <c r="AZ157">
        <v>4674941.8540000003</v>
      </c>
      <c r="BA157">
        <v>4799871.4469999997</v>
      </c>
      <c r="BB157">
        <v>4927320.0590000004</v>
      </c>
      <c r="BC157">
        <v>5058700.4189999998</v>
      </c>
      <c r="BD157">
        <v>5193562.2139999997</v>
      </c>
      <c r="BE157">
        <v>5332289.8609999996</v>
      </c>
      <c r="BF157">
        <v>5475745.5410000002</v>
      </c>
    </row>
    <row r="158" spans="1:59">
      <c r="A158" t="s">
        <v>509</v>
      </c>
      <c r="B158" t="s">
        <v>206</v>
      </c>
      <c r="C158" t="s">
        <v>403</v>
      </c>
      <c r="D158">
        <v>551</v>
      </c>
      <c r="E158" t="s">
        <v>27</v>
      </c>
      <c r="F158" t="s">
        <v>3</v>
      </c>
      <c r="G158" t="s">
        <v>16</v>
      </c>
      <c r="H158">
        <v>270157.2</v>
      </c>
      <c r="I158">
        <v>269741.90000000002</v>
      </c>
      <c r="J158">
        <v>264413.40000000002</v>
      </c>
      <c r="K158">
        <v>265969.7</v>
      </c>
      <c r="L158">
        <v>243303.1</v>
      </c>
      <c r="M158">
        <v>262317.2</v>
      </c>
      <c r="N158">
        <v>273275.5</v>
      </c>
      <c r="O158">
        <v>294769.8</v>
      </c>
      <c r="P158">
        <v>310441.8</v>
      </c>
      <c r="Q158">
        <v>331086.90000000002</v>
      </c>
      <c r="R158">
        <v>340541.9</v>
      </c>
      <c r="S158">
        <v>345553.7</v>
      </c>
      <c r="T158">
        <v>370133.7</v>
      </c>
      <c r="U158">
        <v>394968.1</v>
      </c>
      <c r="V158">
        <v>421632.7</v>
      </c>
      <c r="W158">
        <v>430136.2</v>
      </c>
      <c r="X158">
        <v>477038.9</v>
      </c>
      <c r="Y158">
        <v>528002.30000000005</v>
      </c>
      <c r="Z158">
        <v>536474.6</v>
      </c>
      <c r="AA158">
        <v>550865.45299999998</v>
      </c>
      <c r="AB158">
        <v>562781.84400000004</v>
      </c>
      <c r="AC158">
        <v>572379.41</v>
      </c>
      <c r="AD158">
        <v>581798.69799999997</v>
      </c>
      <c r="AE158">
        <v>592235.37100000004</v>
      </c>
      <c r="AF158">
        <v>603505.47100000002</v>
      </c>
      <c r="AG158">
        <v>615520.69900000002</v>
      </c>
      <c r="AH158">
        <v>627527.43200000003</v>
      </c>
      <c r="AI158">
        <v>639882.97900000005</v>
      </c>
      <c r="AJ158">
        <v>652563.28899999999</v>
      </c>
      <c r="AK158">
        <v>664714.12</v>
      </c>
      <c r="AL158">
        <v>676518.26500000001</v>
      </c>
      <c r="AM158">
        <v>688977.52</v>
      </c>
      <c r="AN158">
        <v>701753.12899999996</v>
      </c>
      <c r="AO158">
        <v>714299.90899999999</v>
      </c>
      <c r="AP158">
        <v>726933.43900000001</v>
      </c>
      <c r="AQ158">
        <v>739394.42099999997</v>
      </c>
      <c r="AR158">
        <v>751702.07499999995</v>
      </c>
      <c r="AS158">
        <v>764040.571</v>
      </c>
      <c r="AT158">
        <v>776393.61300000001</v>
      </c>
      <c r="AU158">
        <v>788812.20799999998</v>
      </c>
      <c r="AV158">
        <v>801294.821</v>
      </c>
      <c r="AW158">
        <v>813730.03200000001</v>
      </c>
      <c r="AX158">
        <v>826381.88500000001</v>
      </c>
      <c r="AY158">
        <v>839455.41799999995</v>
      </c>
      <c r="AZ158">
        <v>852682.26199999999</v>
      </c>
      <c r="BA158">
        <v>865917.55700000003</v>
      </c>
      <c r="BB158">
        <v>879134.05299999996</v>
      </c>
      <c r="BC158">
        <v>892596.19099999999</v>
      </c>
      <c r="BD158">
        <v>906243.42700000003</v>
      </c>
      <c r="BE158">
        <v>920141.98100000003</v>
      </c>
      <c r="BF158">
        <v>934378.65899999999</v>
      </c>
    </row>
    <row r="159" spans="1:59">
      <c r="A159" t="s">
        <v>510</v>
      </c>
      <c r="B159" t="s">
        <v>206</v>
      </c>
      <c r="C159" t="s">
        <v>405</v>
      </c>
      <c r="D159">
        <v>561</v>
      </c>
      <c r="E159" t="s">
        <v>406</v>
      </c>
      <c r="F159" t="s">
        <v>3</v>
      </c>
      <c r="G159" t="s">
        <v>511</v>
      </c>
      <c r="H159">
        <v>416495.1</v>
      </c>
      <c r="I159">
        <v>429906.2</v>
      </c>
      <c r="J159">
        <v>453726</v>
      </c>
      <c r="K159">
        <v>454672.7</v>
      </c>
      <c r="L159">
        <v>414984.1</v>
      </c>
      <c r="M159">
        <v>437147.7</v>
      </c>
      <c r="N159">
        <v>461184.3</v>
      </c>
      <c r="O159">
        <v>478914.7</v>
      </c>
      <c r="P159">
        <v>489119.6</v>
      </c>
      <c r="Q159">
        <v>507867.1</v>
      </c>
      <c r="R159">
        <v>515220.7</v>
      </c>
      <c r="S159">
        <v>518139.4</v>
      </c>
      <c r="T159">
        <v>549707.1</v>
      </c>
      <c r="U159">
        <v>577606.80000000005</v>
      </c>
      <c r="V159">
        <v>593943.19999999995</v>
      </c>
      <c r="W159">
        <v>562332.30000000005</v>
      </c>
      <c r="X159">
        <v>631760.30000000005</v>
      </c>
      <c r="Y159">
        <v>689261.8</v>
      </c>
      <c r="Z159">
        <v>689588.9</v>
      </c>
      <c r="AA159">
        <v>698976.61100000003</v>
      </c>
      <c r="AB159">
        <v>720581.15099999995</v>
      </c>
      <c r="AC159">
        <v>738055.57200000004</v>
      </c>
      <c r="AD159">
        <v>756177.45</v>
      </c>
      <c r="AE159">
        <v>776935.59199999995</v>
      </c>
      <c r="AF159">
        <v>800046.85400000005</v>
      </c>
      <c r="AG159">
        <v>824413.70299999998</v>
      </c>
      <c r="AH159">
        <v>848101.30799999996</v>
      </c>
      <c r="AI159">
        <v>871942.11300000001</v>
      </c>
      <c r="AJ159">
        <v>895979.55799999996</v>
      </c>
      <c r="AK159">
        <v>918278.04599999997</v>
      </c>
      <c r="AL159">
        <v>939963.81799999997</v>
      </c>
      <c r="AM159">
        <v>963280.51500000001</v>
      </c>
      <c r="AN159">
        <v>987241.24600000004</v>
      </c>
      <c r="AO159">
        <v>1010905.966</v>
      </c>
      <c r="AP159">
        <v>1035186.01</v>
      </c>
      <c r="AQ159">
        <v>1060031.7069999999</v>
      </c>
      <c r="AR159">
        <v>1085251.6159999999</v>
      </c>
      <c r="AS159">
        <v>1110539.81</v>
      </c>
      <c r="AT159">
        <v>1135763.372</v>
      </c>
      <c r="AU159">
        <v>1161136.2390000001</v>
      </c>
      <c r="AV159">
        <v>1186613.9269999999</v>
      </c>
      <c r="AW159">
        <v>1211878.196</v>
      </c>
      <c r="AX159">
        <v>1237398.1359999999</v>
      </c>
      <c r="AY159">
        <v>1263740.2039999999</v>
      </c>
      <c r="AZ159">
        <v>1290489.277</v>
      </c>
      <c r="BA159">
        <v>1317483.3289999999</v>
      </c>
      <c r="BB159">
        <v>1344630.42</v>
      </c>
      <c r="BC159">
        <v>1372328.338</v>
      </c>
      <c r="BD159">
        <v>1400431.8189999999</v>
      </c>
      <c r="BE159">
        <v>1428972.06</v>
      </c>
      <c r="BF159">
        <v>1458225.0179999999</v>
      </c>
    </row>
    <row r="160" spans="1:59">
      <c r="A160" t="s">
        <v>512</v>
      </c>
      <c r="B160" t="s">
        <v>206</v>
      </c>
      <c r="C160" t="s">
        <v>409</v>
      </c>
      <c r="D160">
        <v>562</v>
      </c>
      <c r="E160" t="s">
        <v>410</v>
      </c>
      <c r="F160" t="s">
        <v>3</v>
      </c>
      <c r="G160" t="s">
        <v>513</v>
      </c>
      <c r="H160">
        <v>45605</v>
      </c>
      <c r="I160">
        <v>42852.3</v>
      </c>
      <c r="J160">
        <v>46606.3</v>
      </c>
      <c r="K160">
        <v>47525.599999999999</v>
      </c>
      <c r="L160">
        <v>46764.9</v>
      </c>
      <c r="M160">
        <v>57233.4</v>
      </c>
      <c r="N160">
        <v>50197.9</v>
      </c>
      <c r="O160">
        <v>49748</v>
      </c>
      <c r="P160">
        <v>49255.6</v>
      </c>
      <c r="Q160">
        <v>50655.1</v>
      </c>
      <c r="R160">
        <v>50903.5</v>
      </c>
      <c r="S160">
        <v>48585.9</v>
      </c>
      <c r="T160">
        <v>53159</v>
      </c>
      <c r="U160">
        <v>54011.7</v>
      </c>
      <c r="V160">
        <v>53572.1</v>
      </c>
      <c r="W160">
        <v>52150.9</v>
      </c>
      <c r="X160">
        <v>57447</v>
      </c>
      <c r="Y160">
        <v>59548.6</v>
      </c>
      <c r="Z160">
        <v>56139.8</v>
      </c>
      <c r="AA160">
        <v>55469.857000000004</v>
      </c>
      <c r="AB160">
        <v>55622.349000000002</v>
      </c>
      <c r="AC160">
        <v>55936.016000000003</v>
      </c>
      <c r="AD160">
        <v>56309.985000000001</v>
      </c>
      <c r="AE160">
        <v>56886.165000000001</v>
      </c>
      <c r="AF160">
        <v>57632.563000000002</v>
      </c>
      <c r="AG160">
        <v>58461.728000000003</v>
      </c>
      <c r="AH160">
        <v>59238.3</v>
      </c>
      <c r="AI160">
        <v>60025.504000000001</v>
      </c>
      <c r="AJ160">
        <v>60828.445</v>
      </c>
      <c r="AK160">
        <v>61518.235999999997</v>
      </c>
      <c r="AL160">
        <v>62175.972000000002</v>
      </c>
      <c r="AM160">
        <v>62952.485000000001</v>
      </c>
      <c r="AN160">
        <v>63781.974000000002</v>
      </c>
      <c r="AO160">
        <v>64603.938000000002</v>
      </c>
      <c r="AP160">
        <v>65479.173999999999</v>
      </c>
      <c r="AQ160">
        <v>66405.5</v>
      </c>
      <c r="AR160">
        <v>67371.554000000004</v>
      </c>
      <c r="AS160">
        <v>68359.845000000001</v>
      </c>
      <c r="AT160">
        <v>69364.116999999998</v>
      </c>
      <c r="AU160">
        <v>70399.376999999993</v>
      </c>
      <c r="AV160">
        <v>71464.981</v>
      </c>
      <c r="AW160">
        <v>72543.879000000001</v>
      </c>
      <c r="AX160">
        <v>73666.55</v>
      </c>
      <c r="AY160">
        <v>74868.460999999996</v>
      </c>
      <c r="AZ160">
        <v>76126.706000000006</v>
      </c>
      <c r="BA160">
        <v>77433.626000000004</v>
      </c>
      <c r="BB160">
        <v>78786.074999999997</v>
      </c>
      <c r="BC160">
        <v>80210.006999999998</v>
      </c>
      <c r="BD160">
        <v>81699.266000000003</v>
      </c>
      <c r="BE160">
        <v>83258.153999999995</v>
      </c>
      <c r="BF160">
        <v>84905.612999999998</v>
      </c>
    </row>
    <row r="161" spans="1:58">
      <c r="A161" t="s">
        <v>514</v>
      </c>
      <c r="B161" t="s">
        <v>206</v>
      </c>
      <c r="C161" t="s">
        <v>413</v>
      </c>
      <c r="D161">
        <v>611</v>
      </c>
      <c r="E161" t="s">
        <v>28</v>
      </c>
      <c r="F161" t="s">
        <v>3</v>
      </c>
      <c r="G161" t="s">
        <v>17</v>
      </c>
      <c r="H161">
        <v>194949.3</v>
      </c>
      <c r="I161">
        <v>199784</v>
      </c>
      <c r="J161">
        <v>203366.7</v>
      </c>
      <c r="K161">
        <v>216853</v>
      </c>
      <c r="L161">
        <v>234331.2</v>
      </c>
      <c r="M161">
        <v>242060.1</v>
      </c>
      <c r="N161">
        <v>244143.9</v>
      </c>
      <c r="O161">
        <v>245166.1</v>
      </c>
      <c r="P161">
        <v>241703.9</v>
      </c>
      <c r="Q161">
        <v>243858.1</v>
      </c>
      <c r="R161">
        <v>244066.9</v>
      </c>
      <c r="S161">
        <v>249745.3</v>
      </c>
      <c r="T161">
        <v>245587.1</v>
      </c>
      <c r="U161">
        <v>251025.1</v>
      </c>
      <c r="V161">
        <v>257179.6</v>
      </c>
      <c r="W161">
        <v>236248.4</v>
      </c>
      <c r="X161">
        <v>243058.4</v>
      </c>
      <c r="Y161">
        <v>257883.6</v>
      </c>
      <c r="Z161">
        <v>263314.90000000002</v>
      </c>
      <c r="AA161">
        <v>268418.83100000001</v>
      </c>
      <c r="AB161">
        <v>272786.391</v>
      </c>
      <c r="AC161">
        <v>276375.27600000001</v>
      </c>
      <c r="AD161">
        <v>279620.71899999998</v>
      </c>
      <c r="AE161">
        <v>283300.19699999999</v>
      </c>
      <c r="AF161">
        <v>287624.391</v>
      </c>
      <c r="AG161">
        <v>292585.62800000003</v>
      </c>
      <c r="AH161">
        <v>297657.70899999997</v>
      </c>
      <c r="AI161">
        <v>303093.00400000002</v>
      </c>
      <c r="AJ161">
        <v>308825.06800000003</v>
      </c>
      <c r="AK161">
        <v>314101.70500000002</v>
      </c>
      <c r="AL161">
        <v>319161.75799999997</v>
      </c>
      <c r="AM161">
        <v>324658.96799999999</v>
      </c>
      <c r="AN161">
        <v>330422.18699999998</v>
      </c>
      <c r="AO161">
        <v>336152.40899999999</v>
      </c>
      <c r="AP161">
        <v>341989.06199999998</v>
      </c>
      <c r="AQ161">
        <v>347950.14899999998</v>
      </c>
      <c r="AR161">
        <v>354015.99800000002</v>
      </c>
      <c r="AS161">
        <v>360145.63900000002</v>
      </c>
      <c r="AT161">
        <v>366320.88</v>
      </c>
      <c r="AU161">
        <v>372513.413</v>
      </c>
      <c r="AV161">
        <v>378696.17</v>
      </c>
      <c r="AW161">
        <v>384836.40899999999</v>
      </c>
      <c r="AX161">
        <v>391098.17200000002</v>
      </c>
      <c r="AY161">
        <v>397522.18900000001</v>
      </c>
      <c r="AZ161">
        <v>404046.37099999998</v>
      </c>
      <c r="BA161">
        <v>410677.614</v>
      </c>
      <c r="BB161">
        <v>417435.92800000001</v>
      </c>
      <c r="BC161">
        <v>424405.853</v>
      </c>
      <c r="BD161">
        <v>431500.00300000003</v>
      </c>
      <c r="BE161">
        <v>438672.984</v>
      </c>
      <c r="BF161">
        <v>445952.96299999999</v>
      </c>
    </row>
    <row r="162" spans="1:58">
      <c r="A162" t="s">
        <v>515</v>
      </c>
      <c r="B162" t="s">
        <v>206</v>
      </c>
      <c r="C162" t="s">
        <v>415</v>
      </c>
      <c r="D162">
        <v>621</v>
      </c>
      <c r="E162" t="s">
        <v>416</v>
      </c>
      <c r="F162" t="s">
        <v>3</v>
      </c>
      <c r="G162" t="s">
        <v>516</v>
      </c>
      <c r="H162">
        <v>468911.9</v>
      </c>
      <c r="I162">
        <v>495096.2</v>
      </c>
      <c r="J162">
        <v>495040</v>
      </c>
      <c r="K162">
        <v>530854</v>
      </c>
      <c r="L162">
        <v>542402.4</v>
      </c>
      <c r="M162">
        <v>556080.80000000005</v>
      </c>
      <c r="N162">
        <v>575235.6</v>
      </c>
      <c r="O162">
        <v>586750.6</v>
      </c>
      <c r="P162">
        <v>605693.19999999995</v>
      </c>
      <c r="Q162">
        <v>619004.4</v>
      </c>
      <c r="R162">
        <v>653950.80000000005</v>
      </c>
      <c r="S162">
        <v>685019.6</v>
      </c>
      <c r="T162">
        <v>709658.1</v>
      </c>
      <c r="U162">
        <v>736523</v>
      </c>
      <c r="V162">
        <v>773425.5</v>
      </c>
      <c r="W162">
        <v>739676.5</v>
      </c>
      <c r="X162">
        <v>801279.5</v>
      </c>
      <c r="Y162">
        <v>847638.9</v>
      </c>
      <c r="Z162">
        <v>922279.1</v>
      </c>
      <c r="AA162">
        <v>978515.96900000004</v>
      </c>
      <c r="AB162">
        <v>1011494.2169999999</v>
      </c>
      <c r="AC162">
        <v>1023938.902</v>
      </c>
      <c r="AD162">
        <v>1033310.76</v>
      </c>
      <c r="AE162">
        <v>1045167.813</v>
      </c>
      <c r="AF162">
        <v>1060576.8959999999</v>
      </c>
      <c r="AG162">
        <v>1078970.277</v>
      </c>
      <c r="AH162">
        <v>1097791.51</v>
      </c>
      <c r="AI162">
        <v>1117326.199</v>
      </c>
      <c r="AJ162">
        <v>1137650.175</v>
      </c>
      <c r="AK162">
        <v>1156587.453</v>
      </c>
      <c r="AL162">
        <v>1175524.351</v>
      </c>
      <c r="AM162">
        <v>1196748.889</v>
      </c>
      <c r="AN162">
        <v>1219079.0619999999</v>
      </c>
      <c r="AO162">
        <v>1241327.335</v>
      </c>
      <c r="AP162">
        <v>1264100.611</v>
      </c>
      <c r="AQ162">
        <v>1287317.804</v>
      </c>
      <c r="AR162">
        <v>1311264.1610000001</v>
      </c>
      <c r="AS162">
        <v>1335575.7350000001</v>
      </c>
      <c r="AT162">
        <v>1359952.5049999999</v>
      </c>
      <c r="AU162">
        <v>1384348.351</v>
      </c>
      <c r="AV162">
        <v>1408787.5020000001</v>
      </c>
      <c r="AW162">
        <v>1433086.338</v>
      </c>
      <c r="AX162">
        <v>1457608.8959999999</v>
      </c>
      <c r="AY162">
        <v>1482652.9</v>
      </c>
      <c r="AZ162">
        <v>1507867.8219999999</v>
      </c>
      <c r="BA162">
        <v>1533151.844</v>
      </c>
      <c r="BB162">
        <v>1558488.987</v>
      </c>
      <c r="BC162">
        <v>1584163.273</v>
      </c>
      <c r="BD162">
        <v>1610047.081</v>
      </c>
      <c r="BE162">
        <v>1635961.791</v>
      </c>
      <c r="BF162">
        <v>1662099.493</v>
      </c>
    </row>
    <row r="163" spans="1:58">
      <c r="A163" t="s">
        <v>517</v>
      </c>
      <c r="B163" t="s">
        <v>206</v>
      </c>
      <c r="C163" t="s">
        <v>419</v>
      </c>
      <c r="D163">
        <v>622</v>
      </c>
      <c r="E163" t="s">
        <v>420</v>
      </c>
      <c r="F163" t="s">
        <v>3</v>
      </c>
      <c r="G163" t="s">
        <v>518</v>
      </c>
      <c r="H163">
        <v>357111.9</v>
      </c>
      <c r="I163">
        <v>369737.2</v>
      </c>
      <c r="J163">
        <v>377873.8</v>
      </c>
      <c r="K163">
        <v>403219.4</v>
      </c>
      <c r="L163">
        <v>422070</v>
      </c>
      <c r="M163">
        <v>416880.8</v>
      </c>
      <c r="N163">
        <v>424834</v>
      </c>
      <c r="O163">
        <v>432157.3</v>
      </c>
      <c r="P163">
        <v>436410.3</v>
      </c>
      <c r="Q163">
        <v>445958.2</v>
      </c>
      <c r="R163">
        <v>466959.4</v>
      </c>
      <c r="S163">
        <v>474915.9</v>
      </c>
      <c r="T163">
        <v>486156.3</v>
      </c>
      <c r="U163">
        <v>496921.1</v>
      </c>
      <c r="V163">
        <v>504094.4</v>
      </c>
      <c r="W163">
        <v>505871.8</v>
      </c>
      <c r="X163">
        <v>519432.5</v>
      </c>
      <c r="Y163">
        <v>524111.2</v>
      </c>
      <c r="Z163">
        <v>532557.1</v>
      </c>
      <c r="AA163">
        <v>547889.99800000002</v>
      </c>
      <c r="AB163">
        <v>554821.26899999997</v>
      </c>
      <c r="AC163">
        <v>552593.92200000002</v>
      </c>
      <c r="AD163">
        <v>548931.62</v>
      </c>
      <c r="AE163">
        <v>546844.40500000003</v>
      </c>
      <c r="AF163">
        <v>546813.41399999999</v>
      </c>
      <c r="AG163">
        <v>548458.71799999999</v>
      </c>
      <c r="AH163">
        <v>550446.58400000003</v>
      </c>
      <c r="AI163">
        <v>552919.59600000002</v>
      </c>
      <c r="AJ163">
        <v>555907.70499999996</v>
      </c>
      <c r="AK163">
        <v>558348.31000000006</v>
      </c>
      <c r="AL163">
        <v>560938.89</v>
      </c>
      <c r="AM163">
        <v>564771.95799999998</v>
      </c>
      <c r="AN163">
        <v>569264.40399999998</v>
      </c>
      <c r="AO163">
        <v>573858.98100000003</v>
      </c>
      <c r="AP163">
        <v>578842.51699999999</v>
      </c>
      <c r="AQ163">
        <v>584183.14399999997</v>
      </c>
      <c r="AR163">
        <v>590014.821</v>
      </c>
      <c r="AS163">
        <v>596176.53200000001</v>
      </c>
      <c r="AT163">
        <v>602542.897</v>
      </c>
      <c r="AU163">
        <v>609103.93299999996</v>
      </c>
      <c r="AV163">
        <v>615878.88600000006</v>
      </c>
      <c r="AW163">
        <v>622800.77</v>
      </c>
      <c r="AX163">
        <v>630044.94900000002</v>
      </c>
      <c r="AY163">
        <v>637748.23</v>
      </c>
      <c r="AZ163">
        <v>645770.26100000006</v>
      </c>
      <c r="BA163">
        <v>654077.799</v>
      </c>
      <c r="BB163">
        <v>662678.245</v>
      </c>
      <c r="BC163">
        <v>671706.89</v>
      </c>
      <c r="BD163">
        <v>681123.33799999999</v>
      </c>
      <c r="BE163">
        <v>690866.39599999995</v>
      </c>
      <c r="BF163">
        <v>701033.21</v>
      </c>
    </row>
    <row r="164" spans="1:58">
      <c r="A164" t="s">
        <v>519</v>
      </c>
      <c r="B164" t="s">
        <v>206</v>
      </c>
      <c r="C164" t="s">
        <v>423</v>
      </c>
      <c r="D164">
        <v>623</v>
      </c>
      <c r="E164" t="s">
        <v>424</v>
      </c>
      <c r="F164" t="s">
        <v>3</v>
      </c>
      <c r="G164" t="s">
        <v>520</v>
      </c>
      <c r="H164">
        <v>126759.6</v>
      </c>
      <c r="I164">
        <v>129597.2</v>
      </c>
      <c r="J164">
        <v>129682</v>
      </c>
      <c r="K164">
        <v>135189.70000000001</v>
      </c>
      <c r="L164">
        <v>135734</v>
      </c>
      <c r="M164">
        <v>138334.6</v>
      </c>
      <c r="N164">
        <v>138986.29999999999</v>
      </c>
      <c r="O164">
        <v>140110.5</v>
      </c>
      <c r="P164">
        <v>143026.20000000001</v>
      </c>
      <c r="Q164">
        <v>146276.1</v>
      </c>
      <c r="R164">
        <v>148031.1</v>
      </c>
      <c r="S164">
        <v>148098</v>
      </c>
      <c r="T164">
        <v>147367</v>
      </c>
      <c r="U164">
        <v>148211.70000000001</v>
      </c>
      <c r="V164">
        <v>146982.39999999999</v>
      </c>
      <c r="W164">
        <v>145343.9</v>
      </c>
      <c r="X164">
        <v>141749.1</v>
      </c>
      <c r="Y164">
        <v>150929.79999999999</v>
      </c>
      <c r="Z164">
        <v>153203.6</v>
      </c>
      <c r="AA164">
        <v>158295.234</v>
      </c>
      <c r="AB164">
        <v>159561.84899999999</v>
      </c>
      <c r="AC164">
        <v>157658.84700000001</v>
      </c>
      <c r="AD164">
        <v>155407.527</v>
      </c>
      <c r="AE164">
        <v>153665.00399999999</v>
      </c>
      <c r="AF164">
        <v>152555.06099999999</v>
      </c>
      <c r="AG164">
        <v>151958.139</v>
      </c>
      <c r="AH164">
        <v>151496.30300000001</v>
      </c>
      <c r="AI164">
        <v>151205.5</v>
      </c>
      <c r="AJ164">
        <v>151090.46599999999</v>
      </c>
      <c r="AK164">
        <v>150862.12700000001</v>
      </c>
      <c r="AL164">
        <v>150710.29800000001</v>
      </c>
      <c r="AM164">
        <v>150926.92199999999</v>
      </c>
      <c r="AN164">
        <v>151352.06599999999</v>
      </c>
      <c r="AO164">
        <v>151835.58100000001</v>
      </c>
      <c r="AP164">
        <v>152452.79</v>
      </c>
      <c r="AQ164">
        <v>153194.568</v>
      </c>
      <c r="AR164">
        <v>154095.44899999999</v>
      </c>
      <c r="AS164">
        <v>155112.65400000001</v>
      </c>
      <c r="AT164">
        <v>156213.29199999999</v>
      </c>
      <c r="AU164">
        <v>157395.75200000001</v>
      </c>
      <c r="AV164">
        <v>158665.64799999999</v>
      </c>
      <c r="AW164">
        <v>160006.1</v>
      </c>
      <c r="AX164">
        <v>161461.93100000001</v>
      </c>
      <c r="AY164">
        <v>163068.916</v>
      </c>
      <c r="AZ164">
        <v>164791.65900000001</v>
      </c>
      <c r="BA164">
        <v>166622.943</v>
      </c>
      <c r="BB164">
        <v>168565.58300000001</v>
      </c>
      <c r="BC164">
        <v>170655.125</v>
      </c>
      <c r="BD164">
        <v>172882.59899999999</v>
      </c>
      <c r="BE164">
        <v>175233.83900000001</v>
      </c>
      <c r="BF164">
        <v>177734.84599999999</v>
      </c>
    </row>
    <row r="165" spans="1:58">
      <c r="A165" t="s">
        <v>521</v>
      </c>
      <c r="B165" t="s">
        <v>206</v>
      </c>
      <c r="C165" t="s">
        <v>427</v>
      </c>
      <c r="D165">
        <v>624</v>
      </c>
      <c r="E165" t="s">
        <v>428</v>
      </c>
      <c r="F165" t="s">
        <v>3</v>
      </c>
      <c r="G165" t="s">
        <v>522</v>
      </c>
      <c r="H165">
        <v>99703.3</v>
      </c>
      <c r="I165">
        <v>101350.1</v>
      </c>
      <c r="J165">
        <v>103145.4</v>
      </c>
      <c r="K165">
        <v>106880.9</v>
      </c>
      <c r="L165">
        <v>106349.6</v>
      </c>
      <c r="M165">
        <v>107106.5</v>
      </c>
      <c r="N165">
        <v>103713.5</v>
      </c>
      <c r="O165">
        <v>110148.7</v>
      </c>
      <c r="P165">
        <v>114306.7</v>
      </c>
      <c r="Q165">
        <v>118380.3</v>
      </c>
      <c r="R165">
        <v>121753.7</v>
      </c>
      <c r="S165">
        <v>124882.1</v>
      </c>
      <c r="T165">
        <v>128152.8</v>
      </c>
      <c r="U165">
        <v>132487.6</v>
      </c>
      <c r="V165">
        <v>139230.79999999999</v>
      </c>
      <c r="W165">
        <v>134710</v>
      </c>
      <c r="X165">
        <v>137536.79999999999</v>
      </c>
      <c r="Y165">
        <v>151109.5</v>
      </c>
      <c r="Z165">
        <v>154904.20000000001</v>
      </c>
      <c r="AA165">
        <v>164969.285</v>
      </c>
      <c r="AB165">
        <v>168436.15100000001</v>
      </c>
      <c r="AC165">
        <v>168462.231</v>
      </c>
      <c r="AD165">
        <v>168016.625</v>
      </c>
      <c r="AE165">
        <v>168011.22899999999</v>
      </c>
      <c r="AF165">
        <v>168603.266</v>
      </c>
      <c r="AG165">
        <v>169682.649</v>
      </c>
      <c r="AH165">
        <v>170843.52900000001</v>
      </c>
      <c r="AI165">
        <v>172133.342</v>
      </c>
      <c r="AJ165">
        <v>173560.19</v>
      </c>
      <c r="AK165">
        <v>174792.39199999999</v>
      </c>
      <c r="AL165">
        <v>176051.084</v>
      </c>
      <c r="AM165">
        <v>177679.408</v>
      </c>
      <c r="AN165">
        <v>179494.886</v>
      </c>
      <c r="AO165">
        <v>181323.31200000001</v>
      </c>
      <c r="AP165">
        <v>183253.13099999999</v>
      </c>
      <c r="AQ165">
        <v>185274.57</v>
      </c>
      <c r="AR165">
        <v>187430.10500000001</v>
      </c>
      <c r="AS165">
        <v>189668.29300000001</v>
      </c>
      <c r="AT165">
        <v>191948.91500000001</v>
      </c>
      <c r="AU165">
        <v>194267.845</v>
      </c>
      <c r="AV165">
        <v>196629.79399999999</v>
      </c>
      <c r="AW165">
        <v>199012.33</v>
      </c>
      <c r="AX165">
        <v>201470.92600000001</v>
      </c>
      <c r="AY165">
        <v>204048.473</v>
      </c>
      <c r="AZ165">
        <v>206699.09899999999</v>
      </c>
      <c r="BA165">
        <v>209411.035</v>
      </c>
      <c r="BB165">
        <v>212185.522</v>
      </c>
      <c r="BC165">
        <v>215065.12599999999</v>
      </c>
      <c r="BD165">
        <v>218035.992</v>
      </c>
      <c r="BE165">
        <v>221076.43599999999</v>
      </c>
      <c r="BF165">
        <v>224215.71599999999</v>
      </c>
    </row>
    <row r="166" spans="1:58">
      <c r="A166" t="s">
        <v>523</v>
      </c>
      <c r="B166" t="s">
        <v>206</v>
      </c>
      <c r="C166" t="s">
        <v>431</v>
      </c>
      <c r="D166">
        <v>711</v>
      </c>
      <c r="E166" t="s">
        <v>432</v>
      </c>
      <c r="F166" t="s">
        <v>3</v>
      </c>
      <c r="G166" t="s">
        <v>524</v>
      </c>
      <c r="H166">
        <v>80847.513000000006</v>
      </c>
      <c r="I166">
        <v>85651.62</v>
      </c>
      <c r="J166">
        <v>84126.024000000005</v>
      </c>
      <c r="K166">
        <v>87520.620999999999</v>
      </c>
      <c r="L166">
        <v>88750.282000000007</v>
      </c>
      <c r="M166">
        <v>91235.606</v>
      </c>
      <c r="N166">
        <v>95916.085000000006</v>
      </c>
      <c r="O166">
        <v>102690.13499999999</v>
      </c>
      <c r="P166">
        <v>103617.405</v>
      </c>
      <c r="Q166">
        <v>108926.16499999999</v>
      </c>
      <c r="R166">
        <v>104477.993</v>
      </c>
      <c r="S166">
        <v>108471.086</v>
      </c>
      <c r="T166">
        <v>112389.28</v>
      </c>
      <c r="U166">
        <v>119066.693</v>
      </c>
      <c r="V166">
        <v>121354.803</v>
      </c>
      <c r="W166">
        <v>82858.646999999997</v>
      </c>
      <c r="X166">
        <v>99546.267999999996</v>
      </c>
      <c r="Y166">
        <v>125385.444</v>
      </c>
      <c r="Z166">
        <v>132041.45300000001</v>
      </c>
      <c r="AA166">
        <v>146306.80900000001</v>
      </c>
      <c r="AB166">
        <v>156841.951</v>
      </c>
      <c r="AC166">
        <v>154799.48300000001</v>
      </c>
      <c r="AD166">
        <v>151121.29300000001</v>
      </c>
      <c r="AE166">
        <v>149381.87100000001</v>
      </c>
      <c r="AF166">
        <v>150701.23699999999</v>
      </c>
      <c r="AG166">
        <v>153992.649</v>
      </c>
      <c r="AH166">
        <v>157204.253</v>
      </c>
      <c r="AI166">
        <v>160295.79399999999</v>
      </c>
      <c r="AJ166">
        <v>163090.03700000001</v>
      </c>
      <c r="AK166">
        <v>164675.96900000001</v>
      </c>
      <c r="AL166">
        <v>166392.43599999999</v>
      </c>
      <c r="AM166">
        <v>169222.12299999999</v>
      </c>
      <c r="AN166">
        <v>172501.571</v>
      </c>
      <c r="AO166">
        <v>175924.78200000001</v>
      </c>
      <c r="AP166">
        <v>179550.19399999999</v>
      </c>
      <c r="AQ166">
        <v>183316.236</v>
      </c>
      <c r="AR166">
        <v>187188.85800000001</v>
      </c>
      <c r="AS166">
        <v>191083.27499999999</v>
      </c>
      <c r="AT166">
        <v>194961.35800000001</v>
      </c>
      <c r="AU166">
        <v>198840.03599999999</v>
      </c>
      <c r="AV166">
        <v>202689.48199999999</v>
      </c>
      <c r="AW166">
        <v>206512.701</v>
      </c>
      <c r="AX166">
        <v>210381.58</v>
      </c>
      <c r="AY166">
        <v>214339.05</v>
      </c>
      <c r="AZ166">
        <v>218358.92499999999</v>
      </c>
      <c r="BA166">
        <v>222438.799</v>
      </c>
      <c r="BB166">
        <v>226612.394</v>
      </c>
      <c r="BC166">
        <v>230922.15599999999</v>
      </c>
      <c r="BD166">
        <v>235338.783</v>
      </c>
      <c r="BE166">
        <v>239819.38399999999</v>
      </c>
      <c r="BF166">
        <v>244410.09099999999</v>
      </c>
    </row>
    <row r="167" spans="1:58">
      <c r="A167" t="s">
        <v>525</v>
      </c>
      <c r="B167" t="s">
        <v>206</v>
      </c>
      <c r="C167" t="s">
        <v>435</v>
      </c>
      <c r="D167">
        <v>712</v>
      </c>
      <c r="E167" t="s">
        <v>436</v>
      </c>
      <c r="F167" t="s">
        <v>3</v>
      </c>
      <c r="G167" t="s">
        <v>526</v>
      </c>
      <c r="H167">
        <v>10405.99</v>
      </c>
      <c r="I167">
        <v>10405.51</v>
      </c>
      <c r="J167">
        <v>10398.101000000001</v>
      </c>
      <c r="K167">
        <v>11001.049000000001</v>
      </c>
      <c r="L167">
        <v>11387.253000000001</v>
      </c>
      <c r="M167">
        <v>11594.277</v>
      </c>
      <c r="N167">
        <v>12367.147999999999</v>
      </c>
      <c r="O167">
        <v>13235.522999999999</v>
      </c>
      <c r="P167">
        <v>13631.058000000001</v>
      </c>
      <c r="Q167">
        <v>14180.401</v>
      </c>
      <c r="R167">
        <v>13505.901</v>
      </c>
      <c r="S167">
        <v>13914.016</v>
      </c>
      <c r="T167">
        <v>14413.52</v>
      </c>
      <c r="U167">
        <v>14989.504000000001</v>
      </c>
      <c r="V167">
        <v>15318.003000000001</v>
      </c>
      <c r="W167">
        <v>11724.92</v>
      </c>
      <c r="X167">
        <v>12845.017</v>
      </c>
      <c r="Y167">
        <v>14979.556</v>
      </c>
      <c r="Z167">
        <v>16767.069</v>
      </c>
      <c r="AA167">
        <v>18844.792000000001</v>
      </c>
      <c r="AB167">
        <v>20270.933000000001</v>
      </c>
      <c r="AC167">
        <v>20044.935000000001</v>
      </c>
      <c r="AD167">
        <v>19595.558000000001</v>
      </c>
      <c r="AE167">
        <v>19393.690999999999</v>
      </c>
      <c r="AF167">
        <v>19589.934000000001</v>
      </c>
      <c r="AG167">
        <v>20043.795999999998</v>
      </c>
      <c r="AH167">
        <v>20486.589</v>
      </c>
      <c r="AI167">
        <v>20912.766</v>
      </c>
      <c r="AJ167">
        <v>21297.876</v>
      </c>
      <c r="AK167">
        <v>21522.690999999999</v>
      </c>
      <c r="AL167">
        <v>21763.986000000001</v>
      </c>
      <c r="AM167">
        <v>22151.105</v>
      </c>
      <c r="AN167">
        <v>22596.242999999999</v>
      </c>
      <c r="AO167">
        <v>23058.28</v>
      </c>
      <c r="AP167">
        <v>23544.507000000001</v>
      </c>
      <c r="AQ167">
        <v>24046.923999999999</v>
      </c>
      <c r="AR167">
        <v>24561.314999999999</v>
      </c>
      <c r="AS167">
        <v>25076.429</v>
      </c>
      <c r="AT167">
        <v>25587.113000000001</v>
      </c>
      <c r="AU167">
        <v>26094.935000000001</v>
      </c>
      <c r="AV167">
        <v>26595.856</v>
      </c>
      <c r="AW167">
        <v>27090.612000000001</v>
      </c>
      <c r="AX167">
        <v>27588.798999999999</v>
      </c>
      <c r="AY167">
        <v>28095.063999999998</v>
      </c>
      <c r="AZ167">
        <v>28605.944</v>
      </c>
      <c r="BA167">
        <v>29120.866999999998</v>
      </c>
      <c r="BB167">
        <v>29644.333999999999</v>
      </c>
      <c r="BC167">
        <v>30181.853999999999</v>
      </c>
      <c r="BD167">
        <v>30729.506000000001</v>
      </c>
      <c r="BE167">
        <v>31281.530999999999</v>
      </c>
      <c r="BF167">
        <v>31843.805</v>
      </c>
    </row>
    <row r="168" spans="1:58">
      <c r="A168" t="s">
        <v>527</v>
      </c>
      <c r="B168" t="s">
        <v>206</v>
      </c>
      <c r="C168" t="s">
        <v>439</v>
      </c>
      <c r="D168">
        <v>713</v>
      </c>
      <c r="E168" t="s">
        <v>440</v>
      </c>
      <c r="F168" t="s">
        <v>3</v>
      </c>
      <c r="G168" t="s">
        <v>528</v>
      </c>
      <c r="H168">
        <v>71067.5</v>
      </c>
      <c r="I168">
        <v>71360.899999999994</v>
      </c>
      <c r="J168">
        <v>75401.8</v>
      </c>
      <c r="K168">
        <v>73755.600000000006</v>
      </c>
      <c r="L168">
        <v>69448.5</v>
      </c>
      <c r="M168">
        <v>75635.3</v>
      </c>
      <c r="N168">
        <v>75581.2</v>
      </c>
      <c r="O168">
        <v>77392.899999999994</v>
      </c>
      <c r="P168">
        <v>79419.7</v>
      </c>
      <c r="Q168">
        <v>81811.600000000006</v>
      </c>
      <c r="R168">
        <v>82482.399999999994</v>
      </c>
      <c r="S168">
        <v>84316.2</v>
      </c>
      <c r="T168">
        <v>86951</v>
      </c>
      <c r="U168">
        <v>88277.1</v>
      </c>
      <c r="V168">
        <v>89458.2</v>
      </c>
      <c r="W168">
        <v>62366.9</v>
      </c>
      <c r="X168">
        <v>83091.100000000006</v>
      </c>
      <c r="Y168">
        <v>93690.7</v>
      </c>
      <c r="Z168">
        <v>95695.4</v>
      </c>
      <c r="AA168">
        <v>96663.14</v>
      </c>
      <c r="AB168">
        <v>99282.782999999996</v>
      </c>
      <c r="AC168">
        <v>96786.744000000006</v>
      </c>
      <c r="AD168">
        <v>93311.9</v>
      </c>
      <c r="AE168">
        <v>91160.192999999999</v>
      </c>
      <c r="AF168">
        <v>90978.797999999995</v>
      </c>
      <c r="AG168">
        <v>92035.351999999999</v>
      </c>
      <c r="AH168">
        <v>93045.035999999993</v>
      </c>
      <c r="AI168">
        <v>93980.923999999999</v>
      </c>
      <c r="AJ168">
        <v>94753.641000000003</v>
      </c>
      <c r="AK168">
        <v>94826.629000000001</v>
      </c>
      <c r="AL168">
        <v>94994.508000000002</v>
      </c>
      <c r="AM168">
        <v>95829.440000000002</v>
      </c>
      <c r="AN168">
        <v>96939.952999999994</v>
      </c>
      <c r="AO168">
        <v>98150.744999999995</v>
      </c>
      <c r="AP168">
        <v>99496.824999999997</v>
      </c>
      <c r="AQ168">
        <v>100943.05499999999</v>
      </c>
      <c r="AR168">
        <v>102473.51300000001</v>
      </c>
      <c r="AS168">
        <v>104040.802</v>
      </c>
      <c r="AT168">
        <v>105625.868</v>
      </c>
      <c r="AU168">
        <v>107241.875</v>
      </c>
      <c r="AV168">
        <v>108875.605</v>
      </c>
      <c r="AW168">
        <v>110531.98299999999</v>
      </c>
      <c r="AX168">
        <v>112251.296</v>
      </c>
      <c r="AY168">
        <v>114059.333</v>
      </c>
      <c r="AZ168">
        <v>115943.463</v>
      </c>
      <c r="BA168">
        <v>117905.842</v>
      </c>
      <c r="BB168">
        <v>119967.44500000001</v>
      </c>
      <c r="BC168">
        <v>122153.93799999999</v>
      </c>
      <c r="BD168">
        <v>124452.148</v>
      </c>
      <c r="BE168">
        <v>126842.36599999999</v>
      </c>
      <c r="BF168">
        <v>129351.158</v>
      </c>
    </row>
    <row r="169" spans="1:58">
      <c r="A169" t="s">
        <v>529</v>
      </c>
      <c r="B169" t="s">
        <v>206</v>
      </c>
      <c r="C169" t="s">
        <v>443</v>
      </c>
      <c r="D169">
        <v>721</v>
      </c>
      <c r="E169" t="s">
        <v>444</v>
      </c>
      <c r="F169" t="s">
        <v>3</v>
      </c>
      <c r="G169" t="s">
        <v>530</v>
      </c>
      <c r="H169">
        <v>144827.70000000001</v>
      </c>
      <c r="I169">
        <v>148621.9</v>
      </c>
      <c r="J169">
        <v>151358.39999999999</v>
      </c>
      <c r="K169">
        <v>145712.70000000001</v>
      </c>
      <c r="L169">
        <v>127911.8</v>
      </c>
      <c r="M169">
        <v>135418.5</v>
      </c>
      <c r="N169">
        <v>145080.20000000001</v>
      </c>
      <c r="O169">
        <v>147374.6</v>
      </c>
      <c r="P169">
        <v>154966.9</v>
      </c>
      <c r="Q169">
        <v>158389.1</v>
      </c>
      <c r="R169">
        <v>170988.4</v>
      </c>
      <c r="S169">
        <v>170264.6</v>
      </c>
      <c r="T169">
        <v>176299.3</v>
      </c>
      <c r="U169">
        <v>177843.1</v>
      </c>
      <c r="V169">
        <v>180905.60000000001</v>
      </c>
      <c r="W169">
        <v>132037.1</v>
      </c>
      <c r="X169">
        <v>169358.3</v>
      </c>
      <c r="Y169">
        <v>179152.5</v>
      </c>
      <c r="Z169">
        <v>192132.8</v>
      </c>
      <c r="AA169">
        <v>198251.152</v>
      </c>
      <c r="AB169">
        <v>200797.67800000001</v>
      </c>
      <c r="AC169">
        <v>205996.24299999999</v>
      </c>
      <c r="AD169">
        <v>210989.5</v>
      </c>
      <c r="AE169">
        <v>216430.38500000001</v>
      </c>
      <c r="AF169">
        <v>222368.614</v>
      </c>
      <c r="AG169">
        <v>228705.785</v>
      </c>
      <c r="AH169">
        <v>235013.83199999999</v>
      </c>
      <c r="AI169">
        <v>241469.318</v>
      </c>
      <c r="AJ169">
        <v>248051.95699999999</v>
      </c>
      <c r="AK169">
        <v>254338.08300000001</v>
      </c>
      <c r="AL169">
        <v>260547.47</v>
      </c>
      <c r="AM169">
        <v>267139.45199999999</v>
      </c>
      <c r="AN169">
        <v>273852.84399999998</v>
      </c>
      <c r="AO169">
        <v>280432.22600000002</v>
      </c>
      <c r="AP169">
        <v>287107.34600000002</v>
      </c>
      <c r="AQ169">
        <v>293862.84299999999</v>
      </c>
      <c r="AR169">
        <v>300652.16499999998</v>
      </c>
      <c r="AS169">
        <v>307434.95699999999</v>
      </c>
      <c r="AT169">
        <v>314184.516</v>
      </c>
      <c r="AU169">
        <v>320902.32400000002</v>
      </c>
      <c r="AV169">
        <v>327557.68900000001</v>
      </c>
      <c r="AW169">
        <v>334117.277</v>
      </c>
      <c r="AX169">
        <v>340719.71500000003</v>
      </c>
      <c r="AY169">
        <v>347468.924</v>
      </c>
      <c r="AZ169">
        <v>354273.05099999998</v>
      </c>
      <c r="BA169">
        <v>361068.77899999998</v>
      </c>
      <c r="BB169">
        <v>367861.73800000001</v>
      </c>
      <c r="BC169">
        <v>374752.16800000001</v>
      </c>
      <c r="BD169">
        <v>381694.51699999999</v>
      </c>
      <c r="BE169">
        <v>388619.30300000001</v>
      </c>
      <c r="BF169">
        <v>395557.913</v>
      </c>
    </row>
    <row r="170" spans="1:58">
      <c r="A170" t="s">
        <v>531</v>
      </c>
      <c r="B170" t="s">
        <v>206</v>
      </c>
      <c r="C170" t="s">
        <v>447</v>
      </c>
      <c r="D170">
        <v>722</v>
      </c>
      <c r="E170" t="s">
        <v>448</v>
      </c>
      <c r="F170" t="s">
        <v>3</v>
      </c>
      <c r="G170" t="s">
        <v>532</v>
      </c>
      <c r="H170">
        <v>383303.3</v>
      </c>
      <c r="I170">
        <v>393423.9</v>
      </c>
      <c r="J170">
        <v>386534</v>
      </c>
      <c r="K170">
        <v>374590.2</v>
      </c>
      <c r="L170">
        <v>353315</v>
      </c>
      <c r="M170">
        <v>364881.5</v>
      </c>
      <c r="N170">
        <v>375272.9</v>
      </c>
      <c r="O170">
        <v>383172.9</v>
      </c>
      <c r="P170">
        <v>391152.7</v>
      </c>
      <c r="Q170">
        <v>407945</v>
      </c>
      <c r="R170">
        <v>424670</v>
      </c>
      <c r="S170">
        <v>433230.2</v>
      </c>
      <c r="T170">
        <v>441099.7</v>
      </c>
      <c r="U170">
        <v>446950.40000000002</v>
      </c>
      <c r="V170">
        <v>457937.6</v>
      </c>
      <c r="W170">
        <v>346383.9</v>
      </c>
      <c r="X170">
        <v>430686.1</v>
      </c>
      <c r="Y170">
        <v>452617.9</v>
      </c>
      <c r="Z170">
        <v>456801</v>
      </c>
      <c r="AA170">
        <v>452675.21899999998</v>
      </c>
      <c r="AB170">
        <v>461105.011</v>
      </c>
      <c r="AC170">
        <v>466330.94500000001</v>
      </c>
      <c r="AD170">
        <v>471200.63500000001</v>
      </c>
      <c r="AE170">
        <v>477029.15299999999</v>
      </c>
      <c r="AF170">
        <v>483775.20299999998</v>
      </c>
      <c r="AG170">
        <v>491177.71899999998</v>
      </c>
      <c r="AH170">
        <v>498436.935</v>
      </c>
      <c r="AI170">
        <v>506026.44699999999</v>
      </c>
      <c r="AJ170">
        <v>513942.30599999998</v>
      </c>
      <c r="AK170">
        <v>521318.674</v>
      </c>
      <c r="AL170">
        <v>528568.18500000006</v>
      </c>
      <c r="AM170">
        <v>536637.88</v>
      </c>
      <c r="AN170">
        <v>544997.96600000001</v>
      </c>
      <c r="AO170">
        <v>553125.13699999999</v>
      </c>
      <c r="AP170">
        <v>561502.27099999995</v>
      </c>
      <c r="AQ170">
        <v>570120.89099999995</v>
      </c>
      <c r="AR170">
        <v>578895.94900000002</v>
      </c>
      <c r="AS170">
        <v>587762.86</v>
      </c>
      <c r="AT170">
        <v>596684.43700000003</v>
      </c>
      <c r="AU170">
        <v>605671.24899999995</v>
      </c>
      <c r="AV170">
        <v>614681.571</v>
      </c>
      <c r="AW170">
        <v>623678.15</v>
      </c>
      <c r="AX170">
        <v>632938.17500000005</v>
      </c>
      <c r="AY170">
        <v>642657.51300000004</v>
      </c>
      <c r="AZ170">
        <v>652673.43299999996</v>
      </c>
      <c r="BA170">
        <v>662880.96499999997</v>
      </c>
      <c r="BB170">
        <v>673301.598</v>
      </c>
      <c r="BC170">
        <v>684132.31700000004</v>
      </c>
      <c r="BD170">
        <v>695304.43900000001</v>
      </c>
      <c r="BE170">
        <v>706703.50100000005</v>
      </c>
      <c r="BF170">
        <v>718413.99</v>
      </c>
    </row>
    <row r="171" spans="1:58">
      <c r="A171" t="s">
        <v>533</v>
      </c>
      <c r="B171" t="s">
        <v>206</v>
      </c>
      <c r="C171" t="s">
        <v>451</v>
      </c>
      <c r="D171">
        <v>811</v>
      </c>
      <c r="E171" t="s">
        <v>452</v>
      </c>
      <c r="F171" t="s">
        <v>3</v>
      </c>
      <c r="G171" t="s">
        <v>534</v>
      </c>
      <c r="H171">
        <v>142898.402</v>
      </c>
      <c r="I171">
        <v>142149.95600000001</v>
      </c>
      <c r="J171">
        <v>134672.14499999999</v>
      </c>
      <c r="K171">
        <v>121139.45</v>
      </c>
      <c r="L171">
        <v>108028.099</v>
      </c>
      <c r="M171">
        <v>107305.902</v>
      </c>
      <c r="N171">
        <v>106209.777</v>
      </c>
      <c r="O171">
        <v>107950.124</v>
      </c>
      <c r="P171">
        <v>111482.216</v>
      </c>
      <c r="Q171">
        <v>119059.031</v>
      </c>
      <c r="R171">
        <v>122577.33199999999</v>
      </c>
      <c r="S171">
        <v>124709.94100000001</v>
      </c>
      <c r="T171">
        <v>129319.62699999999</v>
      </c>
      <c r="U171">
        <v>132163.231</v>
      </c>
      <c r="V171">
        <v>132314.91699999999</v>
      </c>
      <c r="W171">
        <v>124241.35799999999</v>
      </c>
      <c r="X171">
        <v>129349.787</v>
      </c>
      <c r="Y171">
        <v>123269.045</v>
      </c>
      <c r="Z171">
        <v>110336.83199999999</v>
      </c>
      <c r="AA171">
        <v>105957.01700000001</v>
      </c>
      <c r="AB171">
        <v>104522.03</v>
      </c>
      <c r="AC171">
        <v>102663.81600000001</v>
      </c>
      <c r="AD171">
        <v>100919.429</v>
      </c>
      <c r="AE171">
        <v>99607.07</v>
      </c>
      <c r="AF171">
        <v>98801.739000000001</v>
      </c>
      <c r="AG171">
        <v>98354.767000000007</v>
      </c>
      <c r="AH171">
        <v>97941.835999999996</v>
      </c>
      <c r="AI171">
        <v>97760.327999999994</v>
      </c>
      <c r="AJ171">
        <v>97733.687000000005</v>
      </c>
      <c r="AK171">
        <v>97424.366999999998</v>
      </c>
      <c r="AL171">
        <v>97005.464000000007</v>
      </c>
      <c r="AM171">
        <v>96793.024000000005</v>
      </c>
      <c r="AN171">
        <v>96447.953999999998</v>
      </c>
      <c r="AO171">
        <v>95968.312000000005</v>
      </c>
      <c r="AP171">
        <v>95555.512000000002</v>
      </c>
      <c r="AQ171">
        <v>95239.012000000002</v>
      </c>
      <c r="AR171">
        <v>94981.129000000001</v>
      </c>
      <c r="AS171">
        <v>94731.491999999998</v>
      </c>
      <c r="AT171">
        <v>94485.891000000003</v>
      </c>
      <c r="AU171">
        <v>94247.752999999997</v>
      </c>
      <c r="AV171">
        <v>94010.539000000004</v>
      </c>
      <c r="AW171">
        <v>93745.648000000001</v>
      </c>
      <c r="AX171">
        <v>93520.841</v>
      </c>
      <c r="AY171">
        <v>93353.081999999995</v>
      </c>
      <c r="AZ171">
        <v>93226.706000000006</v>
      </c>
      <c r="BA171">
        <v>93145.675000000003</v>
      </c>
      <c r="BB171">
        <v>93121.891000000003</v>
      </c>
      <c r="BC171">
        <v>93183.192999999999</v>
      </c>
      <c r="BD171">
        <v>93282.845000000001</v>
      </c>
      <c r="BE171">
        <v>93395.494000000006</v>
      </c>
      <c r="BF171">
        <v>93525.058999999994</v>
      </c>
    </row>
    <row r="172" spans="1:58">
      <c r="A172" t="s">
        <v>535</v>
      </c>
      <c r="B172" t="s">
        <v>206</v>
      </c>
      <c r="C172" t="s">
        <v>455</v>
      </c>
      <c r="D172">
        <v>812</v>
      </c>
      <c r="E172" t="s">
        <v>456</v>
      </c>
      <c r="F172" t="s">
        <v>3</v>
      </c>
      <c r="G172" t="s">
        <v>536</v>
      </c>
      <c r="H172">
        <v>138079.42199999999</v>
      </c>
      <c r="I172">
        <v>138225.95699999999</v>
      </c>
      <c r="J172">
        <v>129351.178</v>
      </c>
      <c r="K172">
        <v>115644.47500000001</v>
      </c>
      <c r="L172">
        <v>106657.098</v>
      </c>
      <c r="M172">
        <v>110363.899</v>
      </c>
      <c r="N172">
        <v>107335.77499999999</v>
      </c>
      <c r="O172">
        <v>107617.12300000001</v>
      </c>
      <c r="P172">
        <v>106583.20699999999</v>
      </c>
      <c r="Q172">
        <v>110624.02899999999</v>
      </c>
      <c r="R172">
        <v>112302.38800000001</v>
      </c>
      <c r="S172">
        <v>111482.266</v>
      </c>
      <c r="T172">
        <v>114673.556</v>
      </c>
      <c r="U172">
        <v>118000.20600000001</v>
      </c>
      <c r="V172">
        <v>117005.927</v>
      </c>
      <c r="W172">
        <v>81332.235000000001</v>
      </c>
      <c r="X172">
        <v>96115.841</v>
      </c>
      <c r="Y172">
        <v>112998.041</v>
      </c>
      <c r="Z172">
        <v>110836.83100000001</v>
      </c>
      <c r="AA172">
        <v>109739.516</v>
      </c>
      <c r="AB172">
        <v>109288.077</v>
      </c>
      <c r="AC172">
        <v>108022.003</v>
      </c>
      <c r="AD172">
        <v>106812.35400000001</v>
      </c>
      <c r="AE172">
        <v>106016.64200000001</v>
      </c>
      <c r="AF172">
        <v>105729.928</v>
      </c>
      <c r="AG172">
        <v>105817.29</v>
      </c>
      <c r="AH172">
        <v>105923.965</v>
      </c>
      <c r="AI172">
        <v>106255.754</v>
      </c>
      <c r="AJ172">
        <v>106731.38</v>
      </c>
      <c r="AK172">
        <v>106874.368</v>
      </c>
      <c r="AL172">
        <v>106872.215</v>
      </c>
      <c r="AM172">
        <v>107072.367</v>
      </c>
      <c r="AN172">
        <v>107100.625</v>
      </c>
      <c r="AO172">
        <v>106953.882</v>
      </c>
      <c r="AP172">
        <v>106854.427</v>
      </c>
      <c r="AQ172">
        <v>106836.02499999999</v>
      </c>
      <c r="AR172">
        <v>106857.55899999999</v>
      </c>
      <c r="AS172">
        <v>106862.999</v>
      </c>
      <c r="AT172">
        <v>106847.376</v>
      </c>
      <c r="AU172">
        <v>106815.315</v>
      </c>
      <c r="AV172">
        <v>106759.249</v>
      </c>
      <c r="AW172">
        <v>106646.99800000001</v>
      </c>
      <c r="AX172">
        <v>106555.08500000001</v>
      </c>
      <c r="AY172">
        <v>106503.58199999999</v>
      </c>
      <c r="AZ172">
        <v>106475.197</v>
      </c>
      <c r="BA172">
        <v>106475.06600000001</v>
      </c>
      <c r="BB172">
        <v>106517.249</v>
      </c>
      <c r="BC172">
        <v>106634.16</v>
      </c>
      <c r="BD172">
        <v>106772.522</v>
      </c>
      <c r="BE172">
        <v>106903.095</v>
      </c>
      <c r="BF172">
        <v>107029.69500000001</v>
      </c>
    </row>
    <row r="173" spans="1:58">
      <c r="A173" t="s">
        <v>537</v>
      </c>
      <c r="B173" t="s">
        <v>206</v>
      </c>
      <c r="C173" t="s">
        <v>459</v>
      </c>
      <c r="D173">
        <v>813</v>
      </c>
      <c r="E173" t="s">
        <v>460</v>
      </c>
      <c r="F173" t="s">
        <v>3</v>
      </c>
      <c r="G173" t="s">
        <v>538</v>
      </c>
      <c r="H173">
        <v>148871.37700000001</v>
      </c>
      <c r="I173">
        <v>150623.954</v>
      </c>
      <c r="J173">
        <v>154872.016</v>
      </c>
      <c r="K173">
        <v>164252.25399999999</v>
      </c>
      <c r="L173">
        <v>163568.15</v>
      </c>
      <c r="M173">
        <v>156903.85699999999</v>
      </c>
      <c r="N173">
        <v>156828.671</v>
      </c>
      <c r="O173">
        <v>160124.18400000001</v>
      </c>
      <c r="P173">
        <v>160825.31200000001</v>
      </c>
      <c r="Q173">
        <v>165061.04300000001</v>
      </c>
      <c r="R173">
        <v>167021.08900000001</v>
      </c>
      <c r="S173">
        <v>167581.89000000001</v>
      </c>
      <c r="T173">
        <v>170488.82699999999</v>
      </c>
      <c r="U173">
        <v>175528.307</v>
      </c>
      <c r="V173">
        <v>177864.88800000001</v>
      </c>
      <c r="W173">
        <v>178420.51500000001</v>
      </c>
      <c r="X173">
        <v>173240.71400000001</v>
      </c>
      <c r="Y173">
        <v>180624.06599999999</v>
      </c>
      <c r="Z173">
        <v>175628.73199999999</v>
      </c>
      <c r="AA173">
        <v>176319.41500000001</v>
      </c>
      <c r="AB173">
        <v>177220.32699999999</v>
      </c>
      <c r="AC173">
        <v>176287.93900000001</v>
      </c>
      <c r="AD173">
        <v>175407.166</v>
      </c>
      <c r="AE173">
        <v>175162.815</v>
      </c>
      <c r="AF173">
        <v>175720.723</v>
      </c>
      <c r="AG173">
        <v>176860.55499999999</v>
      </c>
      <c r="AH173">
        <v>178004.443</v>
      </c>
      <c r="AI173">
        <v>179500.29300000001</v>
      </c>
      <c r="AJ173">
        <v>181212.66200000001</v>
      </c>
      <c r="AK173">
        <v>182332.35</v>
      </c>
      <c r="AL173">
        <v>183171.85500000001</v>
      </c>
      <c r="AM173">
        <v>184323.101</v>
      </c>
      <c r="AN173">
        <v>185143.40299999999</v>
      </c>
      <c r="AO173">
        <v>185623.321</v>
      </c>
      <c r="AP173">
        <v>186142.89199999999</v>
      </c>
      <c r="AQ173">
        <v>186760.96900000001</v>
      </c>
      <c r="AR173">
        <v>187406.49299999999</v>
      </c>
      <c r="AS173">
        <v>187981.45800000001</v>
      </c>
      <c r="AT173">
        <v>188476.323</v>
      </c>
      <c r="AU173">
        <v>188896.93</v>
      </c>
      <c r="AV173">
        <v>189228.15599999999</v>
      </c>
      <c r="AW173">
        <v>189413.07</v>
      </c>
      <c r="AX173">
        <v>189587.84099999999</v>
      </c>
      <c r="AY173">
        <v>189787.57699999999</v>
      </c>
      <c r="AZ173">
        <v>189981.64799999999</v>
      </c>
      <c r="BA173">
        <v>190179.53</v>
      </c>
      <c r="BB173">
        <v>190406.639</v>
      </c>
      <c r="BC173">
        <v>190721.389</v>
      </c>
      <c r="BD173">
        <v>191027.86499999999</v>
      </c>
      <c r="BE173">
        <v>191273.69</v>
      </c>
      <c r="BF173">
        <v>191465.79699999999</v>
      </c>
    </row>
    <row r="174" spans="1:58">
      <c r="A174" t="s">
        <v>19</v>
      </c>
      <c r="B174" t="s">
        <v>206</v>
      </c>
      <c r="C174" t="s">
        <v>293</v>
      </c>
      <c r="D174" t="s">
        <v>293</v>
      </c>
      <c r="E174" t="s">
        <v>29</v>
      </c>
      <c r="F174" t="s">
        <v>3</v>
      </c>
      <c r="G174" t="s">
        <v>18</v>
      </c>
      <c r="H174">
        <v>24929.431</v>
      </c>
      <c r="I174">
        <v>29442.368999999999</v>
      </c>
      <c r="J174">
        <v>27754.034</v>
      </c>
      <c r="K174">
        <v>28086.045999999998</v>
      </c>
      <c r="L174">
        <v>27569.503000000001</v>
      </c>
      <c r="M174">
        <v>27048.679</v>
      </c>
      <c r="N174">
        <v>27080.233</v>
      </c>
      <c r="O174">
        <v>28957.725999999999</v>
      </c>
      <c r="P174">
        <v>28279.574000000001</v>
      </c>
      <c r="Q174">
        <v>29099.395</v>
      </c>
      <c r="R174">
        <v>31095.550999999999</v>
      </c>
      <c r="S174">
        <v>32129.653999999999</v>
      </c>
      <c r="T174">
        <v>32838.186000000002</v>
      </c>
      <c r="U174">
        <v>34504.83</v>
      </c>
      <c r="V174">
        <v>35362.086000000003</v>
      </c>
      <c r="W174">
        <v>37370.033000000003</v>
      </c>
      <c r="X174">
        <v>36756.286999999997</v>
      </c>
      <c r="Y174">
        <v>37355.438000000002</v>
      </c>
      <c r="Z174">
        <v>38565.303</v>
      </c>
      <c r="AA174">
        <v>36521.165999999997</v>
      </c>
      <c r="AB174">
        <v>34609.724999999999</v>
      </c>
      <c r="AC174">
        <v>33906.432999999997</v>
      </c>
      <c r="AD174">
        <v>34011.107000000004</v>
      </c>
      <c r="AE174">
        <v>34858.722000000002</v>
      </c>
      <c r="AF174">
        <v>36079.947999999997</v>
      </c>
      <c r="AG174">
        <v>37427.665000000001</v>
      </c>
      <c r="AH174">
        <v>38678.201000000001</v>
      </c>
      <c r="AI174">
        <v>39782.35</v>
      </c>
      <c r="AJ174">
        <v>40806.086000000003</v>
      </c>
      <c r="AK174">
        <v>41821.303999999996</v>
      </c>
      <c r="AL174">
        <v>42755.485000000001</v>
      </c>
      <c r="AM174">
        <v>43653.887999999999</v>
      </c>
      <c r="AN174">
        <v>44507.803</v>
      </c>
      <c r="AO174">
        <v>45283.474000000002</v>
      </c>
      <c r="AP174">
        <v>46034.341</v>
      </c>
      <c r="AQ174">
        <v>46705.18</v>
      </c>
      <c r="AR174">
        <v>47286.686000000002</v>
      </c>
      <c r="AS174">
        <v>47754.053999999996</v>
      </c>
      <c r="AT174">
        <v>48075.220999999998</v>
      </c>
      <c r="AU174">
        <v>48238.222000000002</v>
      </c>
      <c r="AV174">
        <v>48385.538999999997</v>
      </c>
      <c r="AW174">
        <v>48590.669000000002</v>
      </c>
      <c r="AX174">
        <v>48864.523000000001</v>
      </c>
      <c r="AY174">
        <v>49190.188000000002</v>
      </c>
      <c r="AZ174">
        <v>49540.425999999999</v>
      </c>
      <c r="BA174">
        <v>49915.652999999998</v>
      </c>
      <c r="BB174">
        <v>50303.824000000001</v>
      </c>
      <c r="BC174">
        <v>50749.309000000001</v>
      </c>
      <c r="BD174">
        <v>51262.241999999998</v>
      </c>
      <c r="BE174">
        <v>51831.951000000001</v>
      </c>
      <c r="BF174">
        <v>52481.701000000001</v>
      </c>
    </row>
    <row r="175" spans="1:58">
      <c r="A175" t="s">
        <v>21</v>
      </c>
      <c r="B175" t="s">
        <v>206</v>
      </c>
      <c r="C175" t="s">
        <v>294</v>
      </c>
      <c r="D175" t="s">
        <v>294</v>
      </c>
      <c r="E175" t="s">
        <v>30</v>
      </c>
      <c r="F175" t="s">
        <v>3</v>
      </c>
      <c r="G175" t="s">
        <v>20</v>
      </c>
      <c r="H175">
        <v>126451.5</v>
      </c>
      <c r="I175">
        <v>123627.4</v>
      </c>
      <c r="J175">
        <v>110311.2</v>
      </c>
      <c r="K175">
        <v>110078.39999999999</v>
      </c>
      <c r="L175">
        <v>126813.6</v>
      </c>
      <c r="M175">
        <v>123315.3</v>
      </c>
      <c r="N175">
        <v>117958.6</v>
      </c>
      <c r="O175">
        <v>112381.7</v>
      </c>
      <c r="P175">
        <v>126486.1</v>
      </c>
      <c r="Q175">
        <v>124487.4</v>
      </c>
      <c r="R175">
        <v>134827.5</v>
      </c>
      <c r="S175">
        <v>143880.70000000001</v>
      </c>
      <c r="T175">
        <v>138733.1</v>
      </c>
      <c r="U175">
        <v>144141.70000000001</v>
      </c>
      <c r="V175">
        <v>131392.79999999999</v>
      </c>
      <c r="W175">
        <v>131411.29999999999</v>
      </c>
      <c r="X175">
        <v>142944.29999999999</v>
      </c>
      <c r="Y175">
        <v>142420.5</v>
      </c>
      <c r="Z175">
        <v>148111.29999999999</v>
      </c>
      <c r="AA175">
        <v>156289.89499999999</v>
      </c>
      <c r="AB175">
        <v>152993.00899999999</v>
      </c>
      <c r="AC175">
        <v>151942.83199999999</v>
      </c>
      <c r="AD175">
        <v>153253.144</v>
      </c>
      <c r="AE175">
        <v>157155.09599999999</v>
      </c>
      <c r="AF175">
        <v>162010.35699999999</v>
      </c>
      <c r="AG175">
        <v>166494.57999999999</v>
      </c>
      <c r="AH175">
        <v>170412.80600000001</v>
      </c>
      <c r="AI175">
        <v>174065.69</v>
      </c>
      <c r="AJ175">
        <v>178211.32699999999</v>
      </c>
      <c r="AK175">
        <v>182752.99799999999</v>
      </c>
      <c r="AL175">
        <v>186837.859</v>
      </c>
      <c r="AM175">
        <v>190471.27</v>
      </c>
      <c r="AN175">
        <v>194013.98699999999</v>
      </c>
      <c r="AO175">
        <v>197473.25399999999</v>
      </c>
      <c r="AP175">
        <v>200955.878</v>
      </c>
      <c r="AQ175">
        <v>204525.62100000001</v>
      </c>
      <c r="AR175">
        <v>208149.56700000001</v>
      </c>
      <c r="AS175">
        <v>211840.21799999999</v>
      </c>
      <c r="AT175">
        <v>215607.77799999999</v>
      </c>
      <c r="AU175">
        <v>219460.51199999999</v>
      </c>
      <c r="AV175">
        <v>223379.54699999999</v>
      </c>
      <c r="AW175">
        <v>227322.092</v>
      </c>
      <c r="AX175">
        <v>231317.67600000001</v>
      </c>
      <c r="AY175">
        <v>235502.13399999999</v>
      </c>
      <c r="AZ175">
        <v>239893.85399999999</v>
      </c>
      <c r="BA175">
        <v>244423.951</v>
      </c>
      <c r="BB175">
        <v>249024.573</v>
      </c>
      <c r="BC175">
        <v>253687.74</v>
      </c>
      <c r="BD175">
        <v>258398.18299999999</v>
      </c>
      <c r="BE175">
        <v>263128.54100000003</v>
      </c>
      <c r="BF175">
        <v>267993.71399999998</v>
      </c>
    </row>
    <row r="176" spans="1:58">
      <c r="A176" t="s">
        <v>23</v>
      </c>
      <c r="B176" t="s">
        <v>206</v>
      </c>
      <c r="C176" t="s">
        <v>295</v>
      </c>
      <c r="D176">
        <v>92</v>
      </c>
      <c r="E176" t="s">
        <v>31</v>
      </c>
      <c r="F176" t="s">
        <v>3</v>
      </c>
      <c r="G176" t="s">
        <v>22</v>
      </c>
      <c r="H176">
        <v>2263511</v>
      </c>
      <c r="I176">
        <v>2275716.9</v>
      </c>
      <c r="J176">
        <v>2299134.7000000002</v>
      </c>
      <c r="K176">
        <v>2343202.6</v>
      </c>
      <c r="L176">
        <v>2337910.1</v>
      </c>
      <c r="M176">
        <v>2347011.4</v>
      </c>
      <c r="N176">
        <v>2332120.7000000002</v>
      </c>
      <c r="O176">
        <v>2305635</v>
      </c>
      <c r="P176">
        <v>2295406.5</v>
      </c>
      <c r="Q176">
        <v>2296442.9</v>
      </c>
      <c r="R176">
        <v>2296085.5</v>
      </c>
      <c r="S176">
        <v>2324858.7000000002</v>
      </c>
      <c r="T176">
        <v>2351361.2999999998</v>
      </c>
      <c r="U176">
        <v>2366127.6</v>
      </c>
      <c r="V176">
        <v>2379476.2000000002</v>
      </c>
      <c r="W176">
        <v>2345690.7999999998</v>
      </c>
      <c r="X176">
        <v>2367081.2999999998</v>
      </c>
      <c r="Y176">
        <v>2401726.9</v>
      </c>
      <c r="Z176">
        <v>2457886.9</v>
      </c>
      <c r="AA176">
        <v>2505699.6230000001</v>
      </c>
      <c r="AB176">
        <v>2530689.9479999999</v>
      </c>
      <c r="AC176">
        <v>2543492.9539999999</v>
      </c>
      <c r="AD176">
        <v>2549419.7050000001</v>
      </c>
      <c r="AE176">
        <v>2557638.5099999998</v>
      </c>
      <c r="AF176">
        <v>2569330.679</v>
      </c>
      <c r="AG176">
        <v>2587508.91</v>
      </c>
      <c r="AH176">
        <v>2608937.531</v>
      </c>
      <c r="AI176">
        <v>2632306.9309999999</v>
      </c>
      <c r="AJ176">
        <v>2657658.89</v>
      </c>
      <c r="AK176">
        <v>2681003.9929999998</v>
      </c>
      <c r="AL176">
        <v>2702033.54</v>
      </c>
      <c r="AM176">
        <v>2723882.6839999999</v>
      </c>
      <c r="AN176">
        <v>2745968.3190000001</v>
      </c>
      <c r="AO176">
        <v>2767291.1349999998</v>
      </c>
      <c r="AP176">
        <v>2788139.7379999999</v>
      </c>
      <c r="AQ176">
        <v>2808246.9539999999</v>
      </c>
      <c r="AR176">
        <v>2828830.61</v>
      </c>
      <c r="AS176">
        <v>2850495.1839999999</v>
      </c>
      <c r="AT176">
        <v>2873346.39</v>
      </c>
      <c r="AU176">
        <v>2896677.5929999999</v>
      </c>
      <c r="AV176">
        <v>2920022.01</v>
      </c>
      <c r="AW176">
        <v>2943324.8840000001</v>
      </c>
      <c r="AX176">
        <v>2967602.3629999999</v>
      </c>
      <c r="AY176">
        <v>2992696.057</v>
      </c>
      <c r="AZ176">
        <v>3018056.2110000001</v>
      </c>
      <c r="BA176">
        <v>3043473.0189999999</v>
      </c>
      <c r="BB176">
        <v>3068650.4589999998</v>
      </c>
      <c r="BC176">
        <v>3094113.102</v>
      </c>
      <c r="BD176">
        <v>3119585.3790000002</v>
      </c>
      <c r="BE176">
        <v>3144997.3139999998</v>
      </c>
      <c r="BF176">
        <v>3171090.656</v>
      </c>
    </row>
    <row r="177" spans="1:59">
      <c r="A177" t="s">
        <v>25</v>
      </c>
      <c r="B177" t="s">
        <v>206</v>
      </c>
      <c r="C177" t="s">
        <v>296</v>
      </c>
      <c r="D177">
        <v>814</v>
      </c>
      <c r="E177" t="s">
        <v>32</v>
      </c>
      <c r="F177" t="s">
        <v>3</v>
      </c>
      <c r="G177" t="s">
        <v>24</v>
      </c>
      <c r="H177">
        <v>19357.919000000002</v>
      </c>
      <c r="I177">
        <v>20046.993999999999</v>
      </c>
      <c r="J177">
        <v>21271.865000000002</v>
      </c>
      <c r="K177">
        <v>21702.901000000002</v>
      </c>
      <c r="L177">
        <v>19556.018</v>
      </c>
      <c r="M177">
        <v>17132.984</v>
      </c>
      <c r="N177">
        <v>18056.962</v>
      </c>
      <c r="O177">
        <v>18878.022000000001</v>
      </c>
      <c r="P177">
        <v>19524.038</v>
      </c>
      <c r="Q177">
        <v>21806.006000000001</v>
      </c>
      <c r="R177">
        <v>22000.880000000001</v>
      </c>
      <c r="S177">
        <v>20482.498</v>
      </c>
      <c r="T177">
        <v>18684.091</v>
      </c>
      <c r="U177">
        <v>21371.037</v>
      </c>
      <c r="V177">
        <v>21849.986000000001</v>
      </c>
      <c r="W177">
        <v>20758.060000000001</v>
      </c>
      <c r="X177">
        <v>18829.969000000001</v>
      </c>
      <c r="Y177">
        <v>19978.007000000001</v>
      </c>
      <c r="Z177">
        <v>19234.971000000001</v>
      </c>
      <c r="AA177">
        <v>18988.974999999999</v>
      </c>
      <c r="AB177">
        <v>18903.272000000001</v>
      </c>
      <c r="AC177">
        <v>18881.009999999998</v>
      </c>
      <c r="AD177">
        <v>18873.455999999998</v>
      </c>
      <c r="AE177">
        <v>18922.361000000001</v>
      </c>
      <c r="AF177">
        <v>19048.600999999999</v>
      </c>
      <c r="AG177">
        <v>19238.703000000001</v>
      </c>
      <c r="AH177">
        <v>19426.891</v>
      </c>
      <c r="AI177">
        <v>19651.832999999999</v>
      </c>
      <c r="AJ177">
        <v>19895.472000000002</v>
      </c>
      <c r="AK177">
        <v>20071.030999999999</v>
      </c>
      <c r="AL177">
        <v>20212.386999999999</v>
      </c>
      <c r="AM177">
        <v>20385.227999999999</v>
      </c>
      <c r="AN177">
        <v>20529.513999999999</v>
      </c>
      <c r="AO177">
        <v>20637.518</v>
      </c>
      <c r="AP177">
        <v>20746.972000000002</v>
      </c>
      <c r="AQ177">
        <v>20865.692999999999</v>
      </c>
      <c r="AR177">
        <v>20984.670999999998</v>
      </c>
      <c r="AS177">
        <v>21094.969000000001</v>
      </c>
      <c r="AT177">
        <v>21200.061000000002</v>
      </c>
      <c r="AU177">
        <v>21296.391</v>
      </c>
      <c r="AV177">
        <v>21380.861000000001</v>
      </c>
      <c r="AW177">
        <v>21446.418000000001</v>
      </c>
      <c r="AX177">
        <v>21510.674999999999</v>
      </c>
      <c r="AY177">
        <v>21576.482</v>
      </c>
      <c r="AZ177">
        <v>21639.718000000001</v>
      </c>
      <c r="BA177">
        <v>21699.306</v>
      </c>
      <c r="BB177">
        <v>21758.388999999999</v>
      </c>
      <c r="BC177">
        <v>21823.994999999999</v>
      </c>
      <c r="BD177">
        <v>21878.271000000001</v>
      </c>
      <c r="BE177">
        <v>21921.298999999999</v>
      </c>
      <c r="BF177">
        <v>21957.188999999998</v>
      </c>
      <c r="BG177" t="s">
        <v>554</v>
      </c>
    </row>
    <row r="178" spans="1:59">
      <c r="A178" t="s">
        <v>555</v>
      </c>
      <c r="B178" t="s">
        <v>206</v>
      </c>
      <c r="C178" t="s">
        <v>551</v>
      </c>
      <c r="D178">
        <v>221</v>
      </c>
      <c r="E178" t="s">
        <v>552</v>
      </c>
      <c r="F178" t="s">
        <v>3</v>
      </c>
      <c r="G178" t="s">
        <v>556</v>
      </c>
      <c r="H178">
        <v>239789.8</v>
      </c>
      <c r="I178">
        <v>254324.2</v>
      </c>
      <c r="J178">
        <v>260531</v>
      </c>
      <c r="K178">
        <v>276325.8</v>
      </c>
      <c r="L178">
        <v>256991.6</v>
      </c>
      <c r="M178">
        <v>290759.59999999998</v>
      </c>
      <c r="N178">
        <v>301866.5</v>
      </c>
      <c r="O178">
        <v>306228.5</v>
      </c>
      <c r="P178">
        <v>304002.40000000002</v>
      </c>
      <c r="Q178">
        <v>292728.5</v>
      </c>
      <c r="R178">
        <v>296933.40000000002</v>
      </c>
      <c r="S178">
        <v>313557.40000000002</v>
      </c>
      <c r="T178">
        <v>313710.2</v>
      </c>
      <c r="U178">
        <v>309271.3</v>
      </c>
      <c r="V178">
        <v>312518.40000000002</v>
      </c>
      <c r="W178">
        <v>331357.3</v>
      </c>
      <c r="X178">
        <v>321278.7</v>
      </c>
      <c r="Y178">
        <v>326952.40000000002</v>
      </c>
      <c r="Z178">
        <v>342977.2</v>
      </c>
      <c r="AA178">
        <v>342677.41399999999</v>
      </c>
      <c r="AB178">
        <v>350840.098</v>
      </c>
      <c r="AC178">
        <v>357554.94099999999</v>
      </c>
      <c r="AD178">
        <v>362471.46799999999</v>
      </c>
      <c r="AE178">
        <v>365119.79</v>
      </c>
      <c r="AF178">
        <v>367566.81900000002</v>
      </c>
      <c r="AG178">
        <v>370533.97</v>
      </c>
      <c r="AH178">
        <v>373525.63199999998</v>
      </c>
      <c r="AI178">
        <v>376589.288</v>
      </c>
      <c r="AJ178">
        <v>379721.09399999998</v>
      </c>
      <c r="AK178">
        <v>382752.27</v>
      </c>
      <c r="AL178">
        <v>385639.62099999998</v>
      </c>
      <c r="AM178">
        <v>388649.84299999999</v>
      </c>
      <c r="AN178">
        <v>391897.76699999999</v>
      </c>
      <c r="AO178">
        <v>394755.27299999999</v>
      </c>
      <c r="AP178">
        <v>397486.315</v>
      </c>
      <c r="AQ178">
        <v>399777.69099999999</v>
      </c>
      <c r="AR178">
        <v>401942.74099999998</v>
      </c>
      <c r="AS178">
        <v>404040.69</v>
      </c>
      <c r="AT178">
        <v>406166.10399999999</v>
      </c>
      <c r="AU178">
        <v>408305.09399999998</v>
      </c>
      <c r="AV178">
        <v>410444.87099999998</v>
      </c>
      <c r="AW178">
        <v>411928.16600000003</v>
      </c>
      <c r="AX178">
        <v>413480.62300000002</v>
      </c>
      <c r="AY178">
        <v>415207.89500000002</v>
      </c>
      <c r="AZ178">
        <v>416965.73100000003</v>
      </c>
      <c r="BA178">
        <v>418790.33299999998</v>
      </c>
      <c r="BB178">
        <v>420641.93900000001</v>
      </c>
      <c r="BC178">
        <v>422519.14399999997</v>
      </c>
      <c r="BD178">
        <v>424352.18599999999</v>
      </c>
      <c r="BE178">
        <v>426125.17700000003</v>
      </c>
      <c r="BF178">
        <v>427809.43300000002</v>
      </c>
      <c r="BG178" t="s">
        <v>554</v>
      </c>
    </row>
    <row r="180" spans="1:59">
      <c r="A180" t="s">
        <v>0</v>
      </c>
      <c r="B180" t="s">
        <v>304</v>
      </c>
      <c r="C180" t="s">
        <v>305</v>
      </c>
      <c r="D180" t="s">
        <v>306</v>
      </c>
      <c r="F180" t="s">
        <v>307</v>
      </c>
      <c r="G180" t="s">
        <v>1</v>
      </c>
      <c r="H180" t="s">
        <v>2</v>
      </c>
      <c r="I180">
        <v>2005</v>
      </c>
      <c r="J180">
        <v>2006</v>
      </c>
      <c r="K180">
        <v>2007</v>
      </c>
      <c r="L180">
        <v>2008</v>
      </c>
      <c r="M180">
        <v>2009</v>
      </c>
      <c r="N180">
        <v>2010</v>
      </c>
      <c r="O180">
        <v>2011</v>
      </c>
      <c r="P180">
        <v>2012</v>
      </c>
      <c r="Q180">
        <v>2013</v>
      </c>
      <c r="R180">
        <v>2014</v>
      </c>
      <c r="S180">
        <v>2015</v>
      </c>
      <c r="T180">
        <v>2016</v>
      </c>
      <c r="U180">
        <v>2017</v>
      </c>
      <c r="V180">
        <v>2018</v>
      </c>
      <c r="W180">
        <v>2019</v>
      </c>
      <c r="X180">
        <v>2020</v>
      </c>
      <c r="Y180">
        <v>2021</v>
      </c>
      <c r="Z180">
        <v>2022</v>
      </c>
      <c r="AA180">
        <v>2023</v>
      </c>
      <c r="AB180">
        <v>2024</v>
      </c>
      <c r="AC180">
        <v>2025</v>
      </c>
      <c r="AD180">
        <v>2026</v>
      </c>
      <c r="AE180">
        <v>2027</v>
      </c>
      <c r="AF180">
        <v>2028</v>
      </c>
      <c r="AG180">
        <v>2029</v>
      </c>
      <c r="AH180">
        <v>2030</v>
      </c>
      <c r="AI180">
        <v>2031</v>
      </c>
      <c r="AJ180">
        <v>2032</v>
      </c>
      <c r="AK180">
        <v>2033</v>
      </c>
      <c r="AL180">
        <v>2034</v>
      </c>
      <c r="AM180">
        <v>2035</v>
      </c>
      <c r="AN180">
        <v>2036</v>
      </c>
      <c r="AO180">
        <v>2037</v>
      </c>
      <c r="AP180">
        <v>2038</v>
      </c>
      <c r="AQ180">
        <v>2039</v>
      </c>
      <c r="AR180">
        <v>2040</v>
      </c>
      <c r="AS180">
        <v>2041</v>
      </c>
      <c r="AT180">
        <v>2042</v>
      </c>
      <c r="AU180">
        <v>2043</v>
      </c>
      <c r="AV180">
        <v>2044</v>
      </c>
      <c r="AW180">
        <v>2045</v>
      </c>
      <c r="AX180">
        <v>2046</v>
      </c>
      <c r="AY180">
        <v>2047</v>
      </c>
      <c r="AZ180">
        <v>2048</v>
      </c>
      <c r="BA180">
        <v>2049</v>
      </c>
      <c r="BB180">
        <v>2050</v>
      </c>
      <c r="BC180">
        <v>2051</v>
      </c>
      <c r="BD180">
        <v>2052</v>
      </c>
      <c r="BE180">
        <v>2053</v>
      </c>
      <c r="BF180">
        <v>2054</v>
      </c>
      <c r="BG180">
        <v>2055</v>
      </c>
    </row>
    <row r="181" spans="1:59">
      <c r="A181" t="s">
        <v>550</v>
      </c>
      <c r="B181" t="s">
        <v>33</v>
      </c>
      <c r="C181" t="s">
        <v>551</v>
      </c>
      <c r="D181">
        <v>221</v>
      </c>
      <c r="E181">
        <v>3</v>
      </c>
      <c r="F181" t="s">
        <v>552</v>
      </c>
      <c r="G181" t="s">
        <v>3</v>
      </c>
      <c r="H181" t="s">
        <v>553</v>
      </c>
      <c r="I181">
        <v>548.77499999999998</v>
      </c>
      <c r="J181">
        <v>547.72799999999995</v>
      </c>
      <c r="K181">
        <v>551.13900000000001</v>
      </c>
      <c r="L181">
        <v>561.38800000000003</v>
      </c>
      <c r="M181">
        <v>563.32100000000003</v>
      </c>
      <c r="N181">
        <v>555.15099999999995</v>
      </c>
      <c r="O181">
        <v>553.21699999999998</v>
      </c>
      <c r="P181">
        <v>552.20500000000004</v>
      </c>
      <c r="Q181">
        <v>551.76800000000003</v>
      </c>
      <c r="R181">
        <v>551.54399999999998</v>
      </c>
      <c r="S181">
        <v>554.57399999999996</v>
      </c>
      <c r="T181">
        <v>554.78300000000002</v>
      </c>
      <c r="U181">
        <v>553.77200000000005</v>
      </c>
      <c r="V181">
        <v>552.452</v>
      </c>
      <c r="W181">
        <v>548.322</v>
      </c>
      <c r="X181">
        <v>545.226</v>
      </c>
      <c r="Y181">
        <v>545.78300000000002</v>
      </c>
      <c r="Z181">
        <v>555.99400000000003</v>
      </c>
      <c r="AA181">
        <v>577.93299999999999</v>
      </c>
      <c r="AB181">
        <v>584.54100000000005</v>
      </c>
      <c r="AC181">
        <v>584.01900000000001</v>
      </c>
      <c r="AD181">
        <v>579.28499999999997</v>
      </c>
      <c r="AE181">
        <v>573.553</v>
      </c>
      <c r="AF181">
        <v>567.48400000000004</v>
      </c>
      <c r="AG181">
        <v>560.66700000000003</v>
      </c>
      <c r="AH181">
        <v>553.47900000000004</v>
      </c>
      <c r="AI181">
        <v>546.56399999999996</v>
      </c>
      <c r="AJ181">
        <v>539.71299999999997</v>
      </c>
      <c r="AK181">
        <v>533.06399999999996</v>
      </c>
      <c r="AL181">
        <v>526.54100000000005</v>
      </c>
      <c r="AM181">
        <v>520.11800000000005</v>
      </c>
      <c r="AN181">
        <v>513.505</v>
      </c>
      <c r="AO181">
        <v>506.548</v>
      </c>
      <c r="AP181">
        <v>499.85500000000002</v>
      </c>
      <c r="AQ181">
        <v>493.54899999999998</v>
      </c>
      <c r="AR181">
        <v>487.61799999999999</v>
      </c>
      <c r="AS181">
        <v>482.20800000000003</v>
      </c>
      <c r="AT181">
        <v>477.14299999999997</v>
      </c>
      <c r="AU181">
        <v>472.34800000000001</v>
      </c>
      <c r="AV181">
        <v>467.71199999999999</v>
      </c>
      <c r="AW181">
        <v>463.07799999999997</v>
      </c>
      <c r="AX181">
        <v>458.46199999999999</v>
      </c>
      <c r="AY181">
        <v>453.75799999999998</v>
      </c>
      <c r="AZ181">
        <v>449.04399999999998</v>
      </c>
      <c r="BA181">
        <v>444.42599999999999</v>
      </c>
      <c r="BB181">
        <v>439.90199999999999</v>
      </c>
      <c r="BC181">
        <v>435.47699999999998</v>
      </c>
      <c r="BD181">
        <v>431.096</v>
      </c>
      <c r="BE181">
        <v>426.75599999999997</v>
      </c>
      <c r="BF181">
        <v>422.26900000000001</v>
      </c>
      <c r="BG181">
        <v>417.70499999999998</v>
      </c>
    </row>
    <row r="182" spans="1:59">
      <c r="A182" t="s">
        <v>555</v>
      </c>
      <c r="B182" t="s">
        <v>206</v>
      </c>
      <c r="C182" t="s">
        <v>551</v>
      </c>
      <c r="D182">
        <v>221</v>
      </c>
      <c r="E182">
        <v>3</v>
      </c>
      <c r="F182" t="s">
        <v>552</v>
      </c>
      <c r="G182" t="s">
        <v>3</v>
      </c>
      <c r="H182" t="s">
        <v>556</v>
      </c>
      <c r="I182">
        <v>239789.8</v>
      </c>
      <c r="J182">
        <v>254324.2</v>
      </c>
      <c r="K182">
        <v>260531</v>
      </c>
      <c r="L182">
        <v>276325.8</v>
      </c>
      <c r="M182">
        <v>256991.6</v>
      </c>
      <c r="N182">
        <v>290759.59999999998</v>
      </c>
      <c r="O182">
        <v>301866.5</v>
      </c>
      <c r="P182">
        <v>306228.5</v>
      </c>
      <c r="Q182">
        <v>304002.40000000002</v>
      </c>
      <c r="R182">
        <v>292728.5</v>
      </c>
      <c r="S182">
        <v>296933.40000000002</v>
      </c>
      <c r="T182">
        <v>313557.40000000002</v>
      </c>
      <c r="U182">
        <v>313710.2</v>
      </c>
      <c r="V182">
        <v>309271.3</v>
      </c>
      <c r="W182">
        <v>312518.40000000002</v>
      </c>
      <c r="X182">
        <v>331357.3</v>
      </c>
      <c r="Y182">
        <v>321278.7</v>
      </c>
      <c r="Z182">
        <v>326952.40000000002</v>
      </c>
      <c r="AA182">
        <v>342977.2</v>
      </c>
      <c r="AB182">
        <v>342677.41399999999</v>
      </c>
      <c r="AC182">
        <v>350840.098</v>
      </c>
      <c r="AD182">
        <v>357554.94099999999</v>
      </c>
      <c r="AE182">
        <v>362471.46799999999</v>
      </c>
      <c r="AF182">
        <v>365119.79</v>
      </c>
      <c r="AG182">
        <v>367566.81900000002</v>
      </c>
      <c r="AH182">
        <v>370533.97</v>
      </c>
      <c r="AI182">
        <v>373525.63199999998</v>
      </c>
      <c r="AJ182">
        <v>376589.288</v>
      </c>
      <c r="AK182">
        <v>379721.09399999998</v>
      </c>
      <c r="AL182">
        <v>382752.27</v>
      </c>
      <c r="AM182">
        <v>385639.62099999998</v>
      </c>
      <c r="AN182">
        <v>388649.84299999999</v>
      </c>
      <c r="AO182">
        <v>391897.76699999999</v>
      </c>
      <c r="AP182">
        <v>394755.27299999999</v>
      </c>
      <c r="AQ182">
        <v>397486.315</v>
      </c>
      <c r="AR182">
        <v>399777.69099999999</v>
      </c>
      <c r="AS182">
        <v>401942.74099999998</v>
      </c>
      <c r="AT182">
        <v>404040.69</v>
      </c>
      <c r="AU182">
        <v>406166.10399999999</v>
      </c>
      <c r="AV182">
        <v>408305.09399999998</v>
      </c>
      <c r="AW182">
        <v>410444.87099999998</v>
      </c>
      <c r="AX182">
        <v>411928.16600000003</v>
      </c>
      <c r="AY182">
        <v>413480.62300000002</v>
      </c>
      <c r="AZ182">
        <v>415207.89500000002</v>
      </c>
      <c r="BA182">
        <v>416965.73100000003</v>
      </c>
      <c r="BB182">
        <v>418790.33299999998</v>
      </c>
      <c r="BC182">
        <v>420641.93900000001</v>
      </c>
      <c r="BD182">
        <v>422519.14399999997</v>
      </c>
      <c r="BE182">
        <v>424352.18599999999</v>
      </c>
      <c r="BF182">
        <v>426125.17700000003</v>
      </c>
      <c r="BG182">
        <v>427809.43300000002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H93"/>
  <sheetViews>
    <sheetView topLeftCell="AQ1" workbookViewId="0">
      <selection activeCell="AY6" sqref="AY6"/>
    </sheetView>
  </sheetViews>
  <sheetFormatPr defaultRowHeight="14.25"/>
  <cols>
    <col min="4" max="4" width="71.5" bestFit="1" customWidth="1"/>
  </cols>
  <sheetData>
    <row r="1" spans="3:60" ht="15">
      <c r="F1" s="1" t="s">
        <v>297</v>
      </c>
    </row>
    <row r="2" spans="3:60">
      <c r="E2" t="s">
        <v>33</v>
      </c>
      <c r="F2" t="s">
        <v>300</v>
      </c>
    </row>
    <row r="3" spans="3:60">
      <c r="E3" t="s">
        <v>206</v>
      </c>
      <c r="F3" t="s">
        <v>298</v>
      </c>
      <c r="G3" t="s">
        <v>299</v>
      </c>
    </row>
    <row r="4" spans="3:60" ht="15">
      <c r="E4" t="s">
        <v>301</v>
      </c>
      <c r="F4" t="s">
        <v>302</v>
      </c>
      <c r="BD4" s="6" t="s">
        <v>557</v>
      </c>
      <c r="BE4" s="6"/>
      <c r="BF4" s="6"/>
      <c r="BG4" s="6"/>
      <c r="BH4" s="6"/>
    </row>
    <row r="5" spans="3:60" ht="15">
      <c r="C5" t="s">
        <v>306</v>
      </c>
      <c r="D5" t="s">
        <v>307</v>
      </c>
      <c r="E5">
        <v>2005</v>
      </c>
      <c r="F5">
        <v>2006</v>
      </c>
      <c r="G5">
        <v>2007</v>
      </c>
      <c r="H5">
        <v>2008</v>
      </c>
      <c r="I5">
        <v>2009</v>
      </c>
      <c r="J5">
        <v>2010</v>
      </c>
      <c r="K5">
        <v>2011</v>
      </c>
      <c r="L5">
        <v>2012</v>
      </c>
      <c r="M5">
        <v>2013</v>
      </c>
      <c r="N5">
        <v>2014</v>
      </c>
      <c r="O5">
        <v>2015</v>
      </c>
      <c r="P5">
        <v>2016</v>
      </c>
      <c r="Q5">
        <v>2017</v>
      </c>
      <c r="R5">
        <v>2018</v>
      </c>
      <c r="S5">
        <v>2019</v>
      </c>
      <c r="T5">
        <v>2020</v>
      </c>
      <c r="U5">
        <v>2021</v>
      </c>
      <c r="V5">
        <v>2022</v>
      </c>
      <c r="W5">
        <v>2023</v>
      </c>
      <c r="X5">
        <v>2024</v>
      </c>
      <c r="Y5">
        <v>2025</v>
      </c>
      <c r="Z5">
        <v>2026</v>
      </c>
      <c r="AA5">
        <v>2027</v>
      </c>
      <c r="AB5">
        <v>2028</v>
      </c>
      <c r="AC5">
        <v>2029</v>
      </c>
      <c r="AD5">
        <v>2030</v>
      </c>
      <c r="AE5">
        <v>2031</v>
      </c>
      <c r="AF5">
        <v>2032</v>
      </c>
      <c r="AG5">
        <v>2033</v>
      </c>
      <c r="AH5">
        <v>2034</v>
      </c>
      <c r="AI5">
        <v>2035</v>
      </c>
      <c r="AJ5">
        <v>2036</v>
      </c>
      <c r="AK5">
        <v>2037</v>
      </c>
      <c r="AL5">
        <v>2038</v>
      </c>
      <c r="AM5">
        <v>2039</v>
      </c>
      <c r="AN5">
        <v>2040</v>
      </c>
      <c r="AO5">
        <v>2041</v>
      </c>
      <c r="AP5">
        <v>2042</v>
      </c>
      <c r="AQ5">
        <v>2043</v>
      </c>
      <c r="AR5">
        <v>2044</v>
      </c>
      <c r="AS5">
        <v>2045</v>
      </c>
      <c r="AT5">
        <v>2046</v>
      </c>
      <c r="AU5">
        <v>2047</v>
      </c>
      <c r="AV5">
        <v>2048</v>
      </c>
      <c r="AW5">
        <v>2049</v>
      </c>
      <c r="AX5">
        <v>2050</v>
      </c>
      <c r="AY5">
        <v>2051</v>
      </c>
      <c r="AZ5">
        <v>2052</v>
      </c>
      <c r="BA5">
        <v>2053</v>
      </c>
      <c r="BB5">
        <v>2054</v>
      </c>
      <c r="BC5">
        <v>2055</v>
      </c>
      <c r="BD5" s="3">
        <v>2056</v>
      </c>
      <c r="BE5" s="3">
        <v>2057</v>
      </c>
      <c r="BF5" s="3">
        <v>2058</v>
      </c>
      <c r="BG5" s="3">
        <v>2059</v>
      </c>
      <c r="BH5" s="3">
        <v>2060</v>
      </c>
    </row>
    <row r="6" spans="3:60">
      <c r="C6">
        <v>211</v>
      </c>
      <c r="D6" t="s">
        <v>310</v>
      </c>
      <c r="E6">
        <f>SUMIFS('MoodysData(Raw)'!H$2:H$180,'MoodysData(Raw)'!$B$2:$B$180,"=GDP",'MoodysData(Raw)'!$D$2:$D$180,"="&amp;'Implied Productivity Ratios'!$C6)/SUMIFS('MoodysData(Raw)'!H$2:H$180,'MoodysData(Raw)'!$B$2:$B$180,"=EMP",'MoodysData(Raw)'!$D$2:$D$180,"="&amp;'Implied Productivity Ratios'!$C6)</f>
        <v>595.83428004840016</v>
      </c>
      <c r="F6">
        <f>SUMIFS('MoodysData(Raw)'!I$2:I$180,'MoodysData(Raw)'!$B$2:$B$180,"=GDP",'MoodysData(Raw)'!$D$2:$D$180,"="&amp;'Implied Productivity Ratios'!$C6)/SUMIFS('MoodysData(Raw)'!I$2:I$180,'MoodysData(Raw)'!$B$2:$B$180,"=EMP",'MoodysData(Raw)'!$D$2:$D$180,"="&amp;'Implied Productivity Ratios'!$C6)</f>
        <v>633.70371098820704</v>
      </c>
      <c r="G6">
        <f>SUMIFS('MoodysData(Raw)'!J$2:J$180,'MoodysData(Raw)'!$B$2:$B$180,"=GDP",'MoodysData(Raw)'!$D$2:$D$180,"="&amp;'Implied Productivity Ratios'!$C6)/SUMIFS('MoodysData(Raw)'!J$2:J$180,'MoodysData(Raw)'!$B$2:$B$180,"=EMP",'MoodysData(Raw)'!$D$2:$D$180,"="&amp;'Implied Productivity Ratios'!$C6)</f>
        <v>630.65866417764653</v>
      </c>
      <c r="H6">
        <f>SUMIFS('MoodysData(Raw)'!K$2:K$180,'MoodysData(Raw)'!$B$2:$B$180,"=GDP",'MoodysData(Raw)'!$D$2:$D$180,"="&amp;'Implied Productivity Ratios'!$C6)/SUMIFS('MoodysData(Raw)'!K$2:K$180,'MoodysData(Raw)'!$B$2:$B$180,"=EMP",'MoodysData(Raw)'!$D$2:$D$180,"="&amp;'Implied Productivity Ratios'!$C6)</f>
        <v>545.21005015827279</v>
      </c>
      <c r="I6">
        <f>SUMIFS('MoodysData(Raw)'!L$2:L$180,'MoodysData(Raw)'!$B$2:$B$180,"=GDP",'MoodysData(Raw)'!$D$2:$D$180,"="&amp;'Implied Productivity Ratios'!$C6)/SUMIFS('MoodysData(Raw)'!L$2:L$180,'MoodysData(Raw)'!$B$2:$B$180,"=EMP",'MoodysData(Raw)'!$D$2:$D$180,"="&amp;'Implied Productivity Ratios'!$C6)</f>
        <v>743.51887168053509</v>
      </c>
      <c r="J6">
        <f>SUMIFS('MoodysData(Raw)'!M$2:M$180,'MoodysData(Raw)'!$B$2:$B$180,"=GDP",'MoodysData(Raw)'!$D$2:$D$180,"="&amp;'Implied Productivity Ratios'!$C6)/SUMIFS('MoodysData(Raw)'!M$2:M$180,'MoodysData(Raw)'!$B$2:$B$180,"=EMP",'MoodysData(Raw)'!$D$2:$D$180,"="&amp;'Implied Productivity Ratios'!$C6)</f>
        <v>577.47652790079712</v>
      </c>
      <c r="K6">
        <f>SUMIFS('MoodysData(Raw)'!N$2:N$180,'MoodysData(Raw)'!$B$2:$B$180,"=GDP",'MoodysData(Raw)'!$D$2:$D$180,"="&amp;'Implied Productivity Ratios'!$C6)/SUMIFS('MoodysData(Raw)'!N$2:N$180,'MoodysData(Raw)'!$B$2:$B$180,"=EMP",'MoodysData(Raw)'!$D$2:$D$180,"="&amp;'Implied Productivity Ratios'!$C6)</f>
        <v>536.74285697030462</v>
      </c>
      <c r="L6">
        <f>SUMIFS('MoodysData(Raw)'!O$2:O$180,'MoodysData(Raw)'!$B$2:$B$180,"=GDP",'MoodysData(Raw)'!$D$2:$D$180,"="&amp;'Implied Productivity Ratios'!$C6)/SUMIFS('MoodysData(Raw)'!O$2:O$180,'MoodysData(Raw)'!$B$2:$B$180,"=EMP",'MoodysData(Raw)'!$D$2:$D$180,"="&amp;'Implied Productivity Ratios'!$C6)</f>
        <v>608.01222834379178</v>
      </c>
      <c r="M6">
        <f>SUMIFS('MoodysData(Raw)'!P$2:P$180,'MoodysData(Raw)'!$B$2:$B$180,"=GDP",'MoodysData(Raw)'!$D$2:$D$180,"="&amp;'Implied Productivity Ratios'!$C6)/SUMIFS('MoodysData(Raw)'!P$2:P$180,'MoodysData(Raw)'!$B$2:$B$180,"=EMP",'MoodysData(Raw)'!$D$2:$D$180,"="&amp;'Implied Productivity Ratios'!$C6)</f>
        <v>602.54006588494497</v>
      </c>
      <c r="N6">
        <f>SUMIFS('MoodysData(Raw)'!Q$2:Q$180,'MoodysData(Raw)'!$B$2:$B$180,"=GDP",'MoodysData(Raw)'!$D$2:$D$180,"="&amp;'Implied Productivity Ratios'!$C6)/SUMIFS('MoodysData(Raw)'!Q$2:Q$180,'MoodysData(Raw)'!$B$2:$B$180,"=EMP",'MoodysData(Raw)'!$D$2:$D$180,"="&amp;'Implied Productivity Ratios'!$C6)</f>
        <v>649.99330490492969</v>
      </c>
      <c r="O6">
        <f>SUMIFS('MoodysData(Raw)'!R$2:R$180,'MoodysData(Raw)'!$B$2:$B$180,"=GDP",'MoodysData(Raw)'!$D$2:$D$180,"="&amp;'Implied Productivity Ratios'!$C6)/SUMIFS('MoodysData(Raw)'!R$2:R$180,'MoodysData(Raw)'!$B$2:$B$180,"=EMP",'MoodysData(Raw)'!$D$2:$D$180,"="&amp;'Implied Productivity Ratios'!$C6)</f>
        <v>926.04050313243658</v>
      </c>
      <c r="P6">
        <f>SUMIFS('MoodysData(Raw)'!S$2:S$180,'MoodysData(Raw)'!$B$2:$B$180,"=GDP",'MoodysData(Raw)'!$D$2:$D$180,"="&amp;'Implied Productivity Ratios'!$C6)/SUMIFS('MoodysData(Raw)'!S$2:S$180,'MoodysData(Raw)'!$B$2:$B$180,"=EMP",'MoodysData(Raw)'!$D$2:$D$180,"="&amp;'Implied Productivity Ratios'!$C6)</f>
        <v>1131.604739474702</v>
      </c>
      <c r="Q6">
        <f>SUMIFS('MoodysData(Raw)'!T$2:T$180,'MoodysData(Raw)'!$B$2:$B$180,"=GDP",'MoodysData(Raw)'!$D$2:$D$180,"="&amp;'Implied Productivity Ratios'!$C6)/SUMIFS('MoodysData(Raw)'!T$2:T$180,'MoodysData(Raw)'!$B$2:$B$180,"=EMP",'MoodysData(Raw)'!$D$2:$D$180,"="&amp;'Implied Productivity Ratios'!$C6)</f>
        <v>1116.8415871783495</v>
      </c>
      <c r="R6">
        <f>SUMIFS('MoodysData(Raw)'!U$2:U$180,'MoodysData(Raw)'!$B$2:$B$180,"=GDP",'MoodysData(Raw)'!$D$2:$D$180,"="&amp;'Implied Productivity Ratios'!$C6)/SUMIFS('MoodysData(Raw)'!U$2:U$180,'MoodysData(Raw)'!$B$2:$B$180,"=EMP",'MoodysData(Raw)'!$D$2:$D$180,"="&amp;'Implied Productivity Ratios'!$C6)</f>
        <v>1064.4708347395658</v>
      </c>
      <c r="S6">
        <f>SUMIFS('MoodysData(Raw)'!V$2:V$180,'MoodysData(Raw)'!$B$2:$B$180,"=GDP",'MoodysData(Raw)'!$D$2:$D$180,"="&amp;'Implied Productivity Ratios'!$C6)/SUMIFS('MoodysData(Raw)'!V$2:V$180,'MoodysData(Raw)'!$B$2:$B$180,"=EMP",'MoodysData(Raw)'!$D$2:$D$180,"="&amp;'Implied Productivity Ratios'!$C6)</f>
        <v>1360.5328697626567</v>
      </c>
      <c r="T6">
        <f>SUMIFS('MoodysData(Raw)'!W$2:W$180,'MoodysData(Raw)'!$B$2:$B$180,"=GDP",'MoodysData(Raw)'!$D$2:$D$180,"="&amp;'Implied Productivity Ratios'!$C6)/SUMIFS('MoodysData(Raw)'!W$2:W$180,'MoodysData(Raw)'!$B$2:$B$180,"=EMP",'MoodysData(Raw)'!$D$2:$D$180,"="&amp;'Implied Productivity Ratios'!$C6)</f>
        <v>1667.4148213945816</v>
      </c>
      <c r="U6">
        <f>SUMIFS('MoodysData(Raw)'!X$2:X$180,'MoodysData(Raw)'!$B$2:$B$180,"=GDP",'MoodysData(Raw)'!$D$2:$D$180,"="&amp;'Implied Productivity Ratios'!$C6)/SUMIFS('MoodysData(Raw)'!X$2:X$180,'MoodysData(Raw)'!$B$2:$B$180,"=EMP",'MoodysData(Raw)'!$D$2:$D$180,"="&amp;'Implied Productivity Ratios'!$C6)</f>
        <v>1443.4757281553398</v>
      </c>
      <c r="V6">
        <f>SUMIFS('MoodysData(Raw)'!Y$2:Y$180,'MoodysData(Raw)'!$B$2:$B$180,"=GDP",'MoodysData(Raw)'!$D$2:$D$180,"="&amp;'Implied Productivity Ratios'!$C6)/SUMIFS('MoodysData(Raw)'!Y$2:Y$180,'MoodysData(Raw)'!$B$2:$B$180,"=EMP",'MoodysData(Raw)'!$D$2:$D$180,"="&amp;'Implied Productivity Ratios'!$C6)</f>
        <v>1170.4214405477155</v>
      </c>
      <c r="W6">
        <f>SUMIFS('MoodysData(Raw)'!Z$2:Z$180,'MoodysData(Raw)'!$B$2:$B$180,"=GDP",'MoodysData(Raw)'!$D$2:$D$180,"="&amp;'Implied Productivity Ratios'!$C6)/SUMIFS('MoodysData(Raw)'!Z$2:Z$180,'MoodysData(Raw)'!$B$2:$B$180,"=EMP",'MoodysData(Raw)'!$D$2:$D$180,"="&amp;'Implied Productivity Ratios'!$C6)</f>
        <v>1752.0806733418453</v>
      </c>
      <c r="X6">
        <f>SUMIFS('MoodysData(Raw)'!AA$2:AA$180,'MoodysData(Raw)'!$B$2:$B$180,"=GDP",'MoodysData(Raw)'!$D$2:$D$180,"="&amp;'Implied Productivity Ratios'!$C6)/SUMIFS('MoodysData(Raw)'!AA$2:AA$180,'MoodysData(Raw)'!$B$2:$B$180,"=EMP",'MoodysData(Raw)'!$D$2:$D$180,"="&amp;'Implied Productivity Ratios'!$C6)</f>
        <v>1711.816939459181</v>
      </c>
      <c r="Y6">
        <f>SUMIFS('MoodysData(Raw)'!AB$2:AB$180,'MoodysData(Raw)'!$B$2:$B$180,"=GDP",'MoodysData(Raw)'!$D$2:$D$180,"="&amp;'Implied Productivity Ratios'!$C6)/SUMIFS('MoodysData(Raw)'!AB$2:AB$180,'MoodysData(Raw)'!$B$2:$B$180,"=EMP",'MoodysData(Raw)'!$D$2:$D$180,"="&amp;'Implied Productivity Ratios'!$C6)</f>
        <v>1621.8485912011863</v>
      </c>
      <c r="Z6">
        <f>SUMIFS('MoodysData(Raw)'!AC$2:AC$180,'MoodysData(Raw)'!$B$2:$B$180,"=GDP",'MoodysData(Raw)'!$D$2:$D$180,"="&amp;'Implied Productivity Ratios'!$C6)/SUMIFS('MoodysData(Raw)'!AC$2:AC$180,'MoodysData(Raw)'!$B$2:$B$180,"=EMP",'MoodysData(Raw)'!$D$2:$D$180,"="&amp;'Implied Productivity Ratios'!$C6)</f>
        <v>1703.6880250439187</v>
      </c>
      <c r="AA6">
        <f>SUMIFS('MoodysData(Raw)'!AD$2:AD$180,'MoodysData(Raw)'!$B$2:$B$180,"=GDP",'MoodysData(Raw)'!$D$2:$D$180,"="&amp;'Implied Productivity Ratios'!$C6)/SUMIFS('MoodysData(Raw)'!AD$2:AD$180,'MoodysData(Raw)'!$B$2:$B$180,"=EMP",'MoodysData(Raw)'!$D$2:$D$180,"="&amp;'Implied Productivity Ratios'!$C6)</f>
        <v>1789.5946613687884</v>
      </c>
      <c r="AB6">
        <f>SUMIFS('MoodysData(Raw)'!AE$2:AE$180,'MoodysData(Raw)'!$B$2:$B$180,"=GDP",'MoodysData(Raw)'!$D$2:$D$180,"="&amp;'Implied Productivity Ratios'!$C6)/SUMIFS('MoodysData(Raw)'!AE$2:AE$180,'MoodysData(Raw)'!$B$2:$B$180,"=EMP",'MoodysData(Raw)'!$D$2:$D$180,"="&amp;'Implied Productivity Ratios'!$C6)</f>
        <v>1864.5443958485196</v>
      </c>
      <c r="AC6">
        <f>SUMIFS('MoodysData(Raw)'!AF$2:AF$180,'MoodysData(Raw)'!$B$2:$B$180,"=GDP",'MoodysData(Raw)'!$D$2:$D$180,"="&amp;'Implied Productivity Ratios'!$C6)/SUMIFS('MoodysData(Raw)'!AF$2:AF$180,'MoodysData(Raw)'!$B$2:$B$180,"=EMP",'MoodysData(Raw)'!$D$2:$D$180,"="&amp;'Implied Productivity Ratios'!$C6)</f>
        <v>1943.1175408312308</v>
      </c>
      <c r="AD6">
        <f>SUMIFS('MoodysData(Raw)'!AG$2:AG$180,'MoodysData(Raw)'!$B$2:$B$180,"=GDP",'MoodysData(Raw)'!$D$2:$D$180,"="&amp;'Implied Productivity Ratios'!$C6)/SUMIFS('MoodysData(Raw)'!AG$2:AG$180,'MoodysData(Raw)'!$B$2:$B$180,"=EMP",'MoodysData(Raw)'!$D$2:$D$180,"="&amp;'Implied Productivity Ratios'!$C6)</f>
        <v>2011.4452141399181</v>
      </c>
      <c r="AE6">
        <f>SUMIFS('MoodysData(Raw)'!AH$2:AH$180,'MoodysData(Raw)'!$B$2:$B$180,"=GDP",'MoodysData(Raw)'!$D$2:$D$180,"="&amp;'Implied Productivity Ratios'!$C6)/SUMIFS('MoodysData(Raw)'!AH$2:AH$180,'MoodysData(Raw)'!$B$2:$B$180,"=EMP",'MoodysData(Raw)'!$D$2:$D$180,"="&amp;'Implied Productivity Ratios'!$C6)</f>
        <v>2053.3205967576291</v>
      </c>
      <c r="AF6">
        <f>SUMIFS('MoodysData(Raw)'!AI$2:AI$180,'MoodysData(Raw)'!$B$2:$B$180,"=GDP",'MoodysData(Raw)'!$D$2:$D$180,"="&amp;'Implied Productivity Ratios'!$C6)/SUMIFS('MoodysData(Raw)'!AI$2:AI$180,'MoodysData(Raw)'!$B$2:$B$180,"=EMP",'MoodysData(Raw)'!$D$2:$D$180,"="&amp;'Implied Productivity Ratios'!$C6)</f>
        <v>2083.5554255141283</v>
      </c>
      <c r="AG6">
        <f>SUMIFS('MoodysData(Raw)'!AJ$2:AJ$180,'MoodysData(Raw)'!$B$2:$B$180,"=GDP",'MoodysData(Raw)'!$D$2:$D$180,"="&amp;'Implied Productivity Ratios'!$C6)/SUMIFS('MoodysData(Raw)'!AJ$2:AJ$180,'MoodysData(Raw)'!$B$2:$B$180,"=EMP",'MoodysData(Raw)'!$D$2:$D$180,"="&amp;'Implied Productivity Ratios'!$C6)</f>
        <v>2115.1153577957443</v>
      </c>
      <c r="AH6">
        <f>SUMIFS('MoodysData(Raw)'!AK$2:AK$180,'MoodysData(Raw)'!$B$2:$B$180,"=GDP",'MoodysData(Raw)'!$D$2:$D$180,"="&amp;'Implied Productivity Ratios'!$C6)/SUMIFS('MoodysData(Raw)'!AK$2:AK$180,'MoodysData(Raw)'!$B$2:$B$180,"=EMP",'MoodysData(Raw)'!$D$2:$D$180,"="&amp;'Implied Productivity Ratios'!$C6)</f>
        <v>2145.7506868723613</v>
      </c>
      <c r="AI6">
        <f>SUMIFS('MoodysData(Raw)'!AL$2:AL$180,'MoodysData(Raw)'!$B$2:$B$180,"=GDP",'MoodysData(Raw)'!$D$2:$D$180,"="&amp;'Implied Productivity Ratios'!$C6)/SUMIFS('MoodysData(Raw)'!AL$2:AL$180,'MoodysData(Raw)'!$B$2:$B$180,"=EMP",'MoodysData(Raw)'!$D$2:$D$180,"="&amp;'Implied Productivity Ratios'!$C6)</f>
        <v>2181.5728658417584</v>
      </c>
      <c r="AJ6">
        <f>SUMIFS('MoodysData(Raw)'!AM$2:AM$180,'MoodysData(Raw)'!$B$2:$B$180,"=GDP",'MoodysData(Raw)'!$D$2:$D$180,"="&amp;'Implied Productivity Ratios'!$C6)/SUMIFS('MoodysData(Raw)'!AM$2:AM$180,'MoodysData(Raw)'!$B$2:$B$180,"=EMP",'MoodysData(Raw)'!$D$2:$D$180,"="&amp;'Implied Productivity Ratios'!$C6)</f>
        <v>2215.2483169264833</v>
      </c>
      <c r="AK6">
        <f>SUMIFS('MoodysData(Raw)'!AN$2:AN$180,'MoodysData(Raw)'!$B$2:$B$180,"=GDP",'MoodysData(Raw)'!$D$2:$D$180,"="&amp;'Implied Productivity Ratios'!$C6)/SUMIFS('MoodysData(Raw)'!AN$2:AN$180,'MoodysData(Raw)'!$B$2:$B$180,"=EMP",'MoodysData(Raw)'!$D$2:$D$180,"="&amp;'Implied Productivity Ratios'!$C6)</f>
        <v>2236.9054160085593</v>
      </c>
      <c r="AL6">
        <f>SUMIFS('MoodysData(Raw)'!AO$2:AO$180,'MoodysData(Raw)'!$B$2:$B$180,"=GDP",'MoodysData(Raw)'!$D$2:$D$180,"="&amp;'Implied Productivity Ratios'!$C6)/SUMIFS('MoodysData(Raw)'!AO$2:AO$180,'MoodysData(Raw)'!$B$2:$B$180,"=EMP",'MoodysData(Raw)'!$D$2:$D$180,"="&amp;'Implied Productivity Ratios'!$C6)</f>
        <v>2255.2746781563628</v>
      </c>
      <c r="AM6">
        <f>SUMIFS('MoodysData(Raw)'!AP$2:AP$180,'MoodysData(Raw)'!$B$2:$B$180,"=GDP",'MoodysData(Raw)'!$D$2:$D$180,"="&amp;'Implied Productivity Ratios'!$C6)/SUMIFS('MoodysData(Raw)'!AP$2:AP$180,'MoodysData(Raw)'!$B$2:$B$180,"=EMP",'MoodysData(Raw)'!$D$2:$D$180,"="&amp;'Implied Productivity Ratios'!$C6)</f>
        <v>2259.8117309925324</v>
      </c>
      <c r="AN6">
        <f>SUMIFS('MoodysData(Raw)'!AQ$2:AQ$180,'MoodysData(Raw)'!$B$2:$B$180,"=GDP",'MoodysData(Raw)'!$D$2:$D$180,"="&amp;'Implied Productivity Ratios'!$C6)/SUMIFS('MoodysData(Raw)'!AQ$2:AQ$180,'MoodysData(Raw)'!$B$2:$B$180,"=EMP",'MoodysData(Raw)'!$D$2:$D$180,"="&amp;'Implied Productivity Ratios'!$C6)</f>
        <v>2257.9164290844196</v>
      </c>
      <c r="AO6">
        <f>SUMIFS('MoodysData(Raw)'!AR$2:AR$180,'MoodysData(Raw)'!$B$2:$B$180,"=GDP",'MoodysData(Raw)'!$D$2:$D$180,"="&amp;'Implied Productivity Ratios'!$C6)/SUMIFS('MoodysData(Raw)'!AR$2:AR$180,'MoodysData(Raw)'!$B$2:$B$180,"=EMP",'MoodysData(Raw)'!$D$2:$D$180,"="&amp;'Implied Productivity Ratios'!$C6)</f>
        <v>2252.9140598909048</v>
      </c>
      <c r="AP6">
        <f>SUMIFS('MoodysData(Raw)'!AS$2:AS$180,'MoodysData(Raw)'!$B$2:$B$180,"=GDP",'MoodysData(Raw)'!$D$2:$D$180,"="&amp;'Implied Productivity Ratios'!$C6)/SUMIFS('MoodysData(Raw)'!AS$2:AS$180,'MoodysData(Raw)'!$B$2:$B$180,"=EMP",'MoodysData(Raw)'!$D$2:$D$180,"="&amp;'Implied Productivity Ratios'!$C6)</f>
        <v>2245.8102935309207</v>
      </c>
      <c r="AQ6">
        <f>SUMIFS('MoodysData(Raw)'!AT$2:AT$180,'MoodysData(Raw)'!$B$2:$B$180,"=GDP",'MoodysData(Raw)'!$D$2:$D$180,"="&amp;'Implied Productivity Ratios'!$C6)/SUMIFS('MoodysData(Raw)'!AT$2:AT$180,'MoodysData(Raw)'!$B$2:$B$180,"=EMP",'MoodysData(Raw)'!$D$2:$D$180,"="&amp;'Implied Productivity Ratios'!$C6)</f>
        <v>2241.3884546986151</v>
      </c>
      <c r="AR6">
        <f>SUMIFS('MoodysData(Raw)'!AU$2:AU$180,'MoodysData(Raw)'!$B$2:$B$180,"=GDP",'MoodysData(Raw)'!$D$2:$D$180,"="&amp;'Implied Productivity Ratios'!$C6)/SUMIFS('MoodysData(Raw)'!AU$2:AU$180,'MoodysData(Raw)'!$B$2:$B$180,"=EMP",'MoodysData(Raw)'!$D$2:$D$180,"="&amp;'Implied Productivity Ratios'!$C6)</f>
        <v>2253.826249112718</v>
      </c>
      <c r="AS6">
        <f>SUMIFS('MoodysData(Raw)'!AV$2:AV$180,'MoodysData(Raw)'!$B$2:$B$180,"=GDP",'MoodysData(Raw)'!$D$2:$D$180,"="&amp;'Implied Productivity Ratios'!$C6)/SUMIFS('MoodysData(Raw)'!AV$2:AV$180,'MoodysData(Raw)'!$B$2:$B$180,"=EMP",'MoodysData(Raw)'!$D$2:$D$180,"="&amp;'Implied Productivity Ratios'!$C6)</f>
        <v>2279.469265497482</v>
      </c>
      <c r="AT6">
        <f>SUMIFS('MoodysData(Raw)'!AW$2:AW$180,'MoodysData(Raw)'!$B$2:$B$180,"=GDP",'MoodysData(Raw)'!$D$2:$D$180,"="&amp;'Implied Productivity Ratios'!$C6)/SUMIFS('MoodysData(Raw)'!AW$2:AW$180,'MoodysData(Raw)'!$B$2:$B$180,"=EMP",'MoodysData(Raw)'!$D$2:$D$180,"="&amp;'Implied Productivity Ratios'!$C6)</f>
        <v>2314.8295266552955</v>
      </c>
      <c r="AU6">
        <f>SUMIFS('MoodysData(Raw)'!AX$2:AX$180,'MoodysData(Raw)'!$B$2:$B$180,"=GDP",'MoodysData(Raw)'!$D$2:$D$180,"="&amp;'Implied Productivity Ratios'!$C6)/SUMIFS('MoodysData(Raw)'!AX$2:AX$180,'MoodysData(Raw)'!$B$2:$B$180,"=EMP",'MoodysData(Raw)'!$D$2:$D$180,"="&amp;'Implied Productivity Ratios'!$C6)</f>
        <v>2355.4427756122868</v>
      </c>
      <c r="AV6">
        <f>SUMIFS('MoodysData(Raw)'!AY$2:AY$180,'MoodysData(Raw)'!$B$2:$B$180,"=GDP",'MoodysData(Raw)'!$D$2:$D$180,"="&amp;'Implied Productivity Ratios'!$C6)/SUMIFS('MoodysData(Raw)'!AY$2:AY$180,'MoodysData(Raw)'!$B$2:$B$180,"=EMP",'MoodysData(Raw)'!$D$2:$D$180,"="&amp;'Implied Productivity Ratios'!$C6)</f>
        <v>2391.580028377392</v>
      </c>
      <c r="AW6">
        <f>SUMIFS('MoodysData(Raw)'!AZ$2:AZ$180,'MoodysData(Raw)'!$B$2:$B$180,"=GDP",'MoodysData(Raw)'!$D$2:$D$180,"="&amp;'Implied Productivity Ratios'!$C6)/SUMIFS('MoodysData(Raw)'!AZ$2:AZ$180,'MoodysData(Raw)'!$B$2:$B$180,"=EMP",'MoodysData(Raw)'!$D$2:$D$180,"="&amp;'Implied Productivity Ratios'!$C6)</f>
        <v>2425.6536776145822</v>
      </c>
      <c r="AX6">
        <f>SUMIFS('MoodysData(Raw)'!BA$2:BA$180,'MoodysData(Raw)'!$B$2:$B$180,"=GDP",'MoodysData(Raw)'!$D$2:$D$180,"="&amp;'Implied Productivity Ratios'!$C6)/SUMIFS('MoodysData(Raw)'!BA$2:BA$180,'MoodysData(Raw)'!$B$2:$B$180,"=EMP",'MoodysData(Raw)'!$D$2:$D$180,"="&amp;'Implied Productivity Ratios'!$C6)</f>
        <v>2469.9699351833997</v>
      </c>
      <c r="AY6">
        <f>SUMIFS('MoodysData(Raw)'!BB$2:BB$180,'MoodysData(Raw)'!$B$2:$B$180,"=GDP",'MoodysData(Raw)'!$D$2:$D$180,"="&amp;'Implied Productivity Ratios'!$C6)/SUMIFS('MoodysData(Raw)'!BB$2:BB$180,'MoodysData(Raw)'!$B$2:$B$180,"=EMP",'MoodysData(Raw)'!$D$2:$D$180,"="&amp;'Implied Productivity Ratios'!$C6)</f>
        <v>2504.5437396224097</v>
      </c>
      <c r="AZ6">
        <f>SUMIFS('MoodysData(Raw)'!BC$2:BC$180,'MoodysData(Raw)'!$B$2:$B$180,"=GDP",'MoodysData(Raw)'!$D$2:$D$180,"="&amp;'Implied Productivity Ratios'!$C6)/SUMIFS('MoodysData(Raw)'!BC$2:BC$180,'MoodysData(Raw)'!$B$2:$B$180,"=EMP",'MoodysData(Raw)'!$D$2:$D$180,"="&amp;'Implied Productivity Ratios'!$C6)</f>
        <v>2523.8541184306509</v>
      </c>
      <c r="BA6">
        <f>SUMIFS('MoodysData(Raw)'!BD$2:BD$180,'MoodysData(Raw)'!$B$2:$B$180,"=GDP",'MoodysData(Raw)'!$D$2:$D$180,"="&amp;'Implied Productivity Ratios'!$C6)/SUMIFS('MoodysData(Raw)'!BD$2:BD$180,'MoodysData(Raw)'!$B$2:$B$180,"=EMP",'MoodysData(Raw)'!$D$2:$D$180,"="&amp;'Implied Productivity Ratios'!$C6)</f>
        <v>2534.1079462960242</v>
      </c>
      <c r="BB6">
        <f>SUMIFS('MoodysData(Raw)'!BE$2:BE$180,'MoodysData(Raw)'!$B$2:$B$180,"=GDP",'MoodysData(Raw)'!$D$2:$D$180,"="&amp;'Implied Productivity Ratios'!$C6)/SUMIFS('MoodysData(Raw)'!BE$2:BE$180,'MoodysData(Raw)'!$B$2:$B$180,"=EMP",'MoodysData(Raw)'!$D$2:$D$180,"="&amp;'Implied Productivity Ratios'!$C6)</f>
        <v>2540.4716351874508</v>
      </c>
      <c r="BC6">
        <f>SUMIFS('MoodysData(Raw)'!BF$2:BF$180,'MoodysData(Raw)'!$B$2:$B$180,"=GDP",'MoodysData(Raw)'!$D$2:$D$180,"="&amp;'Implied Productivity Ratios'!$C6)/SUMIFS('MoodysData(Raw)'!BF$2:BF$180,'MoodysData(Raw)'!$B$2:$B$180,"=EMP",'MoodysData(Raw)'!$D$2:$D$180,"="&amp;'Implied Productivity Ratios'!$C6)</f>
        <v>2544.0230685864685</v>
      </c>
      <c r="BD6" s="5">
        <f>BC6+($BC6-$AX6)/5</f>
        <v>2558.8336952670825</v>
      </c>
      <c r="BE6" s="5">
        <f t="shared" ref="BE6:BH6" si="0">BD6+($BC6-$AX6)/5</f>
        <v>2573.6443219476964</v>
      </c>
      <c r="BF6" s="5">
        <f t="shared" si="0"/>
        <v>2588.4549486283104</v>
      </c>
      <c r="BG6" s="5">
        <f t="shared" si="0"/>
        <v>2603.2655753089243</v>
      </c>
      <c r="BH6" s="5">
        <f t="shared" si="0"/>
        <v>2618.0762019895383</v>
      </c>
    </row>
    <row r="7" spans="3:60">
      <c r="C7">
        <v>212</v>
      </c>
      <c r="D7" t="s">
        <v>314</v>
      </c>
      <c r="E7">
        <f>SUMIFS('MoodysData(Raw)'!H$2:H$180,'MoodysData(Raw)'!$B$2:$B$180,"=GDP",'MoodysData(Raw)'!$D$2:$D$180,"="&amp;'Implied Productivity Ratios'!$C7)/SUMIFS('MoodysData(Raw)'!H$2:H$180,'MoodysData(Raw)'!$B$2:$B$180,"=EMP",'MoodysData(Raw)'!$D$2:$D$180,"="&amp;'Implied Productivity Ratios'!$C7)</f>
        <v>318.39644399714848</v>
      </c>
      <c r="F7">
        <f>SUMIFS('MoodysData(Raw)'!I$2:I$180,'MoodysData(Raw)'!$B$2:$B$180,"=GDP",'MoodysData(Raw)'!$D$2:$D$180,"="&amp;'Implied Productivity Ratios'!$C7)/SUMIFS('MoodysData(Raw)'!I$2:I$180,'MoodysData(Raw)'!$B$2:$B$180,"=EMP",'MoodysData(Raw)'!$D$2:$D$180,"="&amp;'Implied Productivity Ratios'!$C7)</f>
        <v>315.85528412227512</v>
      </c>
      <c r="G7">
        <f>SUMIFS('MoodysData(Raw)'!J$2:J$180,'MoodysData(Raw)'!$B$2:$B$180,"=GDP",'MoodysData(Raw)'!$D$2:$D$180,"="&amp;'Implied Productivity Ratios'!$C7)/SUMIFS('MoodysData(Raw)'!J$2:J$180,'MoodysData(Raw)'!$B$2:$B$180,"=EMP",'MoodysData(Raw)'!$D$2:$D$180,"="&amp;'Implied Productivity Ratios'!$C7)</f>
        <v>322.90688121729505</v>
      </c>
      <c r="H7">
        <f>SUMIFS('MoodysData(Raw)'!K$2:K$180,'MoodysData(Raw)'!$B$2:$B$180,"=GDP",'MoodysData(Raw)'!$D$2:$D$180,"="&amp;'Implied Productivity Ratios'!$C7)/SUMIFS('MoodysData(Raw)'!K$2:K$180,'MoodysData(Raw)'!$B$2:$B$180,"=EMP",'MoodysData(Raw)'!$D$2:$D$180,"="&amp;'Implied Productivity Ratios'!$C7)</f>
        <v>293.00169151351014</v>
      </c>
      <c r="I7">
        <f>SUMIFS('MoodysData(Raw)'!L$2:L$180,'MoodysData(Raw)'!$B$2:$B$180,"=GDP",'MoodysData(Raw)'!$D$2:$D$180,"="&amp;'Implied Productivity Ratios'!$C7)/SUMIFS('MoodysData(Raw)'!L$2:L$180,'MoodysData(Raw)'!$B$2:$B$180,"=EMP",'MoodysData(Raw)'!$D$2:$D$180,"="&amp;'Implied Productivity Ratios'!$C7)</f>
        <v>296.3293118113005</v>
      </c>
      <c r="J7">
        <f>SUMIFS('MoodysData(Raw)'!M$2:M$180,'MoodysData(Raw)'!$B$2:$B$180,"=GDP",'MoodysData(Raw)'!$D$2:$D$180,"="&amp;'Implied Productivity Ratios'!$C7)/SUMIFS('MoodysData(Raw)'!M$2:M$180,'MoodysData(Raw)'!$B$2:$B$180,"=EMP",'MoodysData(Raw)'!$D$2:$D$180,"="&amp;'Implied Productivity Ratios'!$C7)</f>
        <v>312.88205786280912</v>
      </c>
      <c r="K7">
        <f>SUMIFS('MoodysData(Raw)'!N$2:N$180,'MoodysData(Raw)'!$B$2:$B$180,"=GDP",'MoodysData(Raw)'!$D$2:$D$180,"="&amp;'Implied Productivity Ratios'!$C7)/SUMIFS('MoodysData(Raw)'!N$2:N$180,'MoodysData(Raw)'!$B$2:$B$180,"=EMP",'MoodysData(Raw)'!$D$2:$D$180,"="&amp;'Implied Productivity Ratios'!$C7)</f>
        <v>298.92832263808862</v>
      </c>
      <c r="L7">
        <f>SUMIFS('MoodysData(Raw)'!O$2:O$180,'MoodysData(Raw)'!$B$2:$B$180,"=GDP",'MoodysData(Raw)'!$D$2:$D$180,"="&amp;'Implied Productivity Ratios'!$C7)/SUMIFS('MoodysData(Raw)'!O$2:O$180,'MoodysData(Raw)'!$B$2:$B$180,"=EMP",'MoodysData(Raw)'!$D$2:$D$180,"="&amp;'Implied Productivity Ratios'!$C7)</f>
        <v>262.46182747151522</v>
      </c>
      <c r="M7">
        <f>SUMIFS('MoodysData(Raw)'!P$2:P$180,'MoodysData(Raw)'!$B$2:$B$180,"=GDP",'MoodysData(Raw)'!$D$2:$D$180,"="&amp;'Implied Productivity Ratios'!$C7)/SUMIFS('MoodysData(Raw)'!P$2:P$180,'MoodysData(Raw)'!$B$2:$B$180,"=EMP",'MoodysData(Raw)'!$D$2:$D$180,"="&amp;'Implied Productivity Ratios'!$C7)</f>
        <v>275.50088800742441</v>
      </c>
      <c r="N7">
        <f>SUMIFS('MoodysData(Raw)'!Q$2:Q$180,'MoodysData(Raw)'!$B$2:$B$180,"=GDP",'MoodysData(Raw)'!$D$2:$D$180,"="&amp;'Implied Productivity Ratios'!$C7)/SUMIFS('MoodysData(Raw)'!Q$2:Q$180,'MoodysData(Raw)'!$B$2:$B$180,"=EMP",'MoodysData(Raw)'!$D$2:$D$180,"="&amp;'Implied Productivity Ratios'!$C7)</f>
        <v>272.58679462092107</v>
      </c>
      <c r="O7">
        <f>SUMIFS('MoodysData(Raw)'!R$2:R$180,'MoodysData(Raw)'!$B$2:$B$180,"=GDP",'MoodysData(Raw)'!$D$2:$D$180,"="&amp;'Implied Productivity Ratios'!$C7)/SUMIFS('MoodysData(Raw)'!R$2:R$180,'MoodysData(Raw)'!$B$2:$B$180,"=EMP",'MoodysData(Raw)'!$D$2:$D$180,"="&amp;'Implied Productivity Ratios'!$C7)</f>
        <v>259.73215804376321</v>
      </c>
      <c r="P7">
        <f>SUMIFS('MoodysData(Raw)'!S$2:S$180,'MoodysData(Raw)'!$B$2:$B$180,"=GDP",'MoodysData(Raw)'!$D$2:$D$180,"="&amp;'Implied Productivity Ratios'!$C7)/SUMIFS('MoodysData(Raw)'!S$2:S$180,'MoodysData(Raw)'!$B$2:$B$180,"=EMP",'MoodysData(Raw)'!$D$2:$D$180,"="&amp;'Implied Productivity Ratios'!$C7)</f>
        <v>273.66372343116018</v>
      </c>
      <c r="Q7">
        <f>SUMIFS('MoodysData(Raw)'!T$2:T$180,'MoodysData(Raw)'!$B$2:$B$180,"=GDP",'MoodysData(Raw)'!$D$2:$D$180,"="&amp;'Implied Productivity Ratios'!$C7)/SUMIFS('MoodysData(Raw)'!T$2:T$180,'MoodysData(Raw)'!$B$2:$B$180,"=EMP",'MoodysData(Raw)'!$D$2:$D$180,"="&amp;'Implied Productivity Ratios'!$C7)</f>
        <v>282.32726722736282</v>
      </c>
      <c r="R7">
        <f>SUMIFS('MoodysData(Raw)'!U$2:U$180,'MoodysData(Raw)'!$B$2:$B$180,"=GDP",'MoodysData(Raw)'!$D$2:$D$180,"="&amp;'Implied Productivity Ratios'!$C7)/SUMIFS('MoodysData(Raw)'!U$2:U$180,'MoodysData(Raw)'!$B$2:$B$180,"=EMP",'MoodysData(Raw)'!$D$2:$D$180,"="&amp;'Implied Productivity Ratios'!$C7)</f>
        <v>266.10165934832679</v>
      </c>
      <c r="S7">
        <f>SUMIFS('MoodysData(Raw)'!V$2:V$180,'MoodysData(Raw)'!$B$2:$B$180,"=GDP",'MoodysData(Raw)'!$D$2:$D$180,"="&amp;'Implied Productivity Ratios'!$C7)/SUMIFS('MoodysData(Raw)'!V$2:V$180,'MoodysData(Raw)'!$B$2:$B$180,"=EMP",'MoodysData(Raw)'!$D$2:$D$180,"="&amp;'Implied Productivity Ratios'!$C7)</f>
        <v>266.63694201084689</v>
      </c>
      <c r="T7">
        <f>SUMIFS('MoodysData(Raw)'!W$2:W$180,'MoodysData(Raw)'!$B$2:$B$180,"=GDP",'MoodysData(Raw)'!$D$2:$D$180,"="&amp;'Implied Productivity Ratios'!$C7)/SUMIFS('MoodysData(Raw)'!W$2:W$180,'MoodysData(Raw)'!$B$2:$B$180,"=EMP",'MoodysData(Raw)'!$D$2:$D$180,"="&amp;'Implied Productivity Ratios'!$C7)</f>
        <v>312.73904805000143</v>
      </c>
      <c r="U7">
        <f>SUMIFS('MoodysData(Raw)'!X$2:X$180,'MoodysData(Raw)'!$B$2:$B$180,"=GDP",'MoodysData(Raw)'!$D$2:$D$180,"="&amp;'Implied Productivity Ratios'!$C7)/SUMIFS('MoodysData(Raw)'!X$2:X$180,'MoodysData(Raw)'!$B$2:$B$180,"=EMP",'MoodysData(Raw)'!$D$2:$D$180,"="&amp;'Implied Productivity Ratios'!$C7)</f>
        <v>313.12406627926134</v>
      </c>
      <c r="V7">
        <f>SUMIFS('MoodysData(Raw)'!Y$2:Y$180,'MoodysData(Raw)'!$B$2:$B$180,"=GDP",'MoodysData(Raw)'!$D$2:$D$180,"="&amp;'Implied Productivity Ratios'!$C7)/SUMIFS('MoodysData(Raw)'!Y$2:Y$180,'MoodysData(Raw)'!$B$2:$B$180,"=EMP",'MoodysData(Raw)'!$D$2:$D$180,"="&amp;'Implied Productivity Ratios'!$C7)</f>
        <v>293.43432687368153</v>
      </c>
      <c r="W7">
        <f>SUMIFS('MoodysData(Raw)'!Z$2:Z$180,'MoodysData(Raw)'!$B$2:$B$180,"=GDP",'MoodysData(Raw)'!$D$2:$D$180,"="&amp;'Implied Productivity Ratios'!$C7)/SUMIFS('MoodysData(Raw)'!Z$2:Z$180,'MoodysData(Raw)'!$B$2:$B$180,"=EMP",'MoodysData(Raw)'!$D$2:$D$180,"="&amp;'Implied Productivity Ratios'!$C7)</f>
        <v>281.50107211910796</v>
      </c>
      <c r="X7">
        <f>SUMIFS('MoodysData(Raw)'!AA$2:AA$180,'MoodysData(Raw)'!$B$2:$B$180,"=GDP",'MoodysData(Raw)'!$D$2:$D$180,"="&amp;'Implied Productivity Ratios'!$C7)/SUMIFS('MoodysData(Raw)'!AA$2:AA$180,'MoodysData(Raw)'!$B$2:$B$180,"=EMP",'MoodysData(Raw)'!$D$2:$D$180,"="&amp;'Implied Productivity Ratios'!$C7)</f>
        <v>276.5951709888343</v>
      </c>
      <c r="Y7">
        <f>SUMIFS('MoodysData(Raw)'!AB$2:AB$180,'MoodysData(Raw)'!$B$2:$B$180,"=GDP",'MoodysData(Raw)'!$D$2:$D$180,"="&amp;'Implied Productivity Ratios'!$C7)/SUMIFS('MoodysData(Raw)'!AB$2:AB$180,'MoodysData(Raw)'!$B$2:$B$180,"=EMP",'MoodysData(Raw)'!$D$2:$D$180,"="&amp;'Implied Productivity Ratios'!$C7)</f>
        <v>295.20830143744149</v>
      </c>
      <c r="Z7">
        <f>SUMIFS('MoodysData(Raw)'!AC$2:AC$180,'MoodysData(Raw)'!$B$2:$B$180,"=GDP",'MoodysData(Raw)'!$D$2:$D$180,"="&amp;'Implied Productivity Ratios'!$C7)/SUMIFS('MoodysData(Raw)'!AC$2:AC$180,'MoodysData(Raw)'!$B$2:$B$180,"=EMP",'MoodysData(Raw)'!$D$2:$D$180,"="&amp;'Implied Productivity Ratios'!$C7)</f>
        <v>298.0413547219448</v>
      </c>
      <c r="AA7">
        <f>SUMIFS('MoodysData(Raw)'!AD$2:AD$180,'MoodysData(Raw)'!$B$2:$B$180,"=GDP",'MoodysData(Raw)'!$D$2:$D$180,"="&amp;'Implied Productivity Ratios'!$C7)/SUMIFS('MoodysData(Raw)'!AD$2:AD$180,'MoodysData(Raw)'!$B$2:$B$180,"=EMP",'MoodysData(Raw)'!$D$2:$D$180,"="&amp;'Implied Productivity Ratios'!$C7)</f>
        <v>300.39727183445444</v>
      </c>
      <c r="AB7">
        <f>SUMIFS('MoodysData(Raw)'!AE$2:AE$180,'MoodysData(Raw)'!$B$2:$B$180,"=GDP",'MoodysData(Raw)'!$D$2:$D$180,"="&amp;'Implied Productivity Ratios'!$C7)/SUMIFS('MoodysData(Raw)'!AE$2:AE$180,'MoodysData(Raw)'!$B$2:$B$180,"=EMP",'MoodysData(Raw)'!$D$2:$D$180,"="&amp;'Implied Productivity Ratios'!$C7)</f>
        <v>303.58902051487343</v>
      </c>
      <c r="AC7">
        <f>SUMIFS('MoodysData(Raw)'!AF$2:AF$180,'MoodysData(Raw)'!$B$2:$B$180,"=GDP",'MoodysData(Raw)'!$D$2:$D$180,"="&amp;'Implied Productivity Ratios'!$C7)/SUMIFS('MoodysData(Raw)'!AF$2:AF$180,'MoodysData(Raw)'!$B$2:$B$180,"=EMP",'MoodysData(Raw)'!$D$2:$D$180,"="&amp;'Implied Productivity Ratios'!$C7)</f>
        <v>308.26079305606356</v>
      </c>
      <c r="AD7">
        <f>SUMIFS('MoodysData(Raw)'!AG$2:AG$180,'MoodysData(Raw)'!$B$2:$B$180,"=GDP",'MoodysData(Raw)'!$D$2:$D$180,"="&amp;'Implied Productivity Ratios'!$C7)/SUMIFS('MoodysData(Raw)'!AG$2:AG$180,'MoodysData(Raw)'!$B$2:$B$180,"=EMP",'MoodysData(Raw)'!$D$2:$D$180,"="&amp;'Implied Productivity Ratios'!$C7)</f>
        <v>311.61839728840397</v>
      </c>
      <c r="AE7">
        <f>SUMIFS('MoodysData(Raw)'!AH$2:AH$180,'MoodysData(Raw)'!$B$2:$B$180,"=GDP",'MoodysData(Raw)'!$D$2:$D$180,"="&amp;'Implied Productivity Ratios'!$C7)/SUMIFS('MoodysData(Raw)'!AH$2:AH$180,'MoodysData(Raw)'!$B$2:$B$180,"=EMP",'MoodysData(Raw)'!$D$2:$D$180,"="&amp;'Implied Productivity Ratios'!$C7)</f>
        <v>311.42250770558502</v>
      </c>
      <c r="AF7">
        <f>SUMIFS('MoodysData(Raw)'!AI$2:AI$180,'MoodysData(Raw)'!$B$2:$B$180,"=GDP",'MoodysData(Raw)'!$D$2:$D$180,"="&amp;'Implied Productivity Ratios'!$C7)/SUMIFS('MoodysData(Raw)'!AI$2:AI$180,'MoodysData(Raw)'!$B$2:$B$180,"=EMP",'MoodysData(Raw)'!$D$2:$D$180,"="&amp;'Implied Productivity Ratios'!$C7)</f>
        <v>308.91386515465132</v>
      </c>
      <c r="AG7">
        <f>SUMIFS('MoodysData(Raw)'!AJ$2:AJ$180,'MoodysData(Raw)'!$B$2:$B$180,"=GDP",'MoodysData(Raw)'!$D$2:$D$180,"="&amp;'Implied Productivity Ratios'!$C7)/SUMIFS('MoodysData(Raw)'!AJ$2:AJ$180,'MoodysData(Raw)'!$B$2:$B$180,"=EMP",'MoodysData(Raw)'!$D$2:$D$180,"="&amp;'Implied Productivity Ratios'!$C7)</f>
        <v>306.44618626870925</v>
      </c>
      <c r="AH7">
        <f>SUMIFS('MoodysData(Raw)'!AK$2:AK$180,'MoodysData(Raw)'!$B$2:$B$180,"=GDP",'MoodysData(Raw)'!$D$2:$D$180,"="&amp;'Implied Productivity Ratios'!$C7)/SUMIFS('MoodysData(Raw)'!AK$2:AK$180,'MoodysData(Raw)'!$B$2:$B$180,"=EMP",'MoodysData(Raw)'!$D$2:$D$180,"="&amp;'Implied Productivity Ratios'!$C7)</f>
        <v>303.7674132270169</v>
      </c>
      <c r="AI7">
        <f>SUMIFS('MoodysData(Raw)'!AL$2:AL$180,'MoodysData(Raw)'!$B$2:$B$180,"=GDP",'MoodysData(Raw)'!$D$2:$D$180,"="&amp;'Implied Productivity Ratios'!$C7)/SUMIFS('MoodysData(Raw)'!AL$2:AL$180,'MoodysData(Raw)'!$B$2:$B$180,"=EMP",'MoodysData(Raw)'!$D$2:$D$180,"="&amp;'Implied Productivity Ratios'!$C7)</f>
        <v>302.54751805740125</v>
      </c>
      <c r="AJ7">
        <f>SUMIFS('MoodysData(Raw)'!AM$2:AM$180,'MoodysData(Raw)'!$B$2:$B$180,"=GDP",'MoodysData(Raw)'!$D$2:$D$180,"="&amp;'Implied Productivity Ratios'!$C7)/SUMIFS('MoodysData(Raw)'!AM$2:AM$180,'MoodysData(Raw)'!$B$2:$B$180,"=EMP",'MoodysData(Raw)'!$D$2:$D$180,"="&amp;'Implied Productivity Ratios'!$C7)</f>
        <v>302.2317829112767</v>
      </c>
      <c r="AK7">
        <f>SUMIFS('MoodysData(Raw)'!AN$2:AN$180,'MoodysData(Raw)'!$B$2:$B$180,"=GDP",'MoodysData(Raw)'!$D$2:$D$180,"="&amp;'Implied Productivity Ratios'!$C7)/SUMIFS('MoodysData(Raw)'!AN$2:AN$180,'MoodysData(Raw)'!$B$2:$B$180,"=EMP",'MoodysData(Raw)'!$D$2:$D$180,"="&amp;'Implied Productivity Ratios'!$C7)</f>
        <v>301.28055963553987</v>
      </c>
      <c r="AL7">
        <f>SUMIFS('MoodysData(Raw)'!AO$2:AO$180,'MoodysData(Raw)'!$B$2:$B$180,"=GDP",'MoodysData(Raw)'!$D$2:$D$180,"="&amp;'Implied Productivity Ratios'!$C7)/SUMIFS('MoodysData(Raw)'!AO$2:AO$180,'MoodysData(Raw)'!$B$2:$B$180,"=EMP",'MoodysData(Raw)'!$D$2:$D$180,"="&amp;'Implied Productivity Ratios'!$C7)</f>
        <v>299.93315408396523</v>
      </c>
      <c r="AM7">
        <f>SUMIFS('MoodysData(Raw)'!AP$2:AP$180,'MoodysData(Raw)'!$B$2:$B$180,"=GDP",'MoodysData(Raw)'!$D$2:$D$180,"="&amp;'Implied Productivity Ratios'!$C7)/SUMIFS('MoodysData(Raw)'!AP$2:AP$180,'MoodysData(Raw)'!$B$2:$B$180,"=EMP",'MoodysData(Raw)'!$D$2:$D$180,"="&amp;'Implied Productivity Ratios'!$C7)</f>
        <v>298.12361046869199</v>
      </c>
      <c r="AN7">
        <f>SUMIFS('MoodysData(Raw)'!AQ$2:AQ$180,'MoodysData(Raw)'!$B$2:$B$180,"=GDP",'MoodysData(Raw)'!$D$2:$D$180,"="&amp;'Implied Productivity Ratios'!$C7)/SUMIFS('MoodysData(Raw)'!AQ$2:AQ$180,'MoodysData(Raw)'!$B$2:$B$180,"=EMP",'MoodysData(Raw)'!$D$2:$D$180,"="&amp;'Implied Productivity Ratios'!$C7)</f>
        <v>295.6334967421019</v>
      </c>
      <c r="AO7">
        <f>SUMIFS('MoodysData(Raw)'!AR$2:AR$180,'MoodysData(Raw)'!$B$2:$B$180,"=GDP",'MoodysData(Raw)'!$D$2:$D$180,"="&amp;'Implied Productivity Ratios'!$C7)/SUMIFS('MoodysData(Raw)'!AR$2:AR$180,'MoodysData(Raw)'!$B$2:$B$180,"=EMP",'MoodysData(Raw)'!$D$2:$D$180,"="&amp;'Implied Productivity Ratios'!$C7)</f>
        <v>293.91405162843785</v>
      </c>
      <c r="AP7">
        <f>SUMIFS('MoodysData(Raw)'!AS$2:AS$180,'MoodysData(Raw)'!$B$2:$B$180,"=GDP",'MoodysData(Raw)'!$D$2:$D$180,"="&amp;'Implied Productivity Ratios'!$C7)/SUMIFS('MoodysData(Raw)'!AS$2:AS$180,'MoodysData(Raw)'!$B$2:$B$180,"=EMP",'MoodysData(Raw)'!$D$2:$D$180,"="&amp;'Implied Productivity Ratios'!$C7)</f>
        <v>292.56905971944735</v>
      </c>
      <c r="AQ7">
        <f>SUMIFS('MoodysData(Raw)'!AT$2:AT$180,'MoodysData(Raw)'!$B$2:$B$180,"=GDP",'MoodysData(Raw)'!$D$2:$D$180,"="&amp;'Implied Productivity Ratios'!$C7)/SUMIFS('MoodysData(Raw)'!AT$2:AT$180,'MoodysData(Raw)'!$B$2:$B$180,"=EMP",'MoodysData(Raw)'!$D$2:$D$180,"="&amp;'Implied Productivity Ratios'!$C7)</f>
        <v>292.09207984546043</v>
      </c>
      <c r="AR7">
        <f>SUMIFS('MoodysData(Raw)'!AU$2:AU$180,'MoodysData(Raw)'!$B$2:$B$180,"=GDP",'MoodysData(Raw)'!$D$2:$D$180,"="&amp;'Implied Productivity Ratios'!$C7)/SUMIFS('MoodysData(Raw)'!AU$2:AU$180,'MoodysData(Raw)'!$B$2:$B$180,"=EMP",'MoodysData(Raw)'!$D$2:$D$180,"="&amp;'Implied Productivity Ratios'!$C7)</f>
        <v>293.74588163514341</v>
      </c>
      <c r="AS7">
        <f>SUMIFS('MoodysData(Raw)'!AV$2:AV$180,'MoodysData(Raw)'!$B$2:$B$180,"=GDP",'MoodysData(Raw)'!$D$2:$D$180,"="&amp;'Implied Productivity Ratios'!$C7)/SUMIFS('MoodysData(Raw)'!AV$2:AV$180,'MoodysData(Raw)'!$B$2:$B$180,"=EMP",'MoodysData(Raw)'!$D$2:$D$180,"="&amp;'Implied Productivity Ratios'!$C7)</f>
        <v>297.59832074750136</v>
      </c>
      <c r="AT7">
        <f>SUMIFS('MoodysData(Raw)'!AW$2:AW$180,'MoodysData(Raw)'!$B$2:$B$180,"=GDP",'MoodysData(Raw)'!$D$2:$D$180,"="&amp;'Implied Productivity Ratios'!$C7)/SUMIFS('MoodysData(Raw)'!AW$2:AW$180,'MoodysData(Raw)'!$B$2:$B$180,"=EMP",'MoodysData(Raw)'!$D$2:$D$180,"="&amp;'Implied Productivity Ratios'!$C7)</f>
        <v>302.53761234166018</v>
      </c>
      <c r="AU7">
        <f>SUMIFS('MoodysData(Raw)'!AX$2:AX$180,'MoodysData(Raw)'!$B$2:$B$180,"=GDP",'MoodysData(Raw)'!$D$2:$D$180,"="&amp;'Implied Productivity Ratios'!$C7)/SUMIFS('MoodysData(Raw)'!AX$2:AX$180,'MoodysData(Raw)'!$B$2:$B$180,"=EMP",'MoodysData(Raw)'!$D$2:$D$180,"="&amp;'Implied Productivity Ratios'!$C7)</f>
        <v>309.1148022571208</v>
      </c>
      <c r="AV7">
        <f>SUMIFS('MoodysData(Raw)'!AY$2:AY$180,'MoodysData(Raw)'!$B$2:$B$180,"=GDP",'MoodysData(Raw)'!$D$2:$D$180,"="&amp;'Implied Productivity Ratios'!$C7)/SUMIFS('MoodysData(Raw)'!AY$2:AY$180,'MoodysData(Raw)'!$B$2:$B$180,"=EMP",'MoodysData(Raw)'!$D$2:$D$180,"="&amp;'Implied Productivity Ratios'!$C7)</f>
        <v>315.17274215240951</v>
      </c>
      <c r="AW7">
        <f>SUMIFS('MoodysData(Raw)'!AZ$2:AZ$180,'MoodysData(Raw)'!$B$2:$B$180,"=GDP",'MoodysData(Raw)'!$D$2:$D$180,"="&amp;'Implied Productivity Ratios'!$C7)/SUMIFS('MoodysData(Raw)'!AZ$2:AZ$180,'MoodysData(Raw)'!$B$2:$B$180,"=EMP",'MoodysData(Raw)'!$D$2:$D$180,"="&amp;'Implied Productivity Ratios'!$C7)</f>
        <v>321.52542674253198</v>
      </c>
      <c r="AX7">
        <f>SUMIFS('MoodysData(Raw)'!BA$2:BA$180,'MoodysData(Raw)'!$B$2:$B$180,"=GDP",'MoodysData(Raw)'!$D$2:$D$180,"="&amp;'Implied Productivity Ratios'!$C7)/SUMIFS('MoodysData(Raw)'!BA$2:BA$180,'MoodysData(Raw)'!$B$2:$B$180,"=EMP",'MoodysData(Raw)'!$D$2:$D$180,"="&amp;'Implied Productivity Ratios'!$C7)</f>
        <v>329.46526614873579</v>
      </c>
      <c r="AY7">
        <f>SUMIFS('MoodysData(Raw)'!BB$2:BB$180,'MoodysData(Raw)'!$B$2:$B$180,"=GDP",'MoodysData(Raw)'!$D$2:$D$180,"="&amp;'Implied Productivity Ratios'!$C7)/SUMIFS('MoodysData(Raw)'!BB$2:BB$180,'MoodysData(Raw)'!$B$2:$B$180,"=EMP",'MoodysData(Raw)'!$D$2:$D$180,"="&amp;'Implied Productivity Ratios'!$C7)</f>
        <v>336.67266769935827</v>
      </c>
      <c r="AZ7">
        <f>SUMIFS('MoodysData(Raw)'!BC$2:BC$180,'MoodysData(Raw)'!$B$2:$B$180,"=GDP",'MoodysData(Raw)'!$D$2:$D$180,"="&amp;'Implied Productivity Ratios'!$C7)/SUMIFS('MoodysData(Raw)'!BC$2:BC$180,'MoodysData(Raw)'!$B$2:$B$180,"=EMP",'MoodysData(Raw)'!$D$2:$D$180,"="&amp;'Implied Productivity Ratios'!$C7)</f>
        <v>342.47062301819011</v>
      </c>
      <c r="BA7">
        <f>SUMIFS('MoodysData(Raw)'!BD$2:BD$180,'MoodysData(Raw)'!$B$2:$B$180,"=GDP",'MoodysData(Raw)'!$D$2:$D$180,"="&amp;'Implied Productivity Ratios'!$C7)/SUMIFS('MoodysData(Raw)'!BD$2:BD$180,'MoodysData(Raw)'!$B$2:$B$180,"=EMP",'MoodysData(Raw)'!$D$2:$D$180,"="&amp;'Implied Productivity Ratios'!$C7)</f>
        <v>347.69453120823562</v>
      </c>
      <c r="BB7">
        <f>SUMIFS('MoodysData(Raw)'!BE$2:BE$180,'MoodysData(Raw)'!$B$2:$B$180,"=GDP",'MoodysData(Raw)'!$D$2:$D$180,"="&amp;'Implied Productivity Ratios'!$C7)/SUMIFS('MoodysData(Raw)'!BE$2:BE$180,'MoodysData(Raw)'!$B$2:$B$180,"=EMP",'MoodysData(Raw)'!$D$2:$D$180,"="&amp;'Implied Productivity Ratios'!$C7)</f>
        <v>352.80511615436779</v>
      </c>
      <c r="BC7">
        <f>SUMIFS('MoodysData(Raw)'!BF$2:BF$180,'MoodysData(Raw)'!$B$2:$B$180,"=GDP",'MoodysData(Raw)'!$D$2:$D$180,"="&amp;'Implied Productivity Ratios'!$C7)/SUMIFS('MoodysData(Raw)'!BF$2:BF$180,'MoodysData(Raw)'!$B$2:$B$180,"=EMP",'MoodysData(Raw)'!$D$2:$D$180,"="&amp;'Implied Productivity Ratios'!$C7)</f>
        <v>357.94876533661164</v>
      </c>
      <c r="BD7" s="5">
        <f t="shared" ref="BD7:BH7" si="1">BC7+($BC7-$AX7)/5</f>
        <v>363.64546517418682</v>
      </c>
      <c r="BE7" s="5">
        <f t="shared" si="1"/>
        <v>369.34216501176201</v>
      </c>
      <c r="BF7" s="5">
        <f t="shared" si="1"/>
        <v>375.03886484933719</v>
      </c>
      <c r="BG7" s="5">
        <f t="shared" si="1"/>
        <v>380.73556468691237</v>
      </c>
      <c r="BH7" s="5">
        <f t="shared" si="1"/>
        <v>386.43226452448755</v>
      </c>
    </row>
    <row r="8" spans="3:60">
      <c r="C8">
        <v>213</v>
      </c>
      <c r="D8" t="s">
        <v>318</v>
      </c>
      <c r="E8">
        <f>SUMIFS('MoodysData(Raw)'!H$2:H$180,'MoodysData(Raw)'!$B$2:$B$180,"=GDP",'MoodysData(Raw)'!$D$2:$D$180,"="&amp;'Implied Productivity Ratios'!$C8)/SUMIFS('MoodysData(Raw)'!H$2:H$180,'MoodysData(Raw)'!$B$2:$B$180,"=EMP",'MoodysData(Raw)'!$D$2:$D$180,"="&amp;'Implied Productivity Ratios'!$C8)</f>
        <v>149.74446714107066</v>
      </c>
      <c r="F8">
        <f>SUMIFS('MoodysData(Raw)'!I$2:I$180,'MoodysData(Raw)'!$B$2:$B$180,"=GDP",'MoodysData(Raw)'!$D$2:$D$180,"="&amp;'Implied Productivity Ratios'!$C8)/SUMIFS('MoodysData(Raw)'!I$2:I$180,'MoodysData(Raw)'!$B$2:$B$180,"=EMP",'MoodysData(Raw)'!$D$2:$D$180,"="&amp;'Implied Productivity Ratios'!$C8)</f>
        <v>186.41183042054038</v>
      </c>
      <c r="G8">
        <f>SUMIFS('MoodysData(Raw)'!J$2:J$180,'MoodysData(Raw)'!$B$2:$B$180,"=GDP",'MoodysData(Raw)'!$D$2:$D$180,"="&amp;'Implied Productivity Ratios'!$C8)/SUMIFS('MoodysData(Raw)'!J$2:J$180,'MoodysData(Raw)'!$B$2:$B$180,"=EMP",'MoodysData(Raw)'!$D$2:$D$180,"="&amp;'Implied Productivity Ratios'!$C8)</f>
        <v>188.43796997538306</v>
      </c>
      <c r="H8">
        <f>SUMIFS('MoodysData(Raw)'!K$2:K$180,'MoodysData(Raw)'!$B$2:$B$180,"=GDP",'MoodysData(Raw)'!$D$2:$D$180,"="&amp;'Implied Productivity Ratios'!$C8)/SUMIFS('MoodysData(Raw)'!K$2:K$180,'MoodysData(Raw)'!$B$2:$B$180,"=EMP",'MoodysData(Raw)'!$D$2:$D$180,"="&amp;'Implied Productivity Ratios'!$C8)</f>
        <v>188.56079680651689</v>
      </c>
      <c r="I8">
        <f>SUMIFS('MoodysData(Raw)'!L$2:L$180,'MoodysData(Raw)'!$B$2:$B$180,"=GDP",'MoodysData(Raw)'!$D$2:$D$180,"="&amp;'Implied Productivity Ratios'!$C8)/SUMIFS('MoodysData(Raw)'!L$2:L$180,'MoodysData(Raw)'!$B$2:$B$180,"=EMP",'MoodysData(Raw)'!$D$2:$D$180,"="&amp;'Implied Productivity Ratios'!$C8)</f>
        <v>168.89466255724861</v>
      </c>
      <c r="J8">
        <f>SUMIFS('MoodysData(Raw)'!M$2:M$180,'MoodysData(Raw)'!$B$2:$B$180,"=GDP",'MoodysData(Raw)'!$D$2:$D$180,"="&amp;'Implied Productivity Ratios'!$C8)/SUMIFS('MoodysData(Raw)'!M$2:M$180,'MoodysData(Raw)'!$B$2:$B$180,"=EMP",'MoodysData(Raw)'!$D$2:$D$180,"="&amp;'Implied Productivity Ratios'!$C8)</f>
        <v>180.91089839506427</v>
      </c>
      <c r="K8">
        <f>SUMIFS('MoodysData(Raw)'!N$2:N$180,'MoodysData(Raw)'!$B$2:$B$180,"=GDP",'MoodysData(Raw)'!$D$2:$D$180,"="&amp;'Implied Productivity Ratios'!$C8)/SUMIFS('MoodysData(Raw)'!N$2:N$180,'MoodysData(Raw)'!$B$2:$B$180,"=EMP",'MoodysData(Raw)'!$D$2:$D$180,"="&amp;'Implied Productivity Ratios'!$C8)</f>
        <v>188.93186619667978</v>
      </c>
      <c r="L8">
        <f>SUMIFS('MoodysData(Raw)'!O$2:O$180,'MoodysData(Raw)'!$B$2:$B$180,"=GDP",'MoodysData(Raw)'!$D$2:$D$180,"="&amp;'Implied Productivity Ratios'!$C8)/SUMIFS('MoodysData(Raw)'!O$2:O$180,'MoodysData(Raw)'!$B$2:$B$180,"=EMP",'MoodysData(Raw)'!$D$2:$D$180,"="&amp;'Implied Productivity Ratios'!$C8)</f>
        <v>174.63497710328122</v>
      </c>
      <c r="M8">
        <f>SUMIFS('MoodysData(Raw)'!P$2:P$180,'MoodysData(Raw)'!$B$2:$B$180,"=GDP",'MoodysData(Raw)'!$D$2:$D$180,"="&amp;'Implied Productivity Ratios'!$C8)/SUMIFS('MoodysData(Raw)'!P$2:P$180,'MoodysData(Raw)'!$B$2:$B$180,"=EMP",'MoodysData(Raw)'!$D$2:$D$180,"="&amp;'Implied Productivity Ratios'!$C8)</f>
        <v>182.17207767662703</v>
      </c>
      <c r="N8">
        <f>SUMIFS('MoodysData(Raw)'!Q$2:Q$180,'MoodysData(Raw)'!$B$2:$B$180,"=GDP",'MoodysData(Raw)'!$D$2:$D$180,"="&amp;'Implied Productivity Ratios'!$C8)/SUMIFS('MoodysData(Raw)'!Q$2:Q$180,'MoodysData(Raw)'!$B$2:$B$180,"=EMP",'MoodysData(Raw)'!$D$2:$D$180,"="&amp;'Implied Productivity Ratios'!$C8)</f>
        <v>201.9086659991649</v>
      </c>
      <c r="O8">
        <f>SUMIFS('MoodysData(Raw)'!R$2:R$180,'MoodysData(Raw)'!$B$2:$B$180,"=GDP",'MoodysData(Raw)'!$D$2:$D$180,"="&amp;'Implied Productivity Ratios'!$C8)/SUMIFS('MoodysData(Raw)'!R$2:R$180,'MoodysData(Raw)'!$B$2:$B$180,"=EMP",'MoodysData(Raw)'!$D$2:$D$180,"="&amp;'Implied Productivity Ratios'!$C8)</f>
        <v>164.97131380334667</v>
      </c>
      <c r="P8">
        <f>SUMIFS('MoodysData(Raw)'!S$2:S$180,'MoodysData(Raw)'!$B$2:$B$180,"=GDP",'MoodysData(Raw)'!$D$2:$D$180,"="&amp;'Implied Productivity Ratios'!$C8)/SUMIFS('MoodysData(Raw)'!S$2:S$180,'MoodysData(Raw)'!$B$2:$B$180,"=EMP",'MoodysData(Raw)'!$D$2:$D$180,"="&amp;'Implied Productivity Ratios'!$C8)</f>
        <v>137.63266815322913</v>
      </c>
      <c r="Q8">
        <f>SUMIFS('MoodysData(Raw)'!T$2:T$180,'MoodysData(Raw)'!$B$2:$B$180,"=GDP",'MoodysData(Raw)'!$D$2:$D$180,"="&amp;'Implied Productivity Ratios'!$C8)/SUMIFS('MoodysData(Raw)'!T$2:T$180,'MoodysData(Raw)'!$B$2:$B$180,"=EMP",'MoodysData(Raw)'!$D$2:$D$180,"="&amp;'Implied Productivity Ratios'!$C8)</f>
        <v>182.00911631486221</v>
      </c>
      <c r="R8">
        <f>SUMIFS('MoodysData(Raw)'!U$2:U$180,'MoodysData(Raw)'!$B$2:$B$180,"=GDP",'MoodysData(Raw)'!$D$2:$D$180,"="&amp;'Implied Productivity Ratios'!$C8)/SUMIFS('MoodysData(Raw)'!U$2:U$180,'MoodysData(Raw)'!$B$2:$B$180,"=EMP",'MoodysData(Raw)'!$D$2:$D$180,"="&amp;'Implied Productivity Ratios'!$C8)</f>
        <v>226.92077885561648</v>
      </c>
      <c r="S8">
        <f>SUMIFS('MoodysData(Raw)'!V$2:V$180,'MoodysData(Raw)'!$B$2:$B$180,"=GDP",'MoodysData(Raw)'!$D$2:$D$180,"="&amp;'Implied Productivity Ratios'!$C8)/SUMIFS('MoodysData(Raw)'!V$2:V$180,'MoodysData(Raw)'!$B$2:$B$180,"=EMP",'MoodysData(Raw)'!$D$2:$D$180,"="&amp;'Implied Productivity Ratios'!$C8)</f>
        <v>207.14588454691872</v>
      </c>
      <c r="T8">
        <f>SUMIFS('MoodysData(Raw)'!W$2:W$180,'MoodysData(Raw)'!$B$2:$B$180,"=GDP",'MoodysData(Raw)'!$D$2:$D$180,"="&amp;'Implied Productivity Ratios'!$C8)/SUMIFS('MoodysData(Raw)'!W$2:W$180,'MoodysData(Raw)'!$B$2:$B$180,"=EMP",'MoodysData(Raw)'!$D$2:$D$180,"="&amp;'Implied Productivity Ratios'!$C8)</f>
        <v>196.7951434193248</v>
      </c>
      <c r="U8">
        <f>SUMIFS('MoodysData(Raw)'!X$2:X$180,'MoodysData(Raw)'!$B$2:$B$180,"=GDP",'MoodysData(Raw)'!$D$2:$D$180,"="&amp;'Implied Productivity Ratios'!$C8)/SUMIFS('MoodysData(Raw)'!X$2:X$180,'MoodysData(Raw)'!$B$2:$B$180,"=EMP",'MoodysData(Raw)'!$D$2:$D$180,"="&amp;'Implied Productivity Ratios'!$C8)</f>
        <v>270.89183538488174</v>
      </c>
      <c r="V8">
        <f>SUMIFS('MoodysData(Raw)'!Y$2:Y$180,'MoodysData(Raw)'!$B$2:$B$180,"=GDP",'MoodysData(Raw)'!$D$2:$D$180,"="&amp;'Implied Productivity Ratios'!$C8)/SUMIFS('MoodysData(Raw)'!Y$2:Y$180,'MoodysData(Raw)'!$B$2:$B$180,"=EMP",'MoodysData(Raw)'!$D$2:$D$180,"="&amp;'Implied Productivity Ratios'!$C8)</f>
        <v>310.98296513381223</v>
      </c>
      <c r="W8">
        <f>SUMIFS('MoodysData(Raw)'!Z$2:Z$180,'MoodysData(Raw)'!$B$2:$B$180,"=GDP",'MoodysData(Raw)'!$D$2:$D$180,"="&amp;'Implied Productivity Ratios'!$C8)/SUMIFS('MoodysData(Raw)'!Z$2:Z$180,'MoodysData(Raw)'!$B$2:$B$180,"=EMP",'MoodysData(Raw)'!$D$2:$D$180,"="&amp;'Implied Productivity Ratios'!$C8)</f>
        <v>310.48337633963729</v>
      </c>
      <c r="X8">
        <f>SUMIFS('MoodysData(Raw)'!AA$2:AA$180,'MoodysData(Raw)'!$B$2:$B$180,"=GDP",'MoodysData(Raw)'!$D$2:$D$180,"="&amp;'Implied Productivity Ratios'!$C8)/SUMIFS('MoodysData(Raw)'!AA$2:AA$180,'MoodysData(Raw)'!$B$2:$B$180,"=EMP",'MoodysData(Raw)'!$D$2:$D$180,"="&amp;'Implied Productivity Ratios'!$C8)</f>
        <v>312.74580707778512</v>
      </c>
      <c r="Y8">
        <f>SUMIFS('MoodysData(Raw)'!AB$2:AB$180,'MoodysData(Raw)'!$B$2:$B$180,"=GDP",'MoodysData(Raw)'!$D$2:$D$180,"="&amp;'Implied Productivity Ratios'!$C8)/SUMIFS('MoodysData(Raw)'!AB$2:AB$180,'MoodysData(Raw)'!$B$2:$B$180,"=EMP",'MoodysData(Raw)'!$D$2:$D$180,"="&amp;'Implied Productivity Ratios'!$C8)</f>
        <v>310.34523517264284</v>
      </c>
      <c r="Z8">
        <f>SUMIFS('MoodysData(Raw)'!AC$2:AC$180,'MoodysData(Raw)'!$B$2:$B$180,"=GDP",'MoodysData(Raw)'!$D$2:$D$180,"="&amp;'Implied Productivity Ratios'!$C8)/SUMIFS('MoodysData(Raw)'!AC$2:AC$180,'MoodysData(Raw)'!$B$2:$B$180,"=EMP",'MoodysData(Raw)'!$D$2:$D$180,"="&amp;'Implied Productivity Ratios'!$C8)</f>
        <v>296.00971206046262</v>
      </c>
      <c r="AA8">
        <f>SUMIFS('MoodysData(Raw)'!AD$2:AD$180,'MoodysData(Raw)'!$B$2:$B$180,"=GDP",'MoodysData(Raw)'!$D$2:$D$180,"="&amp;'Implied Productivity Ratios'!$C8)/SUMIFS('MoodysData(Raw)'!AD$2:AD$180,'MoodysData(Raw)'!$B$2:$B$180,"=EMP",'MoodysData(Raw)'!$D$2:$D$180,"="&amp;'Implied Productivity Ratios'!$C8)</f>
        <v>290.21056241675529</v>
      </c>
      <c r="AB8">
        <f>SUMIFS('MoodysData(Raw)'!AE$2:AE$180,'MoodysData(Raw)'!$B$2:$B$180,"=GDP",'MoodysData(Raw)'!$D$2:$D$180,"="&amp;'Implied Productivity Ratios'!$C8)/SUMIFS('MoodysData(Raw)'!AE$2:AE$180,'MoodysData(Raw)'!$B$2:$B$180,"=EMP",'MoodysData(Raw)'!$D$2:$D$180,"="&amp;'Implied Productivity Ratios'!$C8)</f>
        <v>294.96462509715354</v>
      </c>
      <c r="AC8">
        <f>SUMIFS('MoodysData(Raw)'!AF$2:AF$180,'MoodysData(Raw)'!$B$2:$B$180,"=GDP",'MoodysData(Raw)'!$D$2:$D$180,"="&amp;'Implied Productivity Ratios'!$C8)/SUMIFS('MoodysData(Raw)'!AF$2:AF$180,'MoodysData(Raw)'!$B$2:$B$180,"=EMP",'MoodysData(Raw)'!$D$2:$D$180,"="&amp;'Implied Productivity Ratios'!$C8)</f>
        <v>301.12889735246267</v>
      </c>
      <c r="AD8">
        <f>SUMIFS('MoodysData(Raw)'!AG$2:AG$180,'MoodysData(Raw)'!$B$2:$B$180,"=GDP",'MoodysData(Raw)'!$D$2:$D$180,"="&amp;'Implied Productivity Ratios'!$C8)/SUMIFS('MoodysData(Raw)'!AG$2:AG$180,'MoodysData(Raw)'!$B$2:$B$180,"=EMP",'MoodysData(Raw)'!$D$2:$D$180,"="&amp;'Implied Productivity Ratios'!$C8)</f>
        <v>310.82758710755888</v>
      </c>
      <c r="AE8">
        <f>SUMIFS('MoodysData(Raw)'!AH$2:AH$180,'MoodysData(Raw)'!$B$2:$B$180,"=GDP",'MoodysData(Raw)'!$D$2:$D$180,"="&amp;'Implied Productivity Ratios'!$C8)/SUMIFS('MoodysData(Raw)'!AH$2:AH$180,'MoodysData(Raw)'!$B$2:$B$180,"=EMP",'MoodysData(Raw)'!$D$2:$D$180,"="&amp;'Implied Productivity Ratios'!$C8)</f>
        <v>323.61530964893211</v>
      </c>
      <c r="AF8">
        <f>SUMIFS('MoodysData(Raw)'!AI$2:AI$180,'MoodysData(Raw)'!$B$2:$B$180,"=GDP",'MoodysData(Raw)'!$D$2:$D$180,"="&amp;'Implied Productivity Ratios'!$C8)/SUMIFS('MoodysData(Raw)'!AI$2:AI$180,'MoodysData(Raw)'!$B$2:$B$180,"=EMP",'MoodysData(Raw)'!$D$2:$D$180,"="&amp;'Implied Productivity Ratios'!$C8)</f>
        <v>340.17576374898522</v>
      </c>
      <c r="AG8">
        <f>SUMIFS('MoodysData(Raw)'!AJ$2:AJ$180,'MoodysData(Raw)'!$B$2:$B$180,"=GDP",'MoodysData(Raw)'!$D$2:$D$180,"="&amp;'Implied Productivity Ratios'!$C8)/SUMIFS('MoodysData(Raw)'!AJ$2:AJ$180,'MoodysData(Raw)'!$B$2:$B$180,"=EMP",'MoodysData(Raw)'!$D$2:$D$180,"="&amp;'Implied Productivity Ratios'!$C8)</f>
        <v>355.27648487091278</v>
      </c>
      <c r="AH8">
        <f>SUMIFS('MoodysData(Raw)'!AK$2:AK$180,'MoodysData(Raw)'!$B$2:$B$180,"=GDP",'MoodysData(Raw)'!$D$2:$D$180,"="&amp;'Implied Productivity Ratios'!$C8)/SUMIFS('MoodysData(Raw)'!AK$2:AK$180,'MoodysData(Raw)'!$B$2:$B$180,"=EMP",'MoodysData(Raw)'!$D$2:$D$180,"="&amp;'Implied Productivity Ratios'!$C8)</f>
        <v>367.30761483058092</v>
      </c>
      <c r="AI8">
        <f>SUMIFS('MoodysData(Raw)'!AL$2:AL$180,'MoodysData(Raw)'!$B$2:$B$180,"=GDP",'MoodysData(Raw)'!$D$2:$D$180,"="&amp;'Implied Productivity Ratios'!$C8)/SUMIFS('MoodysData(Raw)'!AL$2:AL$180,'MoodysData(Raw)'!$B$2:$B$180,"=EMP",'MoodysData(Raw)'!$D$2:$D$180,"="&amp;'Implied Productivity Ratios'!$C8)</f>
        <v>377.67073868545867</v>
      </c>
      <c r="AJ8">
        <f>SUMIFS('MoodysData(Raw)'!AM$2:AM$180,'MoodysData(Raw)'!$B$2:$B$180,"=GDP",'MoodysData(Raw)'!$D$2:$D$180,"="&amp;'Implied Productivity Ratios'!$C8)/SUMIFS('MoodysData(Raw)'!AM$2:AM$180,'MoodysData(Raw)'!$B$2:$B$180,"=EMP",'MoodysData(Raw)'!$D$2:$D$180,"="&amp;'Implied Productivity Ratios'!$C8)</f>
        <v>386.85845513107449</v>
      </c>
      <c r="AK8">
        <f>SUMIFS('MoodysData(Raw)'!AN$2:AN$180,'MoodysData(Raw)'!$B$2:$B$180,"=GDP",'MoodysData(Raw)'!$D$2:$D$180,"="&amp;'Implied Productivity Ratios'!$C8)/SUMIFS('MoodysData(Raw)'!AN$2:AN$180,'MoodysData(Raw)'!$B$2:$B$180,"=EMP",'MoodysData(Raw)'!$D$2:$D$180,"="&amp;'Implied Productivity Ratios'!$C8)</f>
        <v>394.84808098980528</v>
      </c>
      <c r="AL8">
        <f>SUMIFS('MoodysData(Raw)'!AO$2:AO$180,'MoodysData(Raw)'!$B$2:$B$180,"=GDP",'MoodysData(Raw)'!$D$2:$D$180,"="&amp;'Implied Productivity Ratios'!$C8)/SUMIFS('MoodysData(Raw)'!AO$2:AO$180,'MoodysData(Raw)'!$B$2:$B$180,"=EMP",'MoodysData(Raw)'!$D$2:$D$180,"="&amp;'Implied Productivity Ratios'!$C8)</f>
        <v>402.31343762277794</v>
      </c>
      <c r="AM8">
        <f>SUMIFS('MoodysData(Raw)'!AP$2:AP$180,'MoodysData(Raw)'!$B$2:$B$180,"=GDP",'MoodysData(Raw)'!$D$2:$D$180,"="&amp;'Implied Productivity Ratios'!$C8)/SUMIFS('MoodysData(Raw)'!AP$2:AP$180,'MoodysData(Raw)'!$B$2:$B$180,"=EMP",'MoodysData(Raw)'!$D$2:$D$180,"="&amp;'Implied Productivity Ratios'!$C8)</f>
        <v>406.75695023150502</v>
      </c>
      <c r="AN8">
        <f>SUMIFS('MoodysData(Raw)'!AQ$2:AQ$180,'MoodysData(Raw)'!$B$2:$B$180,"=GDP",'MoodysData(Raw)'!$D$2:$D$180,"="&amp;'Implied Productivity Ratios'!$C8)/SUMIFS('MoodysData(Raw)'!AQ$2:AQ$180,'MoodysData(Raw)'!$B$2:$B$180,"=EMP",'MoodysData(Raw)'!$D$2:$D$180,"="&amp;'Implied Productivity Ratios'!$C8)</f>
        <v>410.02723485004748</v>
      </c>
      <c r="AO8">
        <f>SUMIFS('MoodysData(Raw)'!AR$2:AR$180,'MoodysData(Raw)'!$B$2:$B$180,"=GDP",'MoodysData(Raw)'!$D$2:$D$180,"="&amp;'Implied Productivity Ratios'!$C8)/SUMIFS('MoodysData(Raw)'!AR$2:AR$180,'MoodysData(Raw)'!$B$2:$B$180,"=EMP",'MoodysData(Raw)'!$D$2:$D$180,"="&amp;'Implied Productivity Ratios'!$C8)</f>
        <v>413.67009643335024</v>
      </c>
      <c r="AP8">
        <f>SUMIFS('MoodysData(Raw)'!AS$2:AS$180,'MoodysData(Raw)'!$B$2:$B$180,"=GDP",'MoodysData(Raw)'!$D$2:$D$180,"="&amp;'Implied Productivity Ratios'!$C8)/SUMIFS('MoodysData(Raw)'!AS$2:AS$180,'MoodysData(Raw)'!$B$2:$B$180,"=EMP",'MoodysData(Raw)'!$D$2:$D$180,"="&amp;'Implied Productivity Ratios'!$C8)</f>
        <v>415.64817962823753</v>
      </c>
      <c r="AQ8">
        <f>SUMIFS('MoodysData(Raw)'!AT$2:AT$180,'MoodysData(Raw)'!$B$2:$B$180,"=GDP",'MoodysData(Raw)'!$D$2:$D$180,"="&amp;'Implied Productivity Ratios'!$C8)/SUMIFS('MoodysData(Raw)'!AT$2:AT$180,'MoodysData(Raw)'!$B$2:$B$180,"=EMP",'MoodysData(Raw)'!$D$2:$D$180,"="&amp;'Implied Productivity Ratios'!$C8)</f>
        <v>416.32642798888753</v>
      </c>
      <c r="AR8">
        <f>SUMIFS('MoodysData(Raw)'!AU$2:AU$180,'MoodysData(Raw)'!$B$2:$B$180,"=GDP",'MoodysData(Raw)'!$D$2:$D$180,"="&amp;'Implied Productivity Ratios'!$C8)/SUMIFS('MoodysData(Raw)'!AU$2:AU$180,'MoodysData(Raw)'!$B$2:$B$180,"=EMP",'MoodysData(Raw)'!$D$2:$D$180,"="&amp;'Implied Productivity Ratios'!$C8)</f>
        <v>417.19623343927435</v>
      </c>
      <c r="AS8">
        <f>SUMIFS('MoodysData(Raw)'!AV$2:AV$180,'MoodysData(Raw)'!$B$2:$B$180,"=GDP",'MoodysData(Raw)'!$D$2:$D$180,"="&amp;'Implied Productivity Ratios'!$C8)/SUMIFS('MoodysData(Raw)'!AV$2:AV$180,'MoodysData(Raw)'!$B$2:$B$180,"=EMP",'MoodysData(Raw)'!$D$2:$D$180,"="&amp;'Implied Productivity Ratios'!$C8)</f>
        <v>419.89584574355968</v>
      </c>
      <c r="AT8">
        <f>SUMIFS('MoodysData(Raw)'!AW$2:AW$180,'MoodysData(Raw)'!$B$2:$B$180,"=GDP",'MoodysData(Raw)'!$D$2:$D$180,"="&amp;'Implied Productivity Ratios'!$C8)/SUMIFS('MoodysData(Raw)'!AW$2:AW$180,'MoodysData(Raw)'!$B$2:$B$180,"=EMP",'MoodysData(Raw)'!$D$2:$D$180,"="&amp;'Implied Productivity Ratios'!$C8)</f>
        <v>423.47695263088337</v>
      </c>
      <c r="AU8">
        <f>SUMIFS('MoodysData(Raw)'!AX$2:AX$180,'MoodysData(Raw)'!$B$2:$B$180,"=GDP",'MoodysData(Raw)'!$D$2:$D$180,"="&amp;'Implied Productivity Ratios'!$C8)/SUMIFS('MoodysData(Raw)'!AX$2:AX$180,'MoodysData(Raw)'!$B$2:$B$180,"=EMP",'MoodysData(Raw)'!$D$2:$D$180,"="&amp;'Implied Productivity Ratios'!$C8)</f>
        <v>427.26242692198832</v>
      </c>
      <c r="AV8">
        <f>SUMIFS('MoodysData(Raw)'!AY$2:AY$180,'MoodysData(Raw)'!$B$2:$B$180,"=GDP",'MoodysData(Raw)'!$D$2:$D$180,"="&amp;'Implied Productivity Ratios'!$C8)/SUMIFS('MoodysData(Raw)'!AY$2:AY$180,'MoodysData(Raw)'!$B$2:$B$180,"=EMP",'MoodysData(Raw)'!$D$2:$D$180,"="&amp;'Implied Productivity Ratios'!$C8)</f>
        <v>430.13659770439273</v>
      </c>
      <c r="AW8">
        <f>SUMIFS('MoodysData(Raw)'!AZ$2:AZ$180,'MoodysData(Raw)'!$B$2:$B$180,"=GDP",'MoodysData(Raw)'!$D$2:$D$180,"="&amp;'Implied Productivity Ratios'!$C8)/SUMIFS('MoodysData(Raw)'!AZ$2:AZ$180,'MoodysData(Raw)'!$B$2:$B$180,"=EMP",'MoodysData(Raw)'!$D$2:$D$180,"="&amp;'Implied Productivity Ratios'!$C8)</f>
        <v>434.71913149452109</v>
      </c>
      <c r="AX8">
        <f>SUMIFS('MoodysData(Raw)'!BA$2:BA$180,'MoodysData(Raw)'!$B$2:$B$180,"=GDP",'MoodysData(Raw)'!$D$2:$D$180,"="&amp;'Implied Productivity Ratios'!$C8)/SUMIFS('MoodysData(Raw)'!BA$2:BA$180,'MoodysData(Raw)'!$B$2:$B$180,"=EMP",'MoodysData(Raw)'!$D$2:$D$180,"="&amp;'Implied Productivity Ratios'!$C8)</f>
        <v>440.44182680363377</v>
      </c>
      <c r="AY8">
        <f>SUMIFS('MoodysData(Raw)'!BB$2:BB$180,'MoodysData(Raw)'!$B$2:$B$180,"=GDP",'MoodysData(Raw)'!$D$2:$D$180,"="&amp;'Implied Productivity Ratios'!$C8)/SUMIFS('MoodysData(Raw)'!BB$2:BB$180,'MoodysData(Raw)'!$B$2:$B$180,"=EMP",'MoodysData(Raw)'!$D$2:$D$180,"="&amp;'Implied Productivity Ratios'!$C8)</f>
        <v>445.73073290148051</v>
      </c>
      <c r="AZ8">
        <f>SUMIFS('MoodysData(Raw)'!BC$2:BC$180,'MoodysData(Raw)'!$B$2:$B$180,"=GDP",'MoodysData(Raw)'!$D$2:$D$180,"="&amp;'Implied Productivity Ratios'!$C8)/SUMIFS('MoodysData(Raw)'!BC$2:BC$180,'MoodysData(Raw)'!$B$2:$B$180,"=EMP",'MoodysData(Raw)'!$D$2:$D$180,"="&amp;'Implied Productivity Ratios'!$C8)</f>
        <v>450.86643902663735</v>
      </c>
      <c r="BA8">
        <f>SUMIFS('MoodysData(Raw)'!BD$2:BD$180,'MoodysData(Raw)'!$B$2:$B$180,"=GDP",'MoodysData(Raw)'!$D$2:$D$180,"="&amp;'Implied Productivity Ratios'!$C8)/SUMIFS('MoodysData(Raw)'!BD$2:BD$180,'MoodysData(Raw)'!$B$2:$B$180,"=EMP",'MoodysData(Raw)'!$D$2:$D$180,"="&amp;'Implied Productivity Ratios'!$C8)</f>
        <v>456.61444763398532</v>
      </c>
      <c r="BB8">
        <f>SUMIFS('MoodysData(Raw)'!BE$2:BE$180,'MoodysData(Raw)'!$B$2:$B$180,"=GDP",'MoodysData(Raw)'!$D$2:$D$180,"="&amp;'Implied Productivity Ratios'!$C8)/SUMIFS('MoodysData(Raw)'!BE$2:BE$180,'MoodysData(Raw)'!$B$2:$B$180,"=EMP",'MoodysData(Raw)'!$D$2:$D$180,"="&amp;'Implied Productivity Ratios'!$C8)</f>
        <v>462.49929490997948</v>
      </c>
      <c r="BC8">
        <f>SUMIFS('MoodysData(Raw)'!BF$2:BF$180,'MoodysData(Raw)'!$B$2:$B$180,"=GDP",'MoodysData(Raw)'!$D$2:$D$180,"="&amp;'Implied Productivity Ratios'!$C8)/SUMIFS('MoodysData(Raw)'!BF$2:BF$180,'MoodysData(Raw)'!$B$2:$B$180,"=EMP",'MoodysData(Raw)'!$D$2:$D$180,"="&amp;'Implied Productivity Ratios'!$C8)</f>
        <v>468.34898508040112</v>
      </c>
      <c r="BD8" s="5">
        <f t="shared" ref="BD8:BH8" si="2">BC8+($BC8-$AX8)/5</f>
        <v>473.93041673575459</v>
      </c>
      <c r="BE8" s="5">
        <f t="shared" si="2"/>
        <v>479.51184839110806</v>
      </c>
      <c r="BF8" s="5">
        <f t="shared" si="2"/>
        <v>485.09328004646153</v>
      </c>
      <c r="BG8" s="5">
        <f t="shared" si="2"/>
        <v>490.674711701815</v>
      </c>
      <c r="BH8" s="5">
        <f t="shared" si="2"/>
        <v>496.25614335716847</v>
      </c>
    </row>
    <row r="9" spans="3:60">
      <c r="C9">
        <v>221</v>
      </c>
      <c r="D9" t="s">
        <v>552</v>
      </c>
      <c r="E9">
        <f>SUMIFS('MoodysData(Raw)'!H$2:H$180,'MoodysData(Raw)'!$B$2:$B$180,"=GDP",'MoodysData(Raw)'!$D$2:$D$180,"="&amp;'Implied Productivity Ratios'!$C9)/SUMIFS('MoodysData(Raw)'!H$2:H$180,'MoodysData(Raw)'!$B$2:$B$180,"=EMP",'MoodysData(Raw)'!$D$2:$D$180,"="&amp;'Implied Productivity Ratios'!$C9)</f>
        <v>873.90934353787986</v>
      </c>
      <c r="F9">
        <f>SUMIFS('MoodysData(Raw)'!I$2:I$180,'MoodysData(Raw)'!$B$2:$B$180,"=GDP",'MoodysData(Raw)'!$D$2:$D$180,"="&amp;'Implied Productivity Ratios'!$C9)/SUMIFS('MoodysData(Raw)'!I$2:I$180,'MoodysData(Raw)'!$B$2:$B$180,"=EMP",'MoodysData(Raw)'!$D$2:$D$180,"="&amp;'Implied Productivity Ratios'!$C9)</f>
        <v>928.65144743376288</v>
      </c>
      <c r="G9">
        <f>SUMIFS('MoodysData(Raw)'!J$2:J$180,'MoodysData(Raw)'!$B$2:$B$180,"=GDP",'MoodysData(Raw)'!$D$2:$D$180,"="&amp;'Implied Productivity Ratios'!$C9)/SUMIFS('MoodysData(Raw)'!J$2:J$180,'MoodysData(Raw)'!$B$2:$B$180,"=EMP",'MoodysData(Raw)'!$D$2:$D$180,"="&amp;'Implied Productivity Ratios'!$C9)</f>
        <v>945.42756001662008</v>
      </c>
      <c r="H9">
        <f>SUMIFS('MoodysData(Raw)'!K$2:K$180,'MoodysData(Raw)'!$B$2:$B$180,"=GDP",'MoodysData(Raw)'!$D$2:$D$180,"="&amp;'Implied Productivity Ratios'!$C9)/SUMIFS('MoodysData(Raw)'!K$2:K$180,'MoodysData(Raw)'!$B$2:$B$180,"=EMP",'MoodysData(Raw)'!$D$2:$D$180,"="&amp;'Implied Productivity Ratios'!$C9)</f>
        <v>984.43785759581601</v>
      </c>
      <c r="I9">
        <f>SUMIFS('MoodysData(Raw)'!L$2:L$180,'MoodysData(Raw)'!$B$2:$B$180,"=GDP",'MoodysData(Raw)'!$D$2:$D$180,"="&amp;'Implied Productivity Ratios'!$C9)/SUMIFS('MoodysData(Raw)'!L$2:L$180,'MoodysData(Raw)'!$B$2:$B$180,"=EMP",'MoodysData(Raw)'!$D$2:$D$180,"="&amp;'Implied Productivity Ratios'!$C9)</f>
        <v>912.4161889934868</v>
      </c>
      <c r="J9">
        <f>SUMIFS('MoodysData(Raw)'!M$2:M$180,'MoodysData(Raw)'!$B$2:$B$180,"=GDP",'MoodysData(Raw)'!$D$2:$D$180,"="&amp;'Implied Productivity Ratios'!$C9)/SUMIFS('MoodysData(Raw)'!M$2:M$180,'MoodysData(Raw)'!$B$2:$B$180,"=EMP",'MoodysData(Raw)'!$D$2:$D$180,"="&amp;'Implied Productivity Ratios'!$C9)</f>
        <v>1047.4973475684994</v>
      </c>
      <c r="K9">
        <f>SUMIFS('MoodysData(Raw)'!N$2:N$180,'MoodysData(Raw)'!$B$2:$B$180,"=GDP",'MoodysData(Raw)'!$D$2:$D$180,"="&amp;'Implied Productivity Ratios'!$C9)/SUMIFS('MoodysData(Raw)'!N$2:N$180,'MoodysData(Raw)'!$B$2:$B$180,"=EMP",'MoodysData(Raw)'!$D$2:$D$180,"="&amp;'Implied Productivity Ratios'!$C9)</f>
        <v>1091.3131736732603</v>
      </c>
      <c r="L9">
        <f>SUMIFS('MoodysData(Raw)'!O$2:O$180,'MoodysData(Raw)'!$B$2:$B$180,"=GDP",'MoodysData(Raw)'!$D$2:$D$180,"="&amp;'Implied Productivity Ratios'!$C9)/SUMIFS('MoodysData(Raw)'!O$2:O$180,'MoodysData(Raw)'!$B$2:$B$180,"=EMP",'MoodysData(Raw)'!$D$2:$D$180,"="&amp;'Implied Productivity Ratios'!$C9)</f>
        <v>1109.1116523754765</v>
      </c>
      <c r="M9">
        <f>SUMIFS('MoodysData(Raw)'!P$2:P$180,'MoodysData(Raw)'!$B$2:$B$180,"=GDP",'MoodysData(Raw)'!$D$2:$D$180,"="&amp;'Implied Productivity Ratios'!$C9)/SUMIFS('MoodysData(Raw)'!P$2:P$180,'MoodysData(Raw)'!$B$2:$B$180,"=EMP",'MoodysData(Raw)'!$D$2:$D$180,"="&amp;'Implied Productivity Ratios'!$C9)</f>
        <v>1101.9210972727669</v>
      </c>
      <c r="N9">
        <f>SUMIFS('MoodysData(Raw)'!Q$2:Q$180,'MoodysData(Raw)'!$B$2:$B$180,"=GDP",'MoodysData(Raw)'!$D$2:$D$180,"="&amp;'Implied Productivity Ratios'!$C9)/SUMIFS('MoodysData(Raw)'!Q$2:Q$180,'MoodysData(Raw)'!$B$2:$B$180,"=EMP",'MoodysData(Raw)'!$D$2:$D$180,"="&amp;'Implied Productivity Ratios'!$C9)</f>
        <v>1061.4873881322253</v>
      </c>
      <c r="O9">
        <f>SUMIFS('MoodysData(Raw)'!R$2:R$180,'MoodysData(Raw)'!$B$2:$B$180,"=GDP",'MoodysData(Raw)'!$D$2:$D$180,"="&amp;'Implied Productivity Ratios'!$C9)/SUMIFS('MoodysData(Raw)'!R$2:R$180,'MoodysData(Raw)'!$B$2:$B$180,"=EMP",'MoodysData(Raw)'!$D$2:$D$180,"="&amp;'Implied Productivity Ratios'!$C9)</f>
        <v>1070.8522217053091</v>
      </c>
      <c r="P9">
        <f>SUMIFS('MoodysData(Raw)'!S$2:S$180,'MoodysData(Raw)'!$B$2:$B$180,"=GDP",'MoodysData(Raw)'!$D$2:$D$180,"="&amp;'Implied Productivity Ratios'!$C9)/SUMIFS('MoodysData(Raw)'!S$2:S$180,'MoodysData(Raw)'!$B$2:$B$180,"=EMP",'MoodysData(Raw)'!$D$2:$D$180,"="&amp;'Implied Productivity Ratios'!$C9)</f>
        <v>1130.3785444038481</v>
      </c>
      <c r="Q9">
        <f>SUMIFS('MoodysData(Raw)'!T$2:T$180,'MoodysData(Raw)'!$B$2:$B$180,"=GDP",'MoodysData(Raw)'!$D$2:$D$180,"="&amp;'Implied Productivity Ratios'!$C9)/SUMIFS('MoodysData(Raw)'!T$2:T$180,'MoodysData(Raw)'!$B$2:$B$180,"=EMP",'MoodysData(Raw)'!$D$2:$D$180,"="&amp;'Implied Productivity Ratios'!$C9)</f>
        <v>1132.9940842079411</v>
      </c>
      <c r="R9">
        <f>SUMIFS('MoodysData(Raw)'!U$2:U$180,'MoodysData(Raw)'!$B$2:$B$180,"=GDP",'MoodysData(Raw)'!$D$2:$D$180,"="&amp;'Implied Productivity Ratios'!$C9)/SUMIFS('MoodysData(Raw)'!U$2:U$180,'MoodysData(Raw)'!$B$2:$B$180,"=EMP",'MoodysData(Raw)'!$D$2:$D$180,"="&amp;'Implied Productivity Ratios'!$C9)</f>
        <v>1119.6313887903384</v>
      </c>
      <c r="S9">
        <f>SUMIFS('MoodysData(Raw)'!V$2:V$180,'MoodysData(Raw)'!$B$2:$B$180,"=GDP",'MoodysData(Raw)'!$D$2:$D$180,"="&amp;'Implied Productivity Ratios'!$C9)/SUMIFS('MoodysData(Raw)'!V$2:V$180,'MoodysData(Raw)'!$B$2:$B$180,"=EMP",'MoodysData(Raw)'!$D$2:$D$180,"="&amp;'Implied Productivity Ratios'!$C9)</f>
        <v>1139.9083020560913</v>
      </c>
      <c r="T9">
        <f>SUMIFS('MoodysData(Raw)'!W$2:W$180,'MoodysData(Raw)'!$B$2:$B$180,"=GDP",'MoodysData(Raw)'!$D$2:$D$180,"="&amp;'Implied Productivity Ratios'!$C9)/SUMIFS('MoodysData(Raw)'!W$2:W$180,'MoodysData(Raw)'!$B$2:$B$180,"=EMP",'MoodysData(Raw)'!$D$2:$D$180,"="&amp;'Implied Productivity Ratios'!$C9)</f>
        <v>1215.4860553238473</v>
      </c>
      <c r="U9">
        <f>SUMIFS('MoodysData(Raw)'!X$2:X$180,'MoodysData(Raw)'!$B$2:$B$180,"=GDP",'MoodysData(Raw)'!$D$2:$D$180,"="&amp;'Implied Productivity Ratios'!$C9)/SUMIFS('MoodysData(Raw)'!X$2:X$180,'MoodysData(Raw)'!$B$2:$B$180,"=EMP",'MoodysData(Raw)'!$D$2:$D$180,"="&amp;'Implied Productivity Ratios'!$C9)</f>
        <v>1177.3129613784233</v>
      </c>
      <c r="V9">
        <f>SUMIFS('MoodysData(Raw)'!Y$2:Y$180,'MoodysData(Raw)'!$B$2:$B$180,"=GDP",'MoodysData(Raw)'!$D$2:$D$180,"="&amp;'Implied Productivity Ratios'!$C9)/SUMIFS('MoodysData(Raw)'!Y$2:Y$180,'MoodysData(Raw)'!$B$2:$B$180,"=EMP",'MoodysData(Raw)'!$D$2:$D$180,"="&amp;'Implied Productivity Ratios'!$C9)</f>
        <v>1176.1004615157717</v>
      </c>
      <c r="W9">
        <f>SUMIFS('MoodysData(Raw)'!Z$2:Z$180,'MoodysData(Raw)'!$B$2:$B$180,"=GDP",'MoodysData(Raw)'!$D$2:$D$180,"="&amp;'Implied Productivity Ratios'!$C9)/SUMIFS('MoodysData(Raw)'!Z$2:Z$180,'MoodysData(Raw)'!$B$2:$B$180,"=EMP",'MoodysData(Raw)'!$D$2:$D$180,"="&amp;'Implied Productivity Ratios'!$C9)</f>
        <v>1186.9099013207415</v>
      </c>
      <c r="X9">
        <f>SUMIFS('MoodysData(Raw)'!AA$2:AA$180,'MoodysData(Raw)'!$B$2:$B$180,"=GDP",'MoodysData(Raw)'!$D$2:$D$180,"="&amp;'Implied Productivity Ratios'!$C9)/SUMIFS('MoodysData(Raw)'!AA$2:AA$180,'MoodysData(Raw)'!$B$2:$B$180,"=EMP",'MoodysData(Raw)'!$D$2:$D$180,"="&amp;'Implied Productivity Ratios'!$C9)</f>
        <v>1172.4666499013754</v>
      </c>
      <c r="Y9">
        <f>SUMIFS('MoodysData(Raw)'!AB$2:AB$180,'MoodysData(Raw)'!$B$2:$B$180,"=GDP",'MoodysData(Raw)'!$D$2:$D$180,"="&amp;'Implied Productivity Ratios'!$C9)/SUMIFS('MoodysData(Raw)'!AB$2:AB$180,'MoodysData(Raw)'!$B$2:$B$180,"=EMP",'MoodysData(Raw)'!$D$2:$D$180,"="&amp;'Implied Productivity Ratios'!$C9)</f>
        <v>1201.4680960722169</v>
      </c>
      <c r="Z9">
        <f>SUMIFS('MoodysData(Raw)'!AC$2:AC$180,'MoodysData(Raw)'!$B$2:$B$180,"=GDP",'MoodysData(Raw)'!$D$2:$D$180,"="&amp;'Implied Productivity Ratios'!$C9)/SUMIFS('MoodysData(Raw)'!AC$2:AC$180,'MoodysData(Raw)'!$B$2:$B$180,"=EMP",'MoodysData(Raw)'!$D$2:$D$180,"="&amp;'Implied Productivity Ratios'!$C9)</f>
        <v>1234.4698757951612</v>
      </c>
      <c r="AA9">
        <f>SUMIFS('MoodysData(Raw)'!AD$2:AD$180,'MoodysData(Raw)'!$B$2:$B$180,"=GDP",'MoodysData(Raw)'!$D$2:$D$180,"="&amp;'Implied Productivity Ratios'!$C9)/SUMIFS('MoodysData(Raw)'!AD$2:AD$180,'MoodysData(Raw)'!$B$2:$B$180,"=EMP",'MoodysData(Raw)'!$D$2:$D$180,"="&amp;'Implied Productivity Ratios'!$C9)</f>
        <v>1263.951083857987</v>
      </c>
      <c r="AB9">
        <f>SUMIFS('MoodysData(Raw)'!AE$2:AE$180,'MoodysData(Raw)'!$B$2:$B$180,"=GDP",'MoodysData(Raw)'!$D$2:$D$180,"="&amp;'Implied Productivity Ratios'!$C9)/SUMIFS('MoodysData(Raw)'!AE$2:AE$180,'MoodysData(Raw)'!$B$2:$B$180,"=EMP",'MoodysData(Raw)'!$D$2:$D$180,"="&amp;'Implied Productivity Ratios'!$C9)</f>
        <v>1286.8020596175397</v>
      </c>
      <c r="AC9">
        <f>SUMIFS('MoodysData(Raw)'!AF$2:AF$180,'MoodysData(Raw)'!$B$2:$B$180,"=GDP",'MoodysData(Raw)'!$D$2:$D$180,"="&amp;'Implied Productivity Ratios'!$C9)/SUMIFS('MoodysData(Raw)'!AF$2:AF$180,'MoodysData(Raw)'!$B$2:$B$180,"=EMP",'MoodysData(Raw)'!$D$2:$D$180,"="&amp;'Implied Productivity Ratios'!$C9)</f>
        <v>1311.1769339019418</v>
      </c>
      <c r="AD9">
        <f>SUMIFS('MoodysData(Raw)'!AG$2:AG$180,'MoodysData(Raw)'!$B$2:$B$180,"=GDP",'MoodysData(Raw)'!$D$2:$D$180,"="&amp;'Implied Productivity Ratios'!$C9)/SUMIFS('MoodysData(Raw)'!AG$2:AG$180,'MoodysData(Raw)'!$B$2:$B$180,"=EMP",'MoodysData(Raw)'!$D$2:$D$180,"="&amp;'Implied Productivity Ratios'!$C9)</f>
        <v>1338.9269330905056</v>
      </c>
      <c r="AE9">
        <f>SUMIFS('MoodysData(Raw)'!AH$2:AH$180,'MoodysData(Raw)'!$B$2:$B$180,"=GDP",'MoodysData(Raw)'!$D$2:$D$180,"="&amp;'Implied Productivity Ratios'!$C9)/SUMIFS('MoodysData(Raw)'!AH$2:AH$180,'MoodysData(Raw)'!$B$2:$B$180,"=EMP",'MoodysData(Raw)'!$D$2:$D$180,"="&amp;'Implied Productivity Ratios'!$C9)</f>
        <v>1366.8138845588073</v>
      </c>
      <c r="AF9">
        <f>SUMIFS('MoodysData(Raw)'!AI$2:AI$180,'MoodysData(Raw)'!$B$2:$B$180,"=GDP",'MoodysData(Raw)'!$D$2:$D$180,"="&amp;'Implied Productivity Ratios'!$C9)/SUMIFS('MoodysData(Raw)'!AI$2:AI$180,'MoodysData(Raw)'!$B$2:$B$180,"=EMP",'MoodysData(Raw)'!$D$2:$D$180,"="&amp;'Implied Productivity Ratios'!$C9)</f>
        <v>1395.5168320940945</v>
      </c>
      <c r="AG9">
        <f>SUMIFS('MoodysData(Raw)'!AJ$2:AJ$180,'MoodysData(Raw)'!$B$2:$B$180,"=GDP",'MoodysData(Raw)'!$D$2:$D$180,"="&amp;'Implied Productivity Ratios'!$C9)/SUMIFS('MoodysData(Raw)'!AJ$2:AJ$180,'MoodysData(Raw)'!$B$2:$B$180,"=EMP",'MoodysData(Raw)'!$D$2:$D$180,"="&amp;'Implied Productivity Ratios'!$C9)</f>
        <v>1424.6735626491379</v>
      </c>
      <c r="AH9">
        <f>SUMIFS('MoodysData(Raw)'!AK$2:AK$180,'MoodysData(Raw)'!$B$2:$B$180,"=GDP",'MoodysData(Raw)'!$D$2:$D$180,"="&amp;'Implied Productivity Ratios'!$C9)/SUMIFS('MoodysData(Raw)'!AK$2:AK$180,'MoodysData(Raw)'!$B$2:$B$180,"=EMP",'MoodysData(Raw)'!$D$2:$D$180,"="&amp;'Implied Productivity Ratios'!$C9)</f>
        <v>1453.8365293490915</v>
      </c>
      <c r="AI9">
        <f>SUMIFS('MoodysData(Raw)'!AL$2:AL$180,'MoodysData(Raw)'!$B$2:$B$180,"=GDP",'MoodysData(Raw)'!$D$2:$D$180,"="&amp;'Implied Productivity Ratios'!$C9)/SUMIFS('MoodysData(Raw)'!AL$2:AL$180,'MoodysData(Raw)'!$B$2:$B$180,"=EMP",'MoodysData(Raw)'!$D$2:$D$180,"="&amp;'Implied Productivity Ratios'!$C9)</f>
        <v>1482.8928089395097</v>
      </c>
      <c r="AJ9">
        <f>SUMIFS('MoodysData(Raw)'!AM$2:AM$180,'MoodysData(Raw)'!$B$2:$B$180,"=GDP",'MoodysData(Raw)'!$D$2:$D$180,"="&amp;'Implied Productivity Ratios'!$C9)/SUMIFS('MoodysData(Raw)'!AM$2:AM$180,'MoodysData(Raw)'!$B$2:$B$180,"=EMP",'MoodysData(Raw)'!$D$2:$D$180,"="&amp;'Implied Productivity Ratios'!$C9)</f>
        <v>1513.7139579945667</v>
      </c>
      <c r="AK9">
        <f>SUMIFS('MoodysData(Raw)'!AN$2:AN$180,'MoodysData(Raw)'!$B$2:$B$180,"=GDP",'MoodysData(Raw)'!$D$2:$D$180,"="&amp;'Implied Productivity Ratios'!$C9)/SUMIFS('MoodysData(Raw)'!AN$2:AN$180,'MoodysData(Raw)'!$B$2:$B$180,"=EMP",'MoodysData(Raw)'!$D$2:$D$180,"="&amp;'Implied Productivity Ratios'!$C9)</f>
        <v>1547.3272700711482</v>
      </c>
      <c r="AL9">
        <f>SUMIFS('MoodysData(Raw)'!AO$2:AO$180,'MoodysData(Raw)'!$B$2:$B$180,"=GDP",'MoodysData(Raw)'!$D$2:$D$180,"="&amp;'Implied Productivity Ratios'!$C9)/SUMIFS('MoodysData(Raw)'!AO$2:AO$180,'MoodysData(Raw)'!$B$2:$B$180,"=EMP",'MoodysData(Raw)'!$D$2:$D$180,"="&amp;'Implied Productivity Ratios'!$C9)</f>
        <v>1579.4791409508757</v>
      </c>
      <c r="AM9">
        <f>SUMIFS('MoodysData(Raw)'!AP$2:AP$180,'MoodysData(Raw)'!$B$2:$B$180,"=GDP",'MoodysData(Raw)'!$D$2:$D$180,"="&amp;'Implied Productivity Ratios'!$C9)/SUMIFS('MoodysData(Raw)'!AP$2:AP$180,'MoodysData(Raw)'!$B$2:$B$180,"=EMP",'MoodysData(Raw)'!$D$2:$D$180,"="&amp;'Implied Productivity Ratios'!$C9)</f>
        <v>1610.7268579208956</v>
      </c>
      <c r="AN9">
        <f>SUMIFS('MoodysData(Raw)'!AQ$2:AQ$180,'MoodysData(Raw)'!$B$2:$B$180,"=GDP",'MoodysData(Raw)'!$D$2:$D$180,"="&amp;'Implied Productivity Ratios'!$C9)/SUMIFS('MoodysData(Raw)'!AQ$2:AQ$180,'MoodysData(Raw)'!$B$2:$B$180,"=EMP",'MoodysData(Raw)'!$D$2:$D$180,"="&amp;'Implied Productivity Ratios'!$C9)</f>
        <v>1639.7167085710535</v>
      </c>
      <c r="AO9">
        <f>SUMIFS('MoodysData(Raw)'!AR$2:AR$180,'MoodysData(Raw)'!$B$2:$B$180,"=GDP",'MoodysData(Raw)'!$D$2:$D$180,"="&amp;'Implied Productivity Ratios'!$C9)/SUMIFS('MoodysData(Raw)'!AR$2:AR$180,'MoodysData(Raw)'!$B$2:$B$180,"=EMP",'MoodysData(Raw)'!$D$2:$D$180,"="&amp;'Implied Productivity Ratios'!$C9)</f>
        <v>1667.0927939810203</v>
      </c>
      <c r="AP9">
        <f>SUMIFS('MoodysData(Raw)'!AS$2:AS$180,'MoodysData(Raw)'!$B$2:$B$180,"=GDP",'MoodysData(Raw)'!$D$2:$D$180,"="&amp;'Implied Productivity Ratios'!$C9)/SUMIFS('MoodysData(Raw)'!AS$2:AS$180,'MoodysData(Raw)'!$B$2:$B$180,"=EMP",'MoodysData(Raw)'!$D$2:$D$180,"="&amp;'Implied Productivity Ratios'!$C9)</f>
        <v>1693.5832234780769</v>
      </c>
      <c r="AQ9">
        <f>SUMIFS('MoodysData(Raw)'!AT$2:AT$180,'MoodysData(Raw)'!$B$2:$B$180,"=GDP",'MoodysData(Raw)'!$D$2:$D$180,"="&amp;'Implied Productivity Ratios'!$C9)/SUMIFS('MoodysData(Raw)'!AT$2:AT$180,'MoodysData(Raw)'!$B$2:$B$180,"=EMP",'MoodysData(Raw)'!$D$2:$D$180,"="&amp;'Implied Productivity Ratios'!$C9)</f>
        <v>1719.7748439709706</v>
      </c>
      <c r="AR9">
        <f>SUMIFS('MoodysData(Raw)'!AU$2:AU$180,'MoodysData(Raw)'!$B$2:$B$180,"=GDP",'MoodysData(Raw)'!$D$2:$D$180,"="&amp;'Implied Productivity Ratios'!$C9)/SUMIFS('MoodysData(Raw)'!AU$2:AU$180,'MoodysData(Raw)'!$B$2:$B$180,"=EMP",'MoodysData(Raw)'!$D$2:$D$180,"="&amp;'Implied Productivity Ratios'!$C9)</f>
        <v>1745.968005952381</v>
      </c>
      <c r="AS9">
        <f>SUMIFS('MoodysData(Raw)'!AV$2:AV$180,'MoodysData(Raw)'!$B$2:$B$180,"=GDP",'MoodysData(Raw)'!$D$2:$D$180,"="&amp;'Implied Productivity Ratios'!$C9)/SUMIFS('MoodysData(Raw)'!AV$2:AV$180,'MoodysData(Raw)'!$B$2:$B$180,"=EMP",'MoodysData(Raw)'!$D$2:$D$180,"="&amp;'Implied Productivity Ratios'!$C9)</f>
        <v>1772.6813668539642</v>
      </c>
      <c r="AT9">
        <f>SUMIFS('MoodysData(Raw)'!AW$2:AW$180,'MoodysData(Raw)'!$B$2:$B$180,"=GDP",'MoodysData(Raw)'!$D$2:$D$180,"="&amp;'Implied Productivity Ratios'!$C9)/SUMIFS('MoodysData(Raw)'!AW$2:AW$180,'MoodysData(Raw)'!$B$2:$B$180,"=EMP",'MoodysData(Raw)'!$D$2:$D$180,"="&amp;'Implied Productivity Ratios'!$C9)</f>
        <v>1797.0002573822915</v>
      </c>
      <c r="AU9">
        <f>SUMIFS('MoodysData(Raw)'!AX$2:AX$180,'MoodysData(Raw)'!$B$2:$B$180,"=GDP",'MoodysData(Raw)'!$D$2:$D$180,"="&amp;'Implied Productivity Ratios'!$C9)/SUMIFS('MoodysData(Raw)'!AX$2:AX$180,'MoodysData(Raw)'!$B$2:$B$180,"=EMP",'MoodysData(Raw)'!$D$2:$D$180,"="&amp;'Implied Productivity Ratios'!$C9)</f>
        <v>1822.4719916783838</v>
      </c>
      <c r="AV9">
        <f>SUMIFS('MoodysData(Raw)'!AY$2:AY$180,'MoodysData(Raw)'!$B$2:$B$180,"=GDP",'MoodysData(Raw)'!$D$2:$D$180,"="&amp;'Implied Productivity Ratios'!$C9)/SUMIFS('MoodysData(Raw)'!AY$2:AY$180,'MoodysData(Raw)'!$B$2:$B$180,"=EMP",'MoodysData(Raw)'!$D$2:$D$180,"="&amp;'Implied Productivity Ratios'!$C9)</f>
        <v>1849.297151281389</v>
      </c>
      <c r="AW9">
        <f>SUMIFS('MoodysData(Raw)'!AZ$2:AZ$180,'MoodysData(Raw)'!$B$2:$B$180,"=GDP",'MoodysData(Raw)'!$D$2:$D$180,"="&amp;'Implied Productivity Ratios'!$C9)/SUMIFS('MoodysData(Raw)'!AZ$2:AZ$180,'MoodysData(Raw)'!$B$2:$B$180,"=EMP",'MoodysData(Raw)'!$D$2:$D$180,"="&amp;'Implied Productivity Ratios'!$C9)</f>
        <v>1876.4236610819351</v>
      </c>
      <c r="AX9">
        <f>SUMIFS('MoodysData(Raw)'!BA$2:BA$180,'MoodysData(Raw)'!$B$2:$B$180,"=GDP",'MoodysData(Raw)'!$D$2:$D$180,"="&amp;'Implied Productivity Ratios'!$C9)/SUMIFS('MoodysData(Raw)'!BA$2:BA$180,'MoodysData(Raw)'!$B$2:$B$180,"=EMP",'MoodysData(Raw)'!$D$2:$D$180,"="&amp;'Implied Productivity Ratios'!$C9)</f>
        <v>1904.0164991293516</v>
      </c>
      <c r="AY9">
        <f>SUMIFS('MoodysData(Raw)'!BB$2:BB$180,'MoodysData(Raw)'!$B$2:$B$180,"=GDP",'MoodysData(Raw)'!$D$2:$D$180,"="&amp;'Implied Productivity Ratios'!$C9)/SUMIFS('MoodysData(Raw)'!BB$2:BB$180,'MoodysData(Raw)'!$B$2:$B$180,"=EMP",'MoodysData(Raw)'!$D$2:$D$180,"="&amp;'Implied Productivity Ratios'!$C9)</f>
        <v>1931.8675337618292</v>
      </c>
      <c r="AZ9">
        <f>SUMIFS('MoodysData(Raw)'!BC$2:BC$180,'MoodysData(Raw)'!$B$2:$B$180,"=GDP",'MoodysData(Raw)'!$D$2:$D$180,"="&amp;'Implied Productivity Ratios'!$C9)/SUMIFS('MoodysData(Raw)'!BC$2:BC$180,'MoodysData(Raw)'!$B$2:$B$180,"=EMP",'MoodysData(Raw)'!$D$2:$D$180,"="&amp;'Implied Productivity Ratios'!$C9)</f>
        <v>1960.2090671219403</v>
      </c>
      <c r="BA9">
        <f>SUMIFS('MoodysData(Raw)'!BD$2:BD$180,'MoodysData(Raw)'!$B$2:$B$180,"=GDP",'MoodysData(Raw)'!$D$2:$D$180,"="&amp;'Implied Productivity Ratios'!$C9)/SUMIFS('MoodysData(Raw)'!BD$2:BD$180,'MoodysData(Raw)'!$B$2:$B$180,"=EMP",'MoodysData(Raw)'!$D$2:$D$180,"="&amp;'Implied Productivity Ratios'!$C9)</f>
        <v>1988.7344805931259</v>
      </c>
      <c r="BB9">
        <f>SUMIFS('MoodysData(Raw)'!BE$2:BE$180,'MoodysData(Raw)'!$B$2:$B$180,"=GDP",'MoodysData(Raw)'!$D$2:$D$180,"="&amp;'Implied Productivity Ratios'!$C9)/SUMIFS('MoodysData(Raw)'!BE$2:BE$180,'MoodysData(Raw)'!$B$2:$B$180,"=EMP",'MoodysData(Raw)'!$D$2:$D$180,"="&amp;'Implied Productivity Ratios'!$C9)</f>
        <v>2018.2640781113462</v>
      </c>
      <c r="BC9">
        <f>SUMIFS('MoodysData(Raw)'!BF$2:BF$180,'MoodysData(Raw)'!$B$2:$B$180,"=GDP",'MoodysData(Raw)'!$D$2:$D$180,"="&amp;'Implied Productivity Ratios'!$C9)/SUMIFS('MoodysData(Raw)'!BF$2:BF$180,'MoodysData(Raw)'!$B$2:$B$180,"=EMP",'MoodysData(Raw)'!$D$2:$D$180,"="&amp;'Implied Productivity Ratios'!$C9)</f>
        <v>2048.3807136615555</v>
      </c>
      <c r="BD9" s="5">
        <f t="shared" ref="BD9:BH9" si="3">BC9+($BC9-$AX9)/5</f>
        <v>2077.2535565679964</v>
      </c>
      <c r="BE9" s="5">
        <f t="shared" si="3"/>
        <v>2106.1263994744372</v>
      </c>
      <c r="BF9" s="5">
        <f t="shared" si="3"/>
        <v>2134.9992423808781</v>
      </c>
      <c r="BG9" s="5">
        <f t="shared" si="3"/>
        <v>2163.8720852873189</v>
      </c>
      <c r="BH9" s="5">
        <f t="shared" si="3"/>
        <v>2192.7449281937597</v>
      </c>
    </row>
    <row r="10" spans="3:60">
      <c r="C10">
        <v>236</v>
      </c>
      <c r="D10" t="s">
        <v>322</v>
      </c>
      <c r="E10">
        <f>SUMIFS('MoodysData(Raw)'!H$2:H$180,'MoodysData(Raw)'!$B$2:$B$180,"=GDP",'MoodysData(Raw)'!$D$2:$D$180,"="&amp;'Implied Productivity Ratios'!$C10)/SUMIFS('MoodysData(Raw)'!H$2:H$180,'MoodysData(Raw)'!$B$2:$B$180,"=EMP",'MoodysData(Raw)'!$D$2:$D$180,"="&amp;'Implied Productivity Ratios'!$C10)</f>
        <v>143.00672178424989</v>
      </c>
      <c r="F10">
        <f>SUMIFS('MoodysData(Raw)'!I$2:I$180,'MoodysData(Raw)'!$B$2:$B$180,"=GDP",'MoodysData(Raw)'!$D$2:$D$180,"="&amp;'Implied Productivity Ratios'!$C10)/SUMIFS('MoodysData(Raw)'!I$2:I$180,'MoodysData(Raw)'!$B$2:$B$180,"=EMP",'MoodysData(Raw)'!$D$2:$D$180,"="&amp;'Implied Productivity Ratios'!$C10)</f>
        <v>133.8631102640305</v>
      </c>
      <c r="G10">
        <f>SUMIFS('MoodysData(Raw)'!J$2:J$180,'MoodysData(Raw)'!$B$2:$B$180,"=GDP",'MoodysData(Raw)'!$D$2:$D$180,"="&amp;'Implied Productivity Ratios'!$C10)/SUMIFS('MoodysData(Raw)'!J$2:J$180,'MoodysData(Raw)'!$B$2:$B$180,"=EMP",'MoodysData(Raw)'!$D$2:$D$180,"="&amp;'Implied Productivity Ratios'!$C10)</f>
        <v>129.40464975073863</v>
      </c>
      <c r="H10">
        <f>SUMIFS('MoodysData(Raw)'!K$2:K$180,'MoodysData(Raw)'!$B$2:$B$180,"=GDP",'MoodysData(Raw)'!$D$2:$D$180,"="&amp;'Implied Productivity Ratios'!$C10)/SUMIFS('MoodysData(Raw)'!K$2:K$180,'MoodysData(Raw)'!$B$2:$B$180,"=EMP",'MoodysData(Raw)'!$D$2:$D$180,"="&amp;'Implied Productivity Ratios'!$C10)</f>
        <v>122.85929086086128</v>
      </c>
      <c r="I10">
        <f>SUMIFS('MoodysData(Raw)'!L$2:L$180,'MoodysData(Raw)'!$B$2:$B$180,"=GDP",'MoodysData(Raw)'!$D$2:$D$180,"="&amp;'Implied Productivity Ratios'!$C10)/SUMIFS('MoodysData(Raw)'!L$2:L$180,'MoodysData(Raw)'!$B$2:$B$180,"=EMP",'MoodysData(Raw)'!$D$2:$D$180,"="&amp;'Implied Productivity Ratios'!$C10)</f>
        <v>125.94077126643322</v>
      </c>
      <c r="J10">
        <f>SUMIFS('MoodysData(Raw)'!M$2:M$180,'MoodysData(Raw)'!$B$2:$B$180,"=GDP",'MoodysData(Raw)'!$D$2:$D$180,"="&amp;'Implied Productivity Ratios'!$C10)/SUMIFS('MoodysData(Raw)'!M$2:M$180,'MoodysData(Raw)'!$B$2:$B$180,"=EMP",'MoodysData(Raw)'!$D$2:$D$180,"="&amp;'Implied Productivity Ratios'!$C10)</f>
        <v>129.14801590884872</v>
      </c>
      <c r="K10">
        <f>SUMIFS('MoodysData(Raw)'!N$2:N$180,'MoodysData(Raw)'!$B$2:$B$180,"=GDP",'MoodysData(Raw)'!$D$2:$D$180,"="&amp;'Implied Productivity Ratios'!$C10)/SUMIFS('MoodysData(Raw)'!N$2:N$180,'MoodysData(Raw)'!$B$2:$B$180,"=EMP",'MoodysData(Raw)'!$D$2:$D$180,"="&amp;'Implied Productivity Ratios'!$C10)</f>
        <v>126.98018820790941</v>
      </c>
      <c r="L10">
        <f>SUMIFS('MoodysData(Raw)'!O$2:O$180,'MoodysData(Raw)'!$B$2:$B$180,"=GDP",'MoodysData(Raw)'!$D$2:$D$180,"="&amp;'Implied Productivity Ratios'!$C10)/SUMIFS('MoodysData(Raw)'!O$2:O$180,'MoodysData(Raw)'!$B$2:$B$180,"=EMP",'MoodysData(Raw)'!$D$2:$D$180,"="&amp;'Implied Productivity Ratios'!$C10)</f>
        <v>128.45022861257442</v>
      </c>
      <c r="M10">
        <f>SUMIFS('MoodysData(Raw)'!P$2:P$180,'MoodysData(Raw)'!$B$2:$B$180,"=GDP",'MoodysData(Raw)'!$D$2:$D$180,"="&amp;'Implied Productivity Ratios'!$C10)/SUMIFS('MoodysData(Raw)'!P$2:P$180,'MoodysData(Raw)'!$B$2:$B$180,"=EMP",'MoodysData(Raw)'!$D$2:$D$180,"="&amp;'Implied Productivity Ratios'!$C10)</f>
        <v>128.06035658036444</v>
      </c>
      <c r="N10">
        <f>SUMIFS('MoodysData(Raw)'!Q$2:Q$180,'MoodysData(Raw)'!$B$2:$B$180,"=GDP",'MoodysData(Raw)'!$D$2:$D$180,"="&amp;'Implied Productivity Ratios'!$C10)/SUMIFS('MoodysData(Raw)'!Q$2:Q$180,'MoodysData(Raw)'!$B$2:$B$180,"=EMP",'MoodysData(Raw)'!$D$2:$D$180,"="&amp;'Implied Productivity Ratios'!$C10)</f>
        <v>126.62055559785651</v>
      </c>
      <c r="O10">
        <f>SUMIFS('MoodysData(Raw)'!R$2:R$180,'MoodysData(Raw)'!$B$2:$B$180,"=GDP",'MoodysData(Raw)'!$D$2:$D$180,"="&amp;'Implied Productivity Ratios'!$C10)/SUMIFS('MoodysData(Raw)'!R$2:R$180,'MoodysData(Raw)'!$B$2:$B$180,"=EMP",'MoodysData(Raw)'!$D$2:$D$180,"="&amp;'Implied Productivity Ratios'!$C10)</f>
        <v>128.44081378509415</v>
      </c>
      <c r="P10">
        <f>SUMIFS('MoodysData(Raw)'!S$2:S$180,'MoodysData(Raw)'!$B$2:$B$180,"=GDP",'MoodysData(Raw)'!$D$2:$D$180,"="&amp;'Implied Productivity Ratios'!$C10)/SUMIFS('MoodysData(Raw)'!S$2:S$180,'MoodysData(Raw)'!$B$2:$B$180,"=EMP",'MoodysData(Raw)'!$D$2:$D$180,"="&amp;'Implied Productivity Ratios'!$C10)</f>
        <v>130.46499191709401</v>
      </c>
      <c r="Q10">
        <f>SUMIFS('MoodysData(Raw)'!T$2:T$180,'MoodysData(Raw)'!$B$2:$B$180,"=GDP",'MoodysData(Raw)'!$D$2:$D$180,"="&amp;'Implied Productivity Ratios'!$C10)/SUMIFS('MoodysData(Raw)'!T$2:T$180,'MoodysData(Raw)'!$B$2:$B$180,"=EMP",'MoodysData(Raw)'!$D$2:$D$180,"="&amp;'Implied Productivity Ratios'!$C10)</f>
        <v>131.86012675614793</v>
      </c>
      <c r="R10">
        <f>SUMIFS('MoodysData(Raw)'!U$2:U$180,'MoodysData(Raw)'!$B$2:$B$180,"=GDP",'MoodysData(Raw)'!$D$2:$D$180,"="&amp;'Implied Productivity Ratios'!$C10)/SUMIFS('MoodysData(Raw)'!U$2:U$180,'MoodysData(Raw)'!$B$2:$B$180,"=EMP",'MoodysData(Raw)'!$D$2:$D$180,"="&amp;'Implied Productivity Ratios'!$C10)</f>
        <v>129.52784869129829</v>
      </c>
      <c r="S10">
        <f>SUMIFS('MoodysData(Raw)'!V$2:V$180,'MoodysData(Raw)'!$B$2:$B$180,"=GDP",'MoodysData(Raw)'!$D$2:$D$180,"="&amp;'Implied Productivity Ratios'!$C10)/SUMIFS('MoodysData(Raw)'!V$2:V$180,'MoodysData(Raw)'!$B$2:$B$180,"=EMP",'MoodysData(Raw)'!$D$2:$D$180,"="&amp;'Implied Productivity Ratios'!$C10)</f>
        <v>128.2366961586705</v>
      </c>
      <c r="T10">
        <f>SUMIFS('MoodysData(Raw)'!W$2:W$180,'MoodysData(Raw)'!$B$2:$B$180,"=GDP",'MoodysData(Raw)'!$D$2:$D$180,"="&amp;'Implied Productivity Ratios'!$C10)/SUMIFS('MoodysData(Raw)'!W$2:W$180,'MoodysData(Raw)'!$B$2:$B$180,"=EMP",'MoodysData(Raw)'!$D$2:$D$180,"="&amp;'Implied Productivity Ratios'!$C10)</f>
        <v>130.48273703700465</v>
      </c>
      <c r="U10">
        <f>SUMIFS('MoodysData(Raw)'!X$2:X$180,'MoodysData(Raw)'!$B$2:$B$180,"=GDP",'MoodysData(Raw)'!$D$2:$D$180,"="&amp;'Implied Productivity Ratios'!$C10)/SUMIFS('MoodysData(Raw)'!X$2:X$180,'MoodysData(Raw)'!$B$2:$B$180,"=EMP",'MoodysData(Raw)'!$D$2:$D$180,"="&amp;'Implied Productivity Ratios'!$C10)</f>
        <v>129.91378835311698</v>
      </c>
      <c r="V10">
        <f>SUMIFS('MoodysData(Raw)'!Y$2:Y$180,'MoodysData(Raw)'!$B$2:$B$180,"=GDP",'MoodysData(Raw)'!$D$2:$D$180,"="&amp;'Implied Productivity Ratios'!$C10)/SUMIFS('MoodysData(Raw)'!Y$2:Y$180,'MoodysData(Raw)'!$B$2:$B$180,"=EMP",'MoodysData(Raw)'!$D$2:$D$180,"="&amp;'Implied Productivity Ratios'!$C10)</f>
        <v>118.5593038506197</v>
      </c>
      <c r="W10">
        <f>SUMIFS('MoodysData(Raw)'!Z$2:Z$180,'MoodysData(Raw)'!$B$2:$B$180,"=GDP",'MoodysData(Raw)'!$D$2:$D$180,"="&amp;'Implied Productivity Ratios'!$C10)/SUMIFS('MoodysData(Raw)'!Z$2:Z$180,'MoodysData(Raw)'!$B$2:$B$180,"=EMP",'MoodysData(Raw)'!$D$2:$D$180,"="&amp;'Implied Productivity Ratios'!$C10)</f>
        <v>112.49813836072796</v>
      </c>
      <c r="X10">
        <f>SUMIFS('MoodysData(Raw)'!AA$2:AA$180,'MoodysData(Raw)'!$B$2:$B$180,"=GDP",'MoodysData(Raw)'!$D$2:$D$180,"="&amp;'Implied Productivity Ratios'!$C10)/SUMIFS('MoodysData(Raw)'!AA$2:AA$180,'MoodysData(Raw)'!$B$2:$B$180,"=EMP",'MoodysData(Raw)'!$D$2:$D$180,"="&amp;'Implied Productivity Ratios'!$C10)</f>
        <v>115.00037255136309</v>
      </c>
      <c r="Y10">
        <f>SUMIFS('MoodysData(Raw)'!AB$2:AB$180,'MoodysData(Raw)'!$B$2:$B$180,"=GDP",'MoodysData(Raw)'!$D$2:$D$180,"="&amp;'Implied Productivity Ratios'!$C10)/SUMIFS('MoodysData(Raw)'!AB$2:AB$180,'MoodysData(Raw)'!$B$2:$B$180,"=EMP",'MoodysData(Raw)'!$D$2:$D$180,"="&amp;'Implied Productivity Ratios'!$C10)</f>
        <v>113.72004560377498</v>
      </c>
      <c r="Z10">
        <f>SUMIFS('MoodysData(Raw)'!AC$2:AC$180,'MoodysData(Raw)'!$B$2:$B$180,"=GDP",'MoodysData(Raw)'!$D$2:$D$180,"="&amp;'Implied Productivity Ratios'!$C10)/SUMIFS('MoodysData(Raw)'!AC$2:AC$180,'MoodysData(Raw)'!$B$2:$B$180,"=EMP",'MoodysData(Raw)'!$D$2:$D$180,"="&amp;'Implied Productivity Ratios'!$C10)</f>
        <v>115.84294902252357</v>
      </c>
      <c r="AA10">
        <f>SUMIFS('MoodysData(Raw)'!AD$2:AD$180,'MoodysData(Raw)'!$B$2:$B$180,"=GDP",'MoodysData(Raw)'!$D$2:$D$180,"="&amp;'Implied Productivity Ratios'!$C10)/SUMIFS('MoodysData(Raw)'!AD$2:AD$180,'MoodysData(Raw)'!$B$2:$B$180,"=EMP",'MoodysData(Raw)'!$D$2:$D$180,"="&amp;'Implied Productivity Ratios'!$C10)</f>
        <v>118.00060520707846</v>
      </c>
      <c r="AB10">
        <f>SUMIFS('MoodysData(Raw)'!AE$2:AE$180,'MoodysData(Raw)'!$B$2:$B$180,"=GDP",'MoodysData(Raw)'!$D$2:$D$180,"="&amp;'Implied Productivity Ratios'!$C10)/SUMIFS('MoodysData(Raw)'!AE$2:AE$180,'MoodysData(Raw)'!$B$2:$B$180,"=EMP",'MoodysData(Raw)'!$D$2:$D$180,"="&amp;'Implied Productivity Ratios'!$C10)</f>
        <v>119.98680496555068</v>
      </c>
      <c r="AC10">
        <f>SUMIFS('MoodysData(Raw)'!AF$2:AF$180,'MoodysData(Raw)'!$B$2:$B$180,"=GDP",'MoodysData(Raw)'!$D$2:$D$180,"="&amp;'Implied Productivity Ratios'!$C10)/SUMIFS('MoodysData(Raw)'!AF$2:AF$180,'MoodysData(Raw)'!$B$2:$B$180,"=EMP",'MoodysData(Raw)'!$D$2:$D$180,"="&amp;'Implied Productivity Ratios'!$C10)</f>
        <v>122.55920847060599</v>
      </c>
      <c r="AD10">
        <f>SUMIFS('MoodysData(Raw)'!AG$2:AG$180,'MoodysData(Raw)'!$B$2:$B$180,"=GDP",'MoodysData(Raw)'!$D$2:$D$180,"="&amp;'Implied Productivity Ratios'!$C10)/SUMIFS('MoodysData(Raw)'!AG$2:AG$180,'MoodysData(Raw)'!$B$2:$B$180,"=EMP",'MoodysData(Raw)'!$D$2:$D$180,"="&amp;'Implied Productivity Ratios'!$C10)</f>
        <v>125.16236710164186</v>
      </c>
      <c r="AE10">
        <f>SUMIFS('MoodysData(Raw)'!AH$2:AH$180,'MoodysData(Raw)'!$B$2:$B$180,"=GDP",'MoodysData(Raw)'!$D$2:$D$180,"="&amp;'Implied Productivity Ratios'!$C10)/SUMIFS('MoodysData(Raw)'!AH$2:AH$180,'MoodysData(Raw)'!$B$2:$B$180,"=EMP",'MoodysData(Raw)'!$D$2:$D$180,"="&amp;'Implied Productivity Ratios'!$C10)</f>
        <v>126.95605876297319</v>
      </c>
      <c r="AF10">
        <f>SUMIFS('MoodysData(Raw)'!AI$2:AI$180,'MoodysData(Raw)'!$B$2:$B$180,"=GDP",'MoodysData(Raw)'!$D$2:$D$180,"="&amp;'Implied Productivity Ratios'!$C10)/SUMIFS('MoodysData(Raw)'!AI$2:AI$180,'MoodysData(Raw)'!$B$2:$B$180,"=EMP",'MoodysData(Raw)'!$D$2:$D$180,"="&amp;'Implied Productivity Ratios'!$C10)</f>
        <v>128.49698869717133</v>
      </c>
      <c r="AG10">
        <f>SUMIFS('MoodysData(Raw)'!AJ$2:AJ$180,'MoodysData(Raw)'!$B$2:$B$180,"=GDP",'MoodysData(Raw)'!$D$2:$D$180,"="&amp;'Implied Productivity Ratios'!$C10)/SUMIFS('MoodysData(Raw)'!AJ$2:AJ$180,'MoodysData(Raw)'!$B$2:$B$180,"=EMP",'MoodysData(Raw)'!$D$2:$D$180,"="&amp;'Implied Productivity Ratios'!$C10)</f>
        <v>129.93694347757705</v>
      </c>
      <c r="AH10">
        <f>SUMIFS('MoodysData(Raw)'!AK$2:AK$180,'MoodysData(Raw)'!$B$2:$B$180,"=GDP",'MoodysData(Raw)'!$D$2:$D$180,"="&amp;'Implied Productivity Ratios'!$C10)/SUMIFS('MoodysData(Raw)'!AK$2:AK$180,'MoodysData(Raw)'!$B$2:$B$180,"=EMP",'MoodysData(Raw)'!$D$2:$D$180,"="&amp;'Implied Productivity Ratios'!$C10)</f>
        <v>131.09770959595289</v>
      </c>
      <c r="AI10">
        <f>SUMIFS('MoodysData(Raw)'!AL$2:AL$180,'MoodysData(Raw)'!$B$2:$B$180,"=GDP",'MoodysData(Raw)'!$D$2:$D$180,"="&amp;'Implied Productivity Ratios'!$C10)/SUMIFS('MoodysData(Raw)'!AL$2:AL$180,'MoodysData(Raw)'!$B$2:$B$180,"=EMP",'MoodysData(Raw)'!$D$2:$D$180,"="&amp;'Implied Productivity Ratios'!$C10)</f>
        <v>132.14451743358251</v>
      </c>
      <c r="AJ10">
        <f>SUMIFS('MoodysData(Raw)'!AM$2:AM$180,'MoodysData(Raw)'!$B$2:$B$180,"=GDP",'MoodysData(Raw)'!$D$2:$D$180,"="&amp;'Implied Productivity Ratios'!$C10)/SUMIFS('MoodysData(Raw)'!AM$2:AM$180,'MoodysData(Raw)'!$B$2:$B$180,"=EMP",'MoodysData(Raw)'!$D$2:$D$180,"="&amp;'Implied Productivity Ratios'!$C10)</f>
        <v>133.14027110287631</v>
      </c>
      <c r="AK10">
        <f>SUMIFS('MoodysData(Raw)'!AN$2:AN$180,'MoodysData(Raw)'!$B$2:$B$180,"=GDP",'MoodysData(Raw)'!$D$2:$D$180,"="&amp;'Implied Productivity Ratios'!$C10)/SUMIFS('MoodysData(Raw)'!AN$2:AN$180,'MoodysData(Raw)'!$B$2:$B$180,"=EMP",'MoodysData(Raw)'!$D$2:$D$180,"="&amp;'Implied Productivity Ratios'!$C10)</f>
        <v>134.20630641879345</v>
      </c>
      <c r="AL10">
        <f>SUMIFS('MoodysData(Raw)'!AO$2:AO$180,'MoodysData(Raw)'!$B$2:$B$180,"=GDP",'MoodysData(Raw)'!$D$2:$D$180,"="&amp;'Implied Productivity Ratios'!$C10)/SUMIFS('MoodysData(Raw)'!AO$2:AO$180,'MoodysData(Raw)'!$B$2:$B$180,"=EMP",'MoodysData(Raw)'!$D$2:$D$180,"="&amp;'Implied Productivity Ratios'!$C10)</f>
        <v>135.37498662984092</v>
      </c>
      <c r="AM10">
        <f>SUMIFS('MoodysData(Raw)'!AP$2:AP$180,'MoodysData(Raw)'!$B$2:$B$180,"=GDP",'MoodysData(Raw)'!$D$2:$D$180,"="&amp;'Implied Productivity Ratios'!$C10)/SUMIFS('MoodysData(Raw)'!AP$2:AP$180,'MoodysData(Raw)'!$B$2:$B$180,"=EMP",'MoodysData(Raw)'!$D$2:$D$180,"="&amp;'Implied Productivity Ratios'!$C10)</f>
        <v>136.56704925047183</v>
      </c>
      <c r="AN10">
        <f>SUMIFS('MoodysData(Raw)'!AQ$2:AQ$180,'MoodysData(Raw)'!$B$2:$B$180,"=GDP",'MoodysData(Raw)'!$D$2:$D$180,"="&amp;'Implied Productivity Ratios'!$C10)/SUMIFS('MoodysData(Raw)'!AQ$2:AQ$180,'MoodysData(Raw)'!$B$2:$B$180,"=EMP",'MoodysData(Raw)'!$D$2:$D$180,"="&amp;'Implied Productivity Ratios'!$C10)</f>
        <v>137.6174583274605</v>
      </c>
      <c r="AO10">
        <f>SUMIFS('MoodysData(Raw)'!AR$2:AR$180,'MoodysData(Raw)'!$B$2:$B$180,"=GDP",'MoodysData(Raw)'!$D$2:$D$180,"="&amp;'Implied Productivity Ratios'!$C10)/SUMIFS('MoodysData(Raw)'!AR$2:AR$180,'MoodysData(Raw)'!$B$2:$B$180,"=EMP",'MoodysData(Raw)'!$D$2:$D$180,"="&amp;'Implied Productivity Ratios'!$C10)</f>
        <v>138.51521783746605</v>
      </c>
      <c r="AP10">
        <f>SUMIFS('MoodysData(Raw)'!AS$2:AS$180,'MoodysData(Raw)'!$B$2:$B$180,"=GDP",'MoodysData(Raw)'!$D$2:$D$180,"="&amp;'Implied Productivity Ratios'!$C10)/SUMIFS('MoodysData(Raw)'!AS$2:AS$180,'MoodysData(Raw)'!$B$2:$B$180,"=EMP",'MoodysData(Raw)'!$D$2:$D$180,"="&amp;'Implied Productivity Ratios'!$C10)</f>
        <v>139.41402108890151</v>
      </c>
      <c r="AQ10">
        <f>SUMIFS('MoodysData(Raw)'!AT$2:AT$180,'MoodysData(Raw)'!$B$2:$B$180,"=GDP",'MoodysData(Raw)'!$D$2:$D$180,"="&amp;'Implied Productivity Ratios'!$C10)/SUMIFS('MoodysData(Raw)'!AT$2:AT$180,'MoodysData(Raw)'!$B$2:$B$180,"=EMP",'MoodysData(Raw)'!$D$2:$D$180,"="&amp;'Implied Productivity Ratios'!$C10)</f>
        <v>140.16052847078467</v>
      </c>
      <c r="AR10">
        <f>SUMIFS('MoodysData(Raw)'!AU$2:AU$180,'MoodysData(Raw)'!$B$2:$B$180,"=GDP",'MoodysData(Raw)'!$D$2:$D$180,"="&amp;'Implied Productivity Ratios'!$C10)/SUMIFS('MoodysData(Raw)'!AU$2:AU$180,'MoodysData(Raw)'!$B$2:$B$180,"=EMP",'MoodysData(Raw)'!$D$2:$D$180,"="&amp;'Implied Productivity Ratios'!$C10)</f>
        <v>140.84760083140637</v>
      </c>
      <c r="AS10">
        <f>SUMIFS('MoodysData(Raw)'!AV$2:AV$180,'MoodysData(Raw)'!$B$2:$B$180,"=GDP",'MoodysData(Raw)'!$D$2:$D$180,"="&amp;'Implied Productivity Ratios'!$C10)/SUMIFS('MoodysData(Raw)'!AV$2:AV$180,'MoodysData(Raw)'!$B$2:$B$180,"=EMP",'MoodysData(Raw)'!$D$2:$D$180,"="&amp;'Implied Productivity Ratios'!$C10)</f>
        <v>141.49893580227209</v>
      </c>
      <c r="AT10">
        <f>SUMIFS('MoodysData(Raw)'!AW$2:AW$180,'MoodysData(Raw)'!$B$2:$B$180,"=GDP",'MoodysData(Raw)'!$D$2:$D$180,"="&amp;'Implied Productivity Ratios'!$C10)/SUMIFS('MoodysData(Raw)'!AW$2:AW$180,'MoodysData(Raw)'!$B$2:$B$180,"=EMP",'MoodysData(Raw)'!$D$2:$D$180,"="&amp;'Implied Productivity Ratios'!$C10)</f>
        <v>142.14348992580778</v>
      </c>
      <c r="AU10">
        <f>SUMIFS('MoodysData(Raw)'!AX$2:AX$180,'MoodysData(Raw)'!$B$2:$B$180,"=GDP",'MoodysData(Raw)'!$D$2:$D$180,"="&amp;'Implied Productivity Ratios'!$C10)/SUMIFS('MoodysData(Raw)'!AX$2:AX$180,'MoodysData(Raw)'!$B$2:$B$180,"=EMP",'MoodysData(Raw)'!$D$2:$D$180,"="&amp;'Implied Productivity Ratios'!$C10)</f>
        <v>142.9183945396511</v>
      </c>
      <c r="AV10">
        <f>SUMIFS('MoodysData(Raw)'!AY$2:AY$180,'MoodysData(Raw)'!$B$2:$B$180,"=GDP",'MoodysData(Raw)'!$D$2:$D$180,"="&amp;'Implied Productivity Ratios'!$C10)/SUMIFS('MoodysData(Raw)'!AY$2:AY$180,'MoodysData(Raw)'!$B$2:$B$180,"=EMP",'MoodysData(Raw)'!$D$2:$D$180,"="&amp;'Implied Productivity Ratios'!$C10)</f>
        <v>143.76029139846239</v>
      </c>
      <c r="AW10">
        <f>SUMIFS('MoodysData(Raw)'!AZ$2:AZ$180,'MoodysData(Raw)'!$B$2:$B$180,"=GDP",'MoodysData(Raw)'!$D$2:$D$180,"="&amp;'Implied Productivity Ratios'!$C10)/SUMIFS('MoodysData(Raw)'!AZ$2:AZ$180,'MoodysData(Raw)'!$B$2:$B$180,"=EMP",'MoodysData(Raw)'!$D$2:$D$180,"="&amp;'Implied Productivity Ratios'!$C10)</f>
        <v>144.55660970170402</v>
      </c>
      <c r="AX10">
        <f>SUMIFS('MoodysData(Raw)'!BA$2:BA$180,'MoodysData(Raw)'!$B$2:$B$180,"=GDP",'MoodysData(Raw)'!$D$2:$D$180,"="&amp;'Implied Productivity Ratios'!$C10)/SUMIFS('MoodysData(Raw)'!BA$2:BA$180,'MoodysData(Raw)'!$B$2:$B$180,"=EMP",'MoodysData(Raw)'!$D$2:$D$180,"="&amp;'Implied Productivity Ratios'!$C10)</f>
        <v>145.34488393674226</v>
      </c>
      <c r="AY10">
        <f>SUMIFS('MoodysData(Raw)'!BB$2:BB$180,'MoodysData(Raw)'!$B$2:$B$180,"=GDP",'MoodysData(Raw)'!$D$2:$D$180,"="&amp;'Implied Productivity Ratios'!$C10)/SUMIFS('MoodysData(Raw)'!BB$2:BB$180,'MoodysData(Raw)'!$B$2:$B$180,"=EMP",'MoodysData(Raw)'!$D$2:$D$180,"="&amp;'Implied Productivity Ratios'!$C10)</f>
        <v>146.06880500212978</v>
      </c>
      <c r="AZ10">
        <f>SUMIFS('MoodysData(Raw)'!BC$2:BC$180,'MoodysData(Raw)'!$B$2:$B$180,"=GDP",'MoodysData(Raw)'!$D$2:$D$180,"="&amp;'Implied Productivity Ratios'!$C10)/SUMIFS('MoodysData(Raw)'!BC$2:BC$180,'MoodysData(Raw)'!$B$2:$B$180,"=EMP",'MoodysData(Raw)'!$D$2:$D$180,"="&amp;'Implied Productivity Ratios'!$C10)</f>
        <v>146.74315534001397</v>
      </c>
      <c r="BA10">
        <f>SUMIFS('MoodysData(Raw)'!BD$2:BD$180,'MoodysData(Raw)'!$B$2:$B$180,"=GDP",'MoodysData(Raw)'!$D$2:$D$180,"="&amp;'Implied Productivity Ratios'!$C10)/SUMIFS('MoodysData(Raw)'!BD$2:BD$180,'MoodysData(Raw)'!$B$2:$B$180,"=EMP",'MoodysData(Raw)'!$D$2:$D$180,"="&amp;'Implied Productivity Ratios'!$C10)</f>
        <v>147.3936419995805</v>
      </c>
      <c r="BB10">
        <f>SUMIFS('MoodysData(Raw)'!BE$2:BE$180,'MoodysData(Raw)'!$B$2:$B$180,"=GDP",'MoodysData(Raw)'!$D$2:$D$180,"="&amp;'Implied Productivity Ratios'!$C10)/SUMIFS('MoodysData(Raw)'!BE$2:BE$180,'MoodysData(Raw)'!$B$2:$B$180,"=EMP",'MoodysData(Raw)'!$D$2:$D$180,"="&amp;'Implied Productivity Ratios'!$C10)</f>
        <v>148.16714527217644</v>
      </c>
      <c r="BC10">
        <f>SUMIFS('MoodysData(Raw)'!BF$2:BF$180,'MoodysData(Raw)'!$B$2:$B$180,"=GDP",'MoodysData(Raw)'!$D$2:$D$180,"="&amp;'Implied Productivity Ratios'!$C10)/SUMIFS('MoodysData(Raw)'!BF$2:BF$180,'MoodysData(Raw)'!$B$2:$B$180,"=EMP",'MoodysData(Raw)'!$D$2:$D$180,"="&amp;'Implied Productivity Ratios'!$C10)</f>
        <v>149.03412431095194</v>
      </c>
      <c r="BD10" s="5">
        <f t="shared" ref="BD10:BH10" si="4">BC10+($BC10-$AX10)/5</f>
        <v>149.77197238579387</v>
      </c>
      <c r="BE10" s="5">
        <f t="shared" si="4"/>
        <v>150.50982046063581</v>
      </c>
      <c r="BF10" s="5">
        <f t="shared" si="4"/>
        <v>151.24766853547774</v>
      </c>
      <c r="BG10" s="5">
        <f t="shared" si="4"/>
        <v>151.98551661031968</v>
      </c>
      <c r="BH10" s="5">
        <f t="shared" si="4"/>
        <v>152.72336468516161</v>
      </c>
    </row>
    <row r="11" spans="3:60">
      <c r="C11">
        <v>237</v>
      </c>
      <c r="D11" t="s">
        <v>326</v>
      </c>
      <c r="E11">
        <f>SUMIFS('MoodysData(Raw)'!H$2:H$180,'MoodysData(Raw)'!$B$2:$B$180,"=GDP",'MoodysData(Raw)'!$D$2:$D$180,"="&amp;'Implied Productivity Ratios'!$C11)/SUMIFS('MoodysData(Raw)'!H$2:H$180,'MoodysData(Raw)'!$B$2:$B$180,"=EMP",'MoodysData(Raw)'!$D$2:$D$180,"="&amp;'Implied Productivity Ratios'!$C11)</f>
        <v>149.955404696503</v>
      </c>
      <c r="F11">
        <f>SUMIFS('MoodysData(Raw)'!I$2:I$180,'MoodysData(Raw)'!$B$2:$B$180,"=GDP",'MoodysData(Raw)'!$D$2:$D$180,"="&amp;'Implied Productivity Ratios'!$C11)/SUMIFS('MoodysData(Raw)'!I$2:I$180,'MoodysData(Raw)'!$B$2:$B$180,"=EMP",'MoodysData(Raw)'!$D$2:$D$180,"="&amp;'Implied Productivity Ratios'!$C11)</f>
        <v>140.90965316331355</v>
      </c>
      <c r="G11">
        <f>SUMIFS('MoodysData(Raw)'!J$2:J$180,'MoodysData(Raw)'!$B$2:$B$180,"=GDP",'MoodysData(Raw)'!$D$2:$D$180,"="&amp;'Implied Productivity Ratios'!$C11)/SUMIFS('MoodysData(Raw)'!J$2:J$180,'MoodysData(Raw)'!$B$2:$B$180,"=EMP",'MoodysData(Raw)'!$D$2:$D$180,"="&amp;'Implied Productivity Ratios'!$C11)</f>
        <v>137.99086975335351</v>
      </c>
      <c r="H11">
        <f>SUMIFS('MoodysData(Raw)'!K$2:K$180,'MoodysData(Raw)'!$B$2:$B$180,"=GDP",'MoodysData(Raw)'!$D$2:$D$180,"="&amp;'Implied Productivity Ratios'!$C11)/SUMIFS('MoodysData(Raw)'!K$2:K$180,'MoodysData(Raw)'!$B$2:$B$180,"=EMP",'MoodysData(Raw)'!$D$2:$D$180,"="&amp;'Implied Productivity Ratios'!$C11)</f>
        <v>132.94359843012793</v>
      </c>
      <c r="I11">
        <f>SUMIFS('MoodysData(Raw)'!L$2:L$180,'MoodysData(Raw)'!$B$2:$B$180,"=GDP",'MoodysData(Raw)'!$D$2:$D$180,"="&amp;'Implied Productivity Ratios'!$C11)/SUMIFS('MoodysData(Raw)'!L$2:L$180,'MoodysData(Raw)'!$B$2:$B$180,"=EMP",'MoodysData(Raw)'!$D$2:$D$180,"="&amp;'Implied Productivity Ratios'!$C11)</f>
        <v>136.31752274094123</v>
      </c>
      <c r="J11">
        <f>SUMIFS('MoodysData(Raw)'!M$2:M$180,'MoodysData(Raw)'!$B$2:$B$180,"=GDP",'MoodysData(Raw)'!$D$2:$D$180,"="&amp;'Implied Productivity Ratios'!$C11)/SUMIFS('MoodysData(Raw)'!M$2:M$180,'MoodysData(Raw)'!$B$2:$B$180,"=EMP",'MoodysData(Raw)'!$D$2:$D$180,"="&amp;'Implied Productivity Ratios'!$C11)</f>
        <v>141.4388469059856</v>
      </c>
      <c r="K11">
        <f>SUMIFS('MoodysData(Raw)'!N$2:N$180,'MoodysData(Raw)'!$B$2:$B$180,"=GDP",'MoodysData(Raw)'!$D$2:$D$180,"="&amp;'Implied Productivity Ratios'!$C11)/SUMIFS('MoodysData(Raw)'!N$2:N$180,'MoodysData(Raw)'!$B$2:$B$180,"=EMP",'MoodysData(Raw)'!$D$2:$D$180,"="&amp;'Implied Productivity Ratios'!$C11)</f>
        <v>141.20289584011425</v>
      </c>
      <c r="L11">
        <f>SUMIFS('MoodysData(Raw)'!O$2:O$180,'MoodysData(Raw)'!$B$2:$B$180,"=GDP",'MoodysData(Raw)'!$D$2:$D$180,"="&amp;'Implied Productivity Ratios'!$C11)/SUMIFS('MoodysData(Raw)'!O$2:O$180,'MoodysData(Raw)'!$B$2:$B$180,"=EMP",'MoodysData(Raw)'!$D$2:$D$180,"="&amp;'Implied Productivity Ratios'!$C11)</f>
        <v>143.28184532871163</v>
      </c>
      <c r="M11">
        <f>SUMIFS('MoodysData(Raw)'!P$2:P$180,'MoodysData(Raw)'!$B$2:$B$180,"=GDP",'MoodysData(Raw)'!$D$2:$D$180,"="&amp;'Implied Productivity Ratios'!$C11)/SUMIFS('MoodysData(Raw)'!P$2:P$180,'MoodysData(Raw)'!$B$2:$B$180,"=EMP",'MoodysData(Raw)'!$D$2:$D$180,"="&amp;'Implied Productivity Ratios'!$C11)</f>
        <v>143.55468930958961</v>
      </c>
      <c r="N11">
        <f>SUMIFS('MoodysData(Raw)'!Q$2:Q$180,'MoodysData(Raw)'!$B$2:$B$180,"=GDP",'MoodysData(Raw)'!$D$2:$D$180,"="&amp;'Implied Productivity Ratios'!$C11)/SUMIFS('MoodysData(Raw)'!Q$2:Q$180,'MoodysData(Raw)'!$B$2:$B$180,"=EMP",'MoodysData(Raw)'!$D$2:$D$180,"="&amp;'Implied Productivity Ratios'!$C11)</f>
        <v>141.67239350383579</v>
      </c>
      <c r="O11">
        <f>SUMIFS('MoodysData(Raw)'!R$2:R$180,'MoodysData(Raw)'!$B$2:$B$180,"=GDP",'MoodysData(Raw)'!$D$2:$D$180,"="&amp;'Implied Productivity Ratios'!$C11)/SUMIFS('MoodysData(Raw)'!R$2:R$180,'MoodysData(Raw)'!$B$2:$B$180,"=EMP",'MoodysData(Raw)'!$D$2:$D$180,"="&amp;'Implied Productivity Ratios'!$C11)</f>
        <v>141.50670562186994</v>
      </c>
      <c r="P11">
        <f>SUMIFS('MoodysData(Raw)'!S$2:S$180,'MoodysData(Raw)'!$B$2:$B$180,"=GDP",'MoodysData(Raw)'!$D$2:$D$180,"="&amp;'Implied Productivity Ratios'!$C11)/SUMIFS('MoodysData(Raw)'!S$2:S$180,'MoodysData(Raw)'!$B$2:$B$180,"=EMP",'MoodysData(Raw)'!$D$2:$D$180,"="&amp;'Implied Productivity Ratios'!$C11)</f>
        <v>141.63506776577103</v>
      </c>
      <c r="Q11">
        <f>SUMIFS('MoodysData(Raw)'!T$2:T$180,'MoodysData(Raw)'!$B$2:$B$180,"=GDP",'MoodysData(Raw)'!$D$2:$D$180,"="&amp;'Implied Productivity Ratios'!$C11)/SUMIFS('MoodysData(Raw)'!T$2:T$180,'MoodysData(Raw)'!$B$2:$B$180,"=EMP",'MoodysData(Raw)'!$D$2:$D$180,"="&amp;'Implied Productivity Ratios'!$C11)</f>
        <v>144.30254652450216</v>
      </c>
      <c r="R11">
        <f>SUMIFS('MoodysData(Raw)'!U$2:U$180,'MoodysData(Raw)'!$B$2:$B$180,"=GDP",'MoodysData(Raw)'!$D$2:$D$180,"="&amp;'Implied Productivity Ratios'!$C11)/SUMIFS('MoodysData(Raw)'!U$2:U$180,'MoodysData(Raw)'!$B$2:$B$180,"=EMP",'MoodysData(Raw)'!$D$2:$D$180,"="&amp;'Implied Productivity Ratios'!$C11)</f>
        <v>143.03846217123569</v>
      </c>
      <c r="S11">
        <f>SUMIFS('MoodysData(Raw)'!V$2:V$180,'MoodysData(Raw)'!$B$2:$B$180,"=GDP",'MoodysData(Raw)'!$D$2:$D$180,"="&amp;'Implied Productivity Ratios'!$C11)/SUMIFS('MoodysData(Raw)'!V$2:V$180,'MoodysData(Raw)'!$B$2:$B$180,"=EMP",'MoodysData(Raw)'!$D$2:$D$180,"="&amp;'Implied Productivity Ratios'!$C11)</f>
        <v>140.64714721008895</v>
      </c>
      <c r="T11">
        <f>SUMIFS('MoodysData(Raw)'!W$2:W$180,'MoodysData(Raw)'!$B$2:$B$180,"=GDP",'MoodysData(Raw)'!$D$2:$D$180,"="&amp;'Implied Productivity Ratios'!$C11)/SUMIFS('MoodysData(Raw)'!W$2:W$180,'MoodysData(Raw)'!$B$2:$B$180,"=EMP",'MoodysData(Raw)'!$D$2:$D$180,"="&amp;'Implied Productivity Ratios'!$C11)</f>
        <v>141.9541574892516</v>
      </c>
      <c r="U11">
        <f>SUMIFS('MoodysData(Raw)'!X$2:X$180,'MoodysData(Raw)'!$B$2:$B$180,"=GDP",'MoodysData(Raw)'!$D$2:$D$180,"="&amp;'Implied Productivity Ratios'!$C11)/SUMIFS('MoodysData(Raw)'!X$2:X$180,'MoodysData(Raw)'!$B$2:$B$180,"=EMP",'MoodysData(Raw)'!$D$2:$D$180,"="&amp;'Implied Productivity Ratios'!$C11)</f>
        <v>142.10721111342556</v>
      </c>
      <c r="V11">
        <f>SUMIFS('MoodysData(Raw)'!Y$2:Y$180,'MoodysData(Raw)'!$B$2:$B$180,"=GDP",'MoodysData(Raw)'!$D$2:$D$180,"="&amp;'Implied Productivity Ratios'!$C11)/SUMIFS('MoodysData(Raw)'!Y$2:Y$180,'MoodysData(Raw)'!$B$2:$B$180,"=EMP",'MoodysData(Raw)'!$D$2:$D$180,"="&amp;'Implied Productivity Ratios'!$C11)</f>
        <v>127.44772131957457</v>
      </c>
      <c r="W11">
        <f>SUMIFS('MoodysData(Raw)'!Z$2:Z$180,'MoodysData(Raw)'!$B$2:$B$180,"=GDP",'MoodysData(Raw)'!$D$2:$D$180,"="&amp;'Implied Productivity Ratios'!$C11)/SUMIFS('MoodysData(Raw)'!Z$2:Z$180,'MoodysData(Raw)'!$B$2:$B$180,"=EMP",'MoodysData(Raw)'!$D$2:$D$180,"="&amp;'Implied Productivity Ratios'!$C11)</f>
        <v>120.75598960448306</v>
      </c>
      <c r="X11">
        <f>SUMIFS('MoodysData(Raw)'!AA$2:AA$180,'MoodysData(Raw)'!$B$2:$B$180,"=GDP",'MoodysData(Raw)'!$D$2:$D$180,"="&amp;'Implied Productivity Ratios'!$C11)/SUMIFS('MoodysData(Raw)'!AA$2:AA$180,'MoodysData(Raw)'!$B$2:$B$180,"=EMP",'MoodysData(Raw)'!$D$2:$D$180,"="&amp;'Implied Productivity Ratios'!$C11)</f>
        <v>122.48809061568276</v>
      </c>
      <c r="Y11">
        <f>SUMIFS('MoodysData(Raw)'!AB$2:AB$180,'MoodysData(Raw)'!$B$2:$B$180,"=GDP",'MoodysData(Raw)'!$D$2:$D$180,"="&amp;'Implied Productivity Ratios'!$C11)/SUMIFS('MoodysData(Raw)'!AB$2:AB$180,'MoodysData(Raw)'!$B$2:$B$180,"=EMP",'MoodysData(Raw)'!$D$2:$D$180,"="&amp;'Implied Productivity Ratios'!$C11)</f>
        <v>122.53607005218491</v>
      </c>
      <c r="Z11">
        <f>SUMIFS('MoodysData(Raw)'!AC$2:AC$180,'MoodysData(Raw)'!$B$2:$B$180,"=GDP",'MoodysData(Raw)'!$D$2:$D$180,"="&amp;'Implied Productivity Ratios'!$C11)/SUMIFS('MoodysData(Raw)'!AC$2:AC$180,'MoodysData(Raw)'!$B$2:$B$180,"=EMP",'MoodysData(Raw)'!$D$2:$D$180,"="&amp;'Implied Productivity Ratios'!$C11)</f>
        <v>126.41834088111054</v>
      </c>
      <c r="AA11">
        <f>SUMIFS('MoodysData(Raw)'!AD$2:AD$180,'MoodysData(Raw)'!$B$2:$B$180,"=GDP",'MoodysData(Raw)'!$D$2:$D$180,"="&amp;'Implied Productivity Ratios'!$C11)/SUMIFS('MoodysData(Raw)'!AD$2:AD$180,'MoodysData(Raw)'!$B$2:$B$180,"=EMP",'MoodysData(Raw)'!$D$2:$D$180,"="&amp;'Implied Productivity Ratios'!$C11)</f>
        <v>130.37695295027706</v>
      </c>
      <c r="AB11">
        <f>SUMIFS('MoodysData(Raw)'!AE$2:AE$180,'MoodysData(Raw)'!$B$2:$B$180,"=GDP",'MoodysData(Raw)'!$D$2:$D$180,"="&amp;'Implied Productivity Ratios'!$C11)/SUMIFS('MoodysData(Raw)'!AE$2:AE$180,'MoodysData(Raw)'!$B$2:$B$180,"=EMP",'MoodysData(Raw)'!$D$2:$D$180,"="&amp;'Implied Productivity Ratios'!$C11)</f>
        <v>134.15492165521218</v>
      </c>
      <c r="AC11">
        <f>SUMIFS('MoodysData(Raw)'!AF$2:AF$180,'MoodysData(Raw)'!$B$2:$B$180,"=GDP",'MoodysData(Raw)'!$D$2:$D$180,"="&amp;'Implied Productivity Ratios'!$C11)/SUMIFS('MoodysData(Raw)'!AF$2:AF$180,'MoodysData(Raw)'!$B$2:$B$180,"=EMP",'MoodysData(Raw)'!$D$2:$D$180,"="&amp;'Implied Productivity Ratios'!$C11)</f>
        <v>138.59284288937923</v>
      </c>
      <c r="AD11">
        <f>SUMIFS('MoodysData(Raw)'!AG$2:AG$180,'MoodysData(Raw)'!$B$2:$B$180,"=GDP",'MoodysData(Raw)'!$D$2:$D$180,"="&amp;'Implied Productivity Ratios'!$C11)/SUMIFS('MoodysData(Raw)'!AG$2:AG$180,'MoodysData(Raw)'!$B$2:$B$180,"=EMP",'MoodysData(Raw)'!$D$2:$D$180,"="&amp;'Implied Productivity Ratios'!$C11)</f>
        <v>143.07551156965755</v>
      </c>
      <c r="AE11">
        <f>SUMIFS('MoodysData(Raw)'!AH$2:AH$180,'MoodysData(Raw)'!$B$2:$B$180,"=GDP",'MoodysData(Raw)'!$D$2:$D$180,"="&amp;'Implied Productivity Ratios'!$C11)/SUMIFS('MoodysData(Raw)'!AH$2:AH$180,'MoodysData(Raw)'!$B$2:$B$180,"=EMP",'MoodysData(Raw)'!$D$2:$D$180,"="&amp;'Implied Productivity Ratios'!$C11)</f>
        <v>146.63641562940822</v>
      </c>
      <c r="AF11">
        <f>SUMIFS('MoodysData(Raw)'!AI$2:AI$180,'MoodysData(Raw)'!$B$2:$B$180,"=GDP",'MoodysData(Raw)'!$D$2:$D$180,"="&amp;'Implied Productivity Ratios'!$C11)/SUMIFS('MoodysData(Raw)'!AI$2:AI$180,'MoodysData(Raw)'!$B$2:$B$180,"=EMP",'MoodysData(Raw)'!$D$2:$D$180,"="&amp;'Implied Productivity Ratios'!$C11)</f>
        <v>149.89388608936403</v>
      </c>
      <c r="AG11">
        <f>SUMIFS('MoodysData(Raw)'!AJ$2:AJ$180,'MoodysData(Raw)'!$B$2:$B$180,"=GDP",'MoodysData(Raw)'!$D$2:$D$180,"="&amp;'Implied Productivity Ratios'!$C11)/SUMIFS('MoodysData(Raw)'!AJ$2:AJ$180,'MoodysData(Raw)'!$B$2:$B$180,"=EMP",'MoodysData(Raw)'!$D$2:$D$180,"="&amp;'Implied Productivity Ratios'!$C11)</f>
        <v>153.01181964211642</v>
      </c>
      <c r="AH11">
        <f>SUMIFS('MoodysData(Raw)'!AK$2:AK$180,'MoodysData(Raw)'!$B$2:$B$180,"=GDP",'MoodysData(Raw)'!$D$2:$D$180,"="&amp;'Implied Productivity Ratios'!$C11)/SUMIFS('MoodysData(Raw)'!AK$2:AK$180,'MoodysData(Raw)'!$B$2:$B$180,"=EMP",'MoodysData(Raw)'!$D$2:$D$180,"="&amp;'Implied Productivity Ratios'!$C11)</f>
        <v>155.7701059209592</v>
      </c>
      <c r="AI11">
        <f>SUMIFS('MoodysData(Raw)'!AL$2:AL$180,'MoodysData(Raw)'!$B$2:$B$180,"=GDP",'MoodysData(Raw)'!$D$2:$D$180,"="&amp;'Implied Productivity Ratios'!$C11)/SUMIFS('MoodysData(Raw)'!AL$2:AL$180,'MoodysData(Raw)'!$B$2:$B$180,"=EMP",'MoodysData(Raw)'!$D$2:$D$180,"="&amp;'Implied Productivity Ratios'!$C11)</f>
        <v>158.35908232970777</v>
      </c>
      <c r="AJ11">
        <f>SUMIFS('MoodysData(Raw)'!AM$2:AM$180,'MoodysData(Raw)'!$B$2:$B$180,"=GDP",'MoodysData(Raw)'!$D$2:$D$180,"="&amp;'Implied Productivity Ratios'!$C11)/SUMIFS('MoodysData(Raw)'!AM$2:AM$180,'MoodysData(Raw)'!$B$2:$B$180,"=EMP",'MoodysData(Raw)'!$D$2:$D$180,"="&amp;'Implied Productivity Ratios'!$C11)</f>
        <v>160.8514440593284</v>
      </c>
      <c r="AK11">
        <f>SUMIFS('MoodysData(Raw)'!AN$2:AN$180,'MoodysData(Raw)'!$B$2:$B$180,"=GDP",'MoodysData(Raw)'!$D$2:$D$180,"="&amp;'Implied Productivity Ratios'!$C11)/SUMIFS('MoodysData(Raw)'!AN$2:AN$180,'MoodysData(Raw)'!$B$2:$B$180,"=EMP",'MoodysData(Raw)'!$D$2:$D$180,"="&amp;'Implied Productivity Ratios'!$C11)</f>
        <v>163.38939876807461</v>
      </c>
      <c r="AL11">
        <f>SUMIFS('MoodysData(Raw)'!AO$2:AO$180,'MoodysData(Raw)'!$B$2:$B$180,"=GDP",'MoodysData(Raw)'!$D$2:$D$180,"="&amp;'Implied Productivity Ratios'!$C11)/SUMIFS('MoodysData(Raw)'!AO$2:AO$180,'MoodysData(Raw)'!$B$2:$B$180,"=EMP",'MoodysData(Raw)'!$D$2:$D$180,"="&amp;'Implied Productivity Ratios'!$C11)</f>
        <v>166.00966151798795</v>
      </c>
      <c r="AM11">
        <f>SUMIFS('MoodysData(Raw)'!AP$2:AP$180,'MoodysData(Raw)'!$B$2:$B$180,"=GDP",'MoodysData(Raw)'!$D$2:$D$180,"="&amp;'Implied Productivity Ratios'!$C11)/SUMIFS('MoodysData(Raw)'!AP$2:AP$180,'MoodysData(Raw)'!$B$2:$B$180,"=EMP",'MoodysData(Raw)'!$D$2:$D$180,"="&amp;'Implied Productivity Ratios'!$C11)</f>
        <v>168.61509488170313</v>
      </c>
      <c r="AN11">
        <f>SUMIFS('MoodysData(Raw)'!AQ$2:AQ$180,'MoodysData(Raw)'!$B$2:$B$180,"=GDP",'MoodysData(Raw)'!$D$2:$D$180,"="&amp;'Implied Productivity Ratios'!$C11)/SUMIFS('MoodysData(Raw)'!AQ$2:AQ$180,'MoodysData(Raw)'!$B$2:$B$180,"=EMP",'MoodysData(Raw)'!$D$2:$D$180,"="&amp;'Implied Productivity Ratios'!$C11)</f>
        <v>171.00027523288941</v>
      </c>
      <c r="AO11">
        <f>SUMIFS('MoodysData(Raw)'!AR$2:AR$180,'MoodysData(Raw)'!$B$2:$B$180,"=GDP",'MoodysData(Raw)'!$D$2:$D$180,"="&amp;'Implied Productivity Ratios'!$C11)/SUMIFS('MoodysData(Raw)'!AR$2:AR$180,'MoodysData(Raw)'!$B$2:$B$180,"=EMP",'MoodysData(Raw)'!$D$2:$D$180,"="&amp;'Implied Productivity Ratios'!$C11)</f>
        <v>173.14538662819371</v>
      </c>
      <c r="AP11">
        <f>SUMIFS('MoodysData(Raw)'!AS$2:AS$180,'MoodysData(Raw)'!$B$2:$B$180,"=GDP",'MoodysData(Raw)'!$D$2:$D$180,"="&amp;'Implied Productivity Ratios'!$C11)/SUMIFS('MoodysData(Raw)'!AS$2:AS$180,'MoodysData(Raw)'!$B$2:$B$180,"=EMP",'MoodysData(Raw)'!$D$2:$D$180,"="&amp;'Implied Productivity Ratios'!$C11)</f>
        <v>175.23281542609817</v>
      </c>
      <c r="AQ11">
        <f>SUMIFS('MoodysData(Raw)'!AT$2:AT$180,'MoodysData(Raw)'!$B$2:$B$180,"=GDP",'MoodysData(Raw)'!$D$2:$D$180,"="&amp;'Implied Productivity Ratios'!$C11)/SUMIFS('MoodysData(Raw)'!AT$2:AT$180,'MoodysData(Raw)'!$B$2:$B$180,"=EMP",'MoodysData(Raw)'!$D$2:$D$180,"="&amp;'Implied Productivity Ratios'!$C11)</f>
        <v>177.06435850178937</v>
      </c>
      <c r="AR11">
        <f>SUMIFS('MoodysData(Raw)'!AU$2:AU$180,'MoodysData(Raw)'!$B$2:$B$180,"=GDP",'MoodysData(Raw)'!$D$2:$D$180,"="&amp;'Implied Productivity Ratios'!$C11)/SUMIFS('MoodysData(Raw)'!AU$2:AU$180,'MoodysData(Raw)'!$B$2:$B$180,"=EMP",'MoodysData(Raw)'!$D$2:$D$180,"="&amp;'Implied Productivity Ratios'!$C11)</f>
        <v>178.74748886605002</v>
      </c>
      <c r="AS11">
        <f>SUMIFS('MoodysData(Raw)'!AV$2:AV$180,'MoodysData(Raw)'!$B$2:$B$180,"=GDP",'MoodysData(Raw)'!$D$2:$D$180,"="&amp;'Implied Productivity Ratios'!$C11)/SUMIFS('MoodysData(Raw)'!AV$2:AV$180,'MoodysData(Raw)'!$B$2:$B$180,"=EMP",'MoodysData(Raw)'!$D$2:$D$180,"="&amp;'Implied Productivity Ratios'!$C11)</f>
        <v>180.30989708976176</v>
      </c>
      <c r="AT11">
        <f>SUMIFS('MoodysData(Raw)'!AW$2:AW$180,'MoodysData(Raw)'!$B$2:$B$180,"=GDP",'MoodysData(Raw)'!$D$2:$D$180,"="&amp;'Implied Productivity Ratios'!$C11)/SUMIFS('MoodysData(Raw)'!AW$2:AW$180,'MoodysData(Raw)'!$B$2:$B$180,"=EMP",'MoodysData(Raw)'!$D$2:$D$180,"="&amp;'Implied Productivity Ratios'!$C11)</f>
        <v>181.78894760712242</v>
      </c>
      <c r="AU11">
        <f>SUMIFS('MoodysData(Raw)'!AX$2:AX$180,'MoodysData(Raw)'!$B$2:$B$180,"=GDP",'MoodysData(Raw)'!$D$2:$D$180,"="&amp;'Implied Productivity Ratios'!$C11)/SUMIFS('MoodysData(Raw)'!AX$2:AX$180,'MoodysData(Raw)'!$B$2:$B$180,"=EMP",'MoodysData(Raw)'!$D$2:$D$180,"="&amp;'Implied Productivity Ratios'!$C11)</f>
        <v>183.35783905389602</v>
      </c>
      <c r="AV11">
        <f>SUMIFS('MoodysData(Raw)'!AY$2:AY$180,'MoodysData(Raw)'!$B$2:$B$180,"=GDP",'MoodysData(Raw)'!$D$2:$D$180,"="&amp;'Implied Productivity Ratios'!$C11)/SUMIFS('MoodysData(Raw)'!AY$2:AY$180,'MoodysData(Raw)'!$B$2:$B$180,"=EMP",'MoodysData(Raw)'!$D$2:$D$180,"="&amp;'Implied Productivity Ratios'!$C11)</f>
        <v>184.9345509092083</v>
      </c>
      <c r="AW11">
        <f>SUMIFS('MoodysData(Raw)'!AZ$2:AZ$180,'MoodysData(Raw)'!$B$2:$B$180,"=GDP",'MoodysData(Raw)'!$D$2:$D$180,"="&amp;'Implied Productivity Ratios'!$C11)/SUMIFS('MoodysData(Raw)'!AZ$2:AZ$180,'MoodysData(Raw)'!$B$2:$B$180,"=EMP",'MoodysData(Raw)'!$D$2:$D$180,"="&amp;'Implied Productivity Ratios'!$C11)</f>
        <v>186.37558374309125</v>
      </c>
      <c r="AX11">
        <f>SUMIFS('MoodysData(Raw)'!BA$2:BA$180,'MoodysData(Raw)'!$B$2:$B$180,"=GDP",'MoodysData(Raw)'!$D$2:$D$180,"="&amp;'Implied Productivity Ratios'!$C11)/SUMIFS('MoodysData(Raw)'!BA$2:BA$180,'MoodysData(Raw)'!$B$2:$B$180,"=EMP",'MoodysData(Raw)'!$D$2:$D$180,"="&amp;'Implied Productivity Ratios'!$C11)</f>
        <v>187.72598870338351</v>
      </c>
      <c r="AY11">
        <f>SUMIFS('MoodysData(Raw)'!BB$2:BB$180,'MoodysData(Raw)'!$B$2:$B$180,"=GDP",'MoodysData(Raw)'!$D$2:$D$180,"="&amp;'Implied Productivity Ratios'!$C11)/SUMIFS('MoodysData(Raw)'!BB$2:BB$180,'MoodysData(Raw)'!$B$2:$B$180,"=EMP",'MoodysData(Raw)'!$D$2:$D$180,"="&amp;'Implied Productivity Ratios'!$C11)</f>
        <v>188.91497001085341</v>
      </c>
      <c r="AZ11">
        <f>SUMIFS('MoodysData(Raw)'!BC$2:BC$180,'MoodysData(Raw)'!$B$2:$B$180,"=GDP",'MoodysData(Raw)'!$D$2:$D$180,"="&amp;'Implied Productivity Ratios'!$C11)/SUMIFS('MoodysData(Raw)'!BC$2:BC$180,'MoodysData(Raw)'!$B$2:$B$180,"=EMP",'MoodysData(Raw)'!$D$2:$D$180,"="&amp;'Implied Productivity Ratios'!$C11)</f>
        <v>189.96040570586325</v>
      </c>
      <c r="BA11">
        <f>SUMIFS('MoodysData(Raw)'!BD$2:BD$180,'MoodysData(Raw)'!$B$2:$B$180,"=GDP",'MoodysData(Raw)'!$D$2:$D$180,"="&amp;'Implied Productivity Ratios'!$C11)/SUMIFS('MoodysData(Raw)'!BD$2:BD$180,'MoodysData(Raw)'!$B$2:$B$180,"=EMP",'MoodysData(Raw)'!$D$2:$D$180,"="&amp;'Implied Productivity Ratios'!$C11)</f>
        <v>190.88547933313129</v>
      </c>
      <c r="BB11">
        <f>SUMIFS('MoodysData(Raw)'!BE$2:BE$180,'MoodysData(Raw)'!$B$2:$B$180,"=GDP",'MoodysData(Raw)'!$D$2:$D$180,"="&amp;'Implied Productivity Ratios'!$C11)/SUMIFS('MoodysData(Raw)'!BE$2:BE$180,'MoodysData(Raw)'!$B$2:$B$180,"=EMP",'MoodysData(Raw)'!$D$2:$D$180,"="&amp;'Implied Productivity Ratios'!$C11)</f>
        <v>191.88327527179413</v>
      </c>
      <c r="BC11">
        <f>SUMIFS('MoodysData(Raw)'!BF$2:BF$180,'MoodysData(Raw)'!$B$2:$B$180,"=GDP",'MoodysData(Raw)'!$D$2:$D$180,"="&amp;'Implied Productivity Ratios'!$C11)/SUMIFS('MoodysData(Raw)'!BF$2:BF$180,'MoodysData(Raw)'!$B$2:$B$180,"=EMP",'MoodysData(Raw)'!$D$2:$D$180,"="&amp;'Implied Productivity Ratios'!$C11)</f>
        <v>192.91577793702317</v>
      </c>
      <c r="BD11" s="5">
        <f t="shared" ref="BD11:BH11" si="5">BC11+($BC11-$AX11)/5</f>
        <v>193.95373578375109</v>
      </c>
      <c r="BE11" s="5">
        <f t="shared" si="5"/>
        <v>194.99169363047901</v>
      </c>
      <c r="BF11" s="5">
        <f t="shared" si="5"/>
        <v>196.02965147720693</v>
      </c>
      <c r="BG11" s="5">
        <f t="shared" si="5"/>
        <v>197.06760932393485</v>
      </c>
      <c r="BH11" s="5">
        <f t="shared" si="5"/>
        <v>198.10556717066277</v>
      </c>
    </row>
    <row r="12" spans="3:60">
      <c r="C12">
        <v>238</v>
      </c>
      <c r="D12" t="s">
        <v>330</v>
      </c>
      <c r="E12">
        <f>SUMIFS('MoodysData(Raw)'!H$2:H$180,'MoodysData(Raw)'!$B$2:$B$180,"=GDP",'MoodysData(Raw)'!$D$2:$D$180,"="&amp;'Implied Productivity Ratios'!$C12)/SUMIFS('MoodysData(Raw)'!H$2:H$180,'MoodysData(Raw)'!$B$2:$B$180,"=EMP",'MoodysData(Raw)'!$D$2:$D$180,"="&amp;'Implied Productivity Ratios'!$C12)</f>
        <v>116.75101217680334</v>
      </c>
      <c r="F12">
        <f>SUMIFS('MoodysData(Raw)'!I$2:I$180,'MoodysData(Raw)'!$B$2:$B$180,"=GDP",'MoodysData(Raw)'!$D$2:$D$180,"="&amp;'Implied Productivity Ratios'!$C12)/SUMIFS('MoodysData(Raw)'!I$2:I$180,'MoodysData(Raw)'!$B$2:$B$180,"=EMP",'MoodysData(Raw)'!$D$2:$D$180,"="&amp;'Implied Productivity Ratios'!$C12)</f>
        <v>109.13184599624283</v>
      </c>
      <c r="G12">
        <f>SUMIFS('MoodysData(Raw)'!J$2:J$180,'MoodysData(Raw)'!$B$2:$B$180,"=GDP",'MoodysData(Raw)'!$D$2:$D$180,"="&amp;'Implied Productivity Ratios'!$C12)/SUMIFS('MoodysData(Raw)'!J$2:J$180,'MoodysData(Raw)'!$B$2:$B$180,"=EMP",'MoodysData(Raw)'!$D$2:$D$180,"="&amp;'Implied Productivity Ratios'!$C12)</f>
        <v>107.58744846322492</v>
      </c>
      <c r="H12">
        <f>SUMIFS('MoodysData(Raw)'!K$2:K$180,'MoodysData(Raw)'!$B$2:$B$180,"=GDP",'MoodysData(Raw)'!$D$2:$D$180,"="&amp;'Implied Productivity Ratios'!$C12)/SUMIFS('MoodysData(Raw)'!K$2:K$180,'MoodysData(Raw)'!$B$2:$B$180,"=EMP",'MoodysData(Raw)'!$D$2:$D$180,"="&amp;'Implied Productivity Ratios'!$C12)</f>
        <v>103.80057973273212</v>
      </c>
      <c r="I12">
        <f>SUMIFS('MoodysData(Raw)'!L$2:L$180,'MoodysData(Raw)'!$B$2:$B$180,"=GDP",'MoodysData(Raw)'!$D$2:$D$180,"="&amp;'Implied Productivity Ratios'!$C12)/SUMIFS('MoodysData(Raw)'!L$2:L$180,'MoodysData(Raw)'!$B$2:$B$180,"=EMP",'MoodysData(Raw)'!$D$2:$D$180,"="&amp;'Implied Productivity Ratios'!$C12)</f>
        <v>106.37148584818335</v>
      </c>
      <c r="J12">
        <f>SUMIFS('MoodysData(Raw)'!M$2:M$180,'MoodysData(Raw)'!$B$2:$B$180,"=GDP",'MoodysData(Raw)'!$D$2:$D$180,"="&amp;'Implied Productivity Ratios'!$C12)/SUMIFS('MoodysData(Raw)'!M$2:M$180,'MoodysData(Raw)'!$B$2:$B$180,"=EMP",'MoodysData(Raw)'!$D$2:$D$180,"="&amp;'Implied Productivity Ratios'!$C12)</f>
        <v>110.36872893067728</v>
      </c>
      <c r="K12">
        <f>SUMIFS('MoodysData(Raw)'!N$2:N$180,'MoodysData(Raw)'!$B$2:$B$180,"=GDP",'MoodysData(Raw)'!$D$2:$D$180,"="&amp;'Implied Productivity Ratios'!$C12)/SUMIFS('MoodysData(Raw)'!N$2:N$180,'MoodysData(Raw)'!$B$2:$B$180,"=EMP",'MoodysData(Raw)'!$D$2:$D$180,"="&amp;'Implied Productivity Ratios'!$C12)</f>
        <v>109.43850227014212</v>
      </c>
      <c r="L12">
        <f>SUMIFS('MoodysData(Raw)'!O$2:O$180,'MoodysData(Raw)'!$B$2:$B$180,"=GDP",'MoodysData(Raw)'!$D$2:$D$180,"="&amp;'Implied Productivity Ratios'!$C12)/SUMIFS('MoodysData(Raw)'!O$2:O$180,'MoodysData(Raw)'!$B$2:$B$180,"=EMP",'MoodysData(Raw)'!$D$2:$D$180,"="&amp;'Implied Productivity Ratios'!$C12)</f>
        <v>110.51631382033828</v>
      </c>
      <c r="M12">
        <f>SUMIFS('MoodysData(Raw)'!P$2:P$180,'MoodysData(Raw)'!$B$2:$B$180,"=GDP",'MoodysData(Raw)'!$D$2:$D$180,"="&amp;'Implied Productivity Ratios'!$C12)/SUMIFS('MoodysData(Raw)'!P$2:P$180,'MoodysData(Raw)'!$B$2:$B$180,"=EMP",'MoodysData(Raw)'!$D$2:$D$180,"="&amp;'Implied Productivity Ratios'!$C12)</f>
        <v>110.56888267211247</v>
      </c>
      <c r="N12">
        <f>SUMIFS('MoodysData(Raw)'!Q$2:Q$180,'MoodysData(Raw)'!$B$2:$B$180,"=GDP",'MoodysData(Raw)'!$D$2:$D$180,"="&amp;'Implied Productivity Ratios'!$C12)/SUMIFS('MoodysData(Raw)'!Q$2:Q$180,'MoodysData(Raw)'!$B$2:$B$180,"=EMP",'MoodysData(Raw)'!$D$2:$D$180,"="&amp;'Implied Productivity Ratios'!$C12)</f>
        <v>108.65345256964659</v>
      </c>
      <c r="O12">
        <f>SUMIFS('MoodysData(Raw)'!R$2:R$180,'MoodysData(Raw)'!$B$2:$B$180,"=GDP",'MoodysData(Raw)'!$D$2:$D$180,"="&amp;'Implied Productivity Ratios'!$C12)/SUMIFS('MoodysData(Raw)'!R$2:R$180,'MoodysData(Raw)'!$B$2:$B$180,"=EMP",'MoodysData(Raw)'!$D$2:$D$180,"="&amp;'Implied Productivity Ratios'!$C12)</f>
        <v>109.54125635193863</v>
      </c>
      <c r="P12">
        <f>SUMIFS('MoodysData(Raw)'!S$2:S$180,'MoodysData(Raw)'!$B$2:$B$180,"=GDP",'MoodysData(Raw)'!$D$2:$D$180,"="&amp;'Implied Productivity Ratios'!$C12)/SUMIFS('MoodysData(Raw)'!S$2:S$180,'MoodysData(Raw)'!$B$2:$B$180,"=EMP",'MoodysData(Raw)'!$D$2:$D$180,"="&amp;'Implied Productivity Ratios'!$C12)</f>
        <v>110.8384052104153</v>
      </c>
      <c r="Q12">
        <f>SUMIFS('MoodysData(Raw)'!T$2:T$180,'MoodysData(Raw)'!$B$2:$B$180,"=GDP",'MoodysData(Raw)'!$D$2:$D$180,"="&amp;'Implied Productivity Ratios'!$C12)/SUMIFS('MoodysData(Raw)'!T$2:T$180,'MoodysData(Raw)'!$B$2:$B$180,"=EMP",'MoodysData(Raw)'!$D$2:$D$180,"="&amp;'Implied Productivity Ratios'!$C12)</f>
        <v>111.61879444454119</v>
      </c>
      <c r="R12">
        <f>SUMIFS('MoodysData(Raw)'!U$2:U$180,'MoodysData(Raw)'!$B$2:$B$180,"=GDP",'MoodysData(Raw)'!$D$2:$D$180,"="&amp;'Implied Productivity Ratios'!$C12)/SUMIFS('MoodysData(Raw)'!U$2:U$180,'MoodysData(Raw)'!$B$2:$B$180,"=EMP",'MoodysData(Raw)'!$D$2:$D$180,"="&amp;'Implied Productivity Ratios'!$C12)</f>
        <v>109.98034508653238</v>
      </c>
      <c r="S12">
        <f>SUMIFS('MoodysData(Raw)'!V$2:V$180,'MoodysData(Raw)'!$B$2:$B$180,"=GDP",'MoodysData(Raw)'!$D$2:$D$180,"="&amp;'Implied Productivity Ratios'!$C12)/SUMIFS('MoodysData(Raw)'!V$2:V$180,'MoodysData(Raw)'!$B$2:$B$180,"=EMP",'MoodysData(Raw)'!$D$2:$D$180,"="&amp;'Implied Productivity Ratios'!$C12)</f>
        <v>109.19977157804105</v>
      </c>
      <c r="T12">
        <f>SUMIFS('MoodysData(Raw)'!W$2:W$180,'MoodysData(Raw)'!$B$2:$B$180,"=GDP",'MoodysData(Raw)'!$D$2:$D$180,"="&amp;'Implied Productivity Ratios'!$C12)/SUMIFS('MoodysData(Raw)'!W$2:W$180,'MoodysData(Raw)'!$B$2:$B$180,"=EMP",'MoodysData(Raw)'!$D$2:$D$180,"="&amp;'Implied Productivity Ratios'!$C12)</f>
        <v>110.22437136067248</v>
      </c>
      <c r="U12">
        <f>SUMIFS('MoodysData(Raw)'!X$2:X$180,'MoodysData(Raw)'!$B$2:$B$180,"=GDP",'MoodysData(Raw)'!$D$2:$D$180,"="&amp;'Implied Productivity Ratios'!$C12)/SUMIFS('MoodysData(Raw)'!X$2:X$180,'MoodysData(Raw)'!$B$2:$B$180,"=EMP",'MoodysData(Raw)'!$D$2:$D$180,"="&amp;'Implied Productivity Ratios'!$C12)</f>
        <v>110.33655726660919</v>
      </c>
      <c r="V12">
        <f>SUMIFS('MoodysData(Raw)'!Y$2:Y$180,'MoodysData(Raw)'!$B$2:$B$180,"=GDP",'MoodysData(Raw)'!$D$2:$D$180,"="&amp;'Implied Productivity Ratios'!$C12)/SUMIFS('MoodysData(Raw)'!Y$2:Y$180,'MoodysData(Raw)'!$B$2:$B$180,"=EMP",'MoodysData(Raw)'!$D$2:$D$180,"="&amp;'Implied Productivity Ratios'!$C12)</f>
        <v>100.57617911679836</v>
      </c>
      <c r="W12">
        <f>SUMIFS('MoodysData(Raw)'!Z$2:Z$180,'MoodysData(Raw)'!$B$2:$B$180,"=GDP",'MoodysData(Raw)'!$D$2:$D$180,"="&amp;'Implied Productivity Ratios'!$C12)/SUMIFS('MoodysData(Raw)'!Z$2:Z$180,'MoodysData(Raw)'!$B$2:$B$180,"=EMP",'MoodysData(Raw)'!$D$2:$D$180,"="&amp;'Implied Productivity Ratios'!$C12)</f>
        <v>95.850791679787051</v>
      </c>
      <c r="X12">
        <f>SUMIFS('MoodysData(Raw)'!AA$2:AA$180,'MoodysData(Raw)'!$B$2:$B$180,"=GDP",'MoodysData(Raw)'!$D$2:$D$180,"="&amp;'Implied Productivity Ratios'!$C12)/SUMIFS('MoodysData(Raw)'!AA$2:AA$180,'MoodysData(Raw)'!$B$2:$B$180,"=EMP",'MoodysData(Raw)'!$D$2:$D$180,"="&amp;'Implied Productivity Ratios'!$C12)</f>
        <v>97.990799065929167</v>
      </c>
      <c r="Y12">
        <f>SUMIFS('MoodysData(Raw)'!AB$2:AB$180,'MoodysData(Raw)'!$B$2:$B$180,"=GDP",'MoodysData(Raw)'!$D$2:$D$180,"="&amp;'Implied Productivity Ratios'!$C12)/SUMIFS('MoodysData(Raw)'!AB$2:AB$180,'MoodysData(Raw)'!$B$2:$B$180,"=EMP",'MoodysData(Raw)'!$D$2:$D$180,"="&amp;'Implied Productivity Ratios'!$C12)</f>
        <v>97.013143864907164</v>
      </c>
      <c r="Z12">
        <f>SUMIFS('MoodysData(Raw)'!AC$2:AC$180,'MoodysData(Raw)'!$B$2:$B$180,"=GDP",'MoodysData(Raw)'!$D$2:$D$180,"="&amp;'Implied Productivity Ratios'!$C12)/SUMIFS('MoodysData(Raw)'!AC$2:AC$180,'MoodysData(Raw)'!$B$2:$B$180,"=EMP",'MoodysData(Raw)'!$D$2:$D$180,"="&amp;'Implied Productivity Ratios'!$C12)</f>
        <v>99.120179160268023</v>
      </c>
      <c r="AA12">
        <f>SUMIFS('MoodysData(Raw)'!AD$2:AD$180,'MoodysData(Raw)'!$B$2:$B$180,"=GDP",'MoodysData(Raw)'!$D$2:$D$180,"="&amp;'Implied Productivity Ratios'!$C12)/SUMIFS('MoodysData(Raw)'!AD$2:AD$180,'MoodysData(Raw)'!$B$2:$B$180,"=EMP",'MoodysData(Raw)'!$D$2:$D$180,"="&amp;'Implied Productivity Ratios'!$C12)</f>
        <v>101.26451459473067</v>
      </c>
      <c r="AB12">
        <f>SUMIFS('MoodysData(Raw)'!AE$2:AE$180,'MoodysData(Raw)'!$B$2:$B$180,"=GDP",'MoodysData(Raw)'!$D$2:$D$180,"="&amp;'Implied Productivity Ratios'!$C12)/SUMIFS('MoodysData(Raw)'!AE$2:AE$180,'MoodysData(Raw)'!$B$2:$B$180,"=EMP",'MoodysData(Raw)'!$D$2:$D$180,"="&amp;'Implied Productivity Ratios'!$C12)</f>
        <v>103.25927925006265</v>
      </c>
      <c r="AC12">
        <f>SUMIFS('MoodysData(Raw)'!AF$2:AF$180,'MoodysData(Raw)'!$B$2:$B$180,"=GDP",'MoodysData(Raw)'!$D$2:$D$180,"="&amp;'Implied Productivity Ratios'!$C12)/SUMIFS('MoodysData(Raw)'!AF$2:AF$180,'MoodysData(Raw)'!$B$2:$B$180,"=EMP",'MoodysData(Raw)'!$D$2:$D$180,"="&amp;'Implied Productivity Ratios'!$C12)</f>
        <v>105.75207946342802</v>
      </c>
      <c r="AD12">
        <f>SUMIFS('MoodysData(Raw)'!AG$2:AG$180,'MoodysData(Raw)'!$B$2:$B$180,"=GDP",'MoodysData(Raw)'!$D$2:$D$180,"="&amp;'Implied Productivity Ratios'!$C12)/SUMIFS('MoodysData(Raw)'!AG$2:AG$180,'MoodysData(Raw)'!$B$2:$B$180,"=EMP",'MoodysData(Raw)'!$D$2:$D$180,"="&amp;'Implied Productivity Ratios'!$C12)</f>
        <v>108.26386765747652</v>
      </c>
      <c r="AE12">
        <f>SUMIFS('MoodysData(Raw)'!AH$2:AH$180,'MoodysData(Raw)'!$B$2:$B$180,"=GDP",'MoodysData(Raw)'!$D$2:$D$180,"="&amp;'Implied Productivity Ratios'!$C12)/SUMIFS('MoodysData(Raw)'!AH$2:AH$180,'MoodysData(Raw)'!$B$2:$B$180,"=EMP",'MoodysData(Raw)'!$D$2:$D$180,"="&amp;'Implied Productivity Ratios'!$C12)</f>
        <v>110.07213519857162</v>
      </c>
      <c r="AF12">
        <f>SUMIFS('MoodysData(Raw)'!AI$2:AI$180,'MoodysData(Raw)'!$B$2:$B$180,"=GDP",'MoodysData(Raw)'!$D$2:$D$180,"="&amp;'Implied Productivity Ratios'!$C12)/SUMIFS('MoodysData(Raw)'!AI$2:AI$180,'MoodysData(Raw)'!$B$2:$B$180,"=EMP",'MoodysData(Raw)'!$D$2:$D$180,"="&amp;'Implied Productivity Ratios'!$C12)</f>
        <v>111.65785825508088</v>
      </c>
      <c r="AG12">
        <f>SUMIFS('MoodysData(Raw)'!AJ$2:AJ$180,'MoodysData(Raw)'!$B$2:$B$180,"=GDP",'MoodysData(Raw)'!$D$2:$D$180,"="&amp;'Implied Productivity Ratios'!$C12)/SUMIFS('MoodysData(Raw)'!AJ$2:AJ$180,'MoodysData(Raw)'!$B$2:$B$180,"=EMP",'MoodysData(Raw)'!$D$2:$D$180,"="&amp;'Implied Productivity Ratios'!$C12)</f>
        <v>113.14839929704384</v>
      </c>
      <c r="AH12">
        <f>SUMIFS('MoodysData(Raw)'!AK$2:AK$180,'MoodysData(Raw)'!$B$2:$B$180,"=GDP",'MoodysData(Raw)'!$D$2:$D$180,"="&amp;'Implied Productivity Ratios'!$C12)/SUMIFS('MoodysData(Raw)'!AK$2:AK$180,'MoodysData(Raw)'!$B$2:$B$180,"=EMP",'MoodysData(Raw)'!$D$2:$D$180,"="&amp;'Implied Productivity Ratios'!$C12)</f>
        <v>114.38889954353928</v>
      </c>
      <c r="AI12">
        <f>SUMIFS('MoodysData(Raw)'!AL$2:AL$180,'MoodysData(Raw)'!$B$2:$B$180,"=GDP",'MoodysData(Raw)'!$D$2:$D$180,"="&amp;'Implied Productivity Ratios'!$C12)/SUMIFS('MoodysData(Raw)'!AL$2:AL$180,'MoodysData(Raw)'!$B$2:$B$180,"=EMP",'MoodysData(Raw)'!$D$2:$D$180,"="&amp;'Implied Productivity Ratios'!$C12)</f>
        <v>115.52414682525041</v>
      </c>
      <c r="AJ12">
        <f>SUMIFS('MoodysData(Raw)'!AM$2:AM$180,'MoodysData(Raw)'!$B$2:$B$180,"=GDP",'MoodysData(Raw)'!$D$2:$D$180,"="&amp;'Implied Productivity Ratios'!$C12)/SUMIFS('MoodysData(Raw)'!AM$2:AM$180,'MoodysData(Raw)'!$B$2:$B$180,"=EMP",'MoodysData(Raw)'!$D$2:$D$180,"="&amp;'Implied Productivity Ratios'!$C12)</f>
        <v>116.60790359528421</v>
      </c>
      <c r="AK12">
        <f>SUMIFS('MoodysData(Raw)'!AN$2:AN$180,'MoodysData(Raw)'!$B$2:$B$180,"=GDP",'MoodysData(Raw)'!$D$2:$D$180,"="&amp;'Implied Productivity Ratios'!$C12)/SUMIFS('MoodysData(Raw)'!AN$2:AN$180,'MoodysData(Raw)'!$B$2:$B$180,"=EMP",'MoodysData(Raw)'!$D$2:$D$180,"="&amp;'Implied Productivity Ratios'!$C12)</f>
        <v>117.74665961010761</v>
      </c>
      <c r="AL12">
        <f>SUMIFS('MoodysData(Raw)'!AO$2:AO$180,'MoodysData(Raw)'!$B$2:$B$180,"=GDP",'MoodysData(Raw)'!$D$2:$D$180,"="&amp;'Implied Productivity Ratios'!$C12)/SUMIFS('MoodysData(Raw)'!AO$2:AO$180,'MoodysData(Raw)'!$B$2:$B$180,"=EMP",'MoodysData(Raw)'!$D$2:$D$180,"="&amp;'Implied Productivity Ratios'!$C12)</f>
        <v>118.96697784187651</v>
      </c>
      <c r="AM12">
        <f>SUMIFS('MoodysData(Raw)'!AP$2:AP$180,'MoodysData(Raw)'!$B$2:$B$180,"=GDP",'MoodysData(Raw)'!$D$2:$D$180,"="&amp;'Implied Productivity Ratios'!$C12)/SUMIFS('MoodysData(Raw)'!AP$2:AP$180,'MoodysData(Raw)'!$B$2:$B$180,"=EMP",'MoodysData(Raw)'!$D$2:$D$180,"="&amp;'Implied Productivity Ratios'!$C12)</f>
        <v>120.19728279490646</v>
      </c>
      <c r="AN12">
        <f>SUMIFS('MoodysData(Raw)'!AQ$2:AQ$180,'MoodysData(Raw)'!$B$2:$B$180,"=GDP",'MoodysData(Raw)'!$D$2:$D$180,"="&amp;'Implied Productivity Ratios'!$C12)/SUMIFS('MoodysData(Raw)'!AQ$2:AQ$180,'MoodysData(Raw)'!$B$2:$B$180,"=EMP",'MoodysData(Raw)'!$D$2:$D$180,"="&amp;'Implied Productivity Ratios'!$C12)</f>
        <v>121.29075860633661</v>
      </c>
      <c r="AO12">
        <f>SUMIFS('MoodysData(Raw)'!AR$2:AR$180,'MoodysData(Raw)'!$B$2:$B$180,"=GDP",'MoodysData(Raw)'!$D$2:$D$180,"="&amp;'Implied Productivity Ratios'!$C12)/SUMIFS('MoodysData(Raw)'!AR$2:AR$180,'MoodysData(Raw)'!$B$2:$B$180,"=EMP",'MoodysData(Raw)'!$D$2:$D$180,"="&amp;'Implied Productivity Ratios'!$C12)</f>
        <v>122.23645911466107</v>
      </c>
      <c r="AP12">
        <f>SUMIFS('MoodysData(Raw)'!AS$2:AS$180,'MoodysData(Raw)'!$B$2:$B$180,"=GDP",'MoodysData(Raw)'!$D$2:$D$180,"="&amp;'Implied Productivity Ratios'!$C12)/SUMIFS('MoodysData(Raw)'!AS$2:AS$180,'MoodysData(Raw)'!$B$2:$B$180,"=EMP",'MoodysData(Raw)'!$D$2:$D$180,"="&amp;'Implied Productivity Ratios'!$C12)</f>
        <v>123.17054320650189</v>
      </c>
      <c r="AQ12">
        <f>SUMIFS('MoodysData(Raw)'!AT$2:AT$180,'MoodysData(Raw)'!$B$2:$B$180,"=GDP",'MoodysData(Raw)'!$D$2:$D$180,"="&amp;'Implied Productivity Ratios'!$C12)/SUMIFS('MoodysData(Raw)'!AT$2:AT$180,'MoodysData(Raw)'!$B$2:$B$180,"=EMP",'MoodysData(Raw)'!$D$2:$D$180,"="&amp;'Implied Productivity Ratios'!$C12)</f>
        <v>123.95675348330956</v>
      </c>
      <c r="AR12">
        <f>SUMIFS('MoodysData(Raw)'!AU$2:AU$180,'MoodysData(Raw)'!$B$2:$B$180,"=GDP",'MoodysData(Raw)'!$D$2:$D$180,"="&amp;'Implied Productivity Ratios'!$C12)/SUMIFS('MoodysData(Raw)'!AU$2:AU$180,'MoodysData(Raw)'!$B$2:$B$180,"=EMP",'MoodysData(Raw)'!$D$2:$D$180,"="&amp;'Implied Productivity Ratios'!$C12)</f>
        <v>124.67601847627107</v>
      </c>
      <c r="AS12">
        <f>SUMIFS('MoodysData(Raw)'!AV$2:AV$180,'MoodysData(Raw)'!$B$2:$B$180,"=GDP",'MoodysData(Raw)'!$D$2:$D$180,"="&amp;'Implied Productivity Ratios'!$C12)/SUMIFS('MoodysData(Raw)'!AV$2:AV$180,'MoodysData(Raw)'!$B$2:$B$180,"=EMP",'MoodysData(Raw)'!$D$2:$D$180,"="&amp;'Implied Productivity Ratios'!$C12)</f>
        <v>125.3500128318514</v>
      </c>
      <c r="AT12">
        <f>SUMIFS('MoodysData(Raw)'!AW$2:AW$180,'MoodysData(Raw)'!$B$2:$B$180,"=GDP",'MoodysData(Raw)'!$D$2:$D$180,"="&amp;'Implied Productivity Ratios'!$C12)/SUMIFS('MoodysData(Raw)'!AW$2:AW$180,'MoodysData(Raw)'!$B$2:$B$180,"=EMP",'MoodysData(Raw)'!$D$2:$D$180,"="&amp;'Implied Productivity Ratios'!$C12)</f>
        <v>126.00534722766081</v>
      </c>
      <c r="AU12">
        <f>SUMIFS('MoodysData(Raw)'!AX$2:AX$180,'MoodysData(Raw)'!$B$2:$B$180,"=GDP",'MoodysData(Raw)'!$D$2:$D$180,"="&amp;'Implied Productivity Ratios'!$C12)/SUMIFS('MoodysData(Raw)'!AX$2:AX$180,'MoodysData(Raw)'!$B$2:$B$180,"=EMP",'MoodysData(Raw)'!$D$2:$D$180,"="&amp;'Implied Productivity Ratios'!$C12)</f>
        <v>126.76323857205455</v>
      </c>
      <c r="AV12">
        <f>SUMIFS('MoodysData(Raw)'!AY$2:AY$180,'MoodysData(Raw)'!$B$2:$B$180,"=GDP",'MoodysData(Raw)'!$D$2:$D$180,"="&amp;'Implied Productivity Ratios'!$C12)/SUMIFS('MoodysData(Raw)'!AY$2:AY$180,'MoodysData(Raw)'!$B$2:$B$180,"=EMP",'MoodysData(Raw)'!$D$2:$D$180,"="&amp;'Implied Productivity Ratios'!$C12)</f>
        <v>127.56657031759413</v>
      </c>
      <c r="AW12">
        <f>SUMIFS('MoodysData(Raw)'!AZ$2:AZ$180,'MoodysData(Raw)'!$B$2:$B$180,"=GDP",'MoodysData(Raw)'!$D$2:$D$180,"="&amp;'Implied Productivity Ratios'!$C12)/SUMIFS('MoodysData(Raw)'!AZ$2:AZ$180,'MoodysData(Raw)'!$B$2:$B$180,"=EMP",'MoodysData(Raw)'!$D$2:$D$180,"="&amp;'Implied Productivity Ratios'!$C12)</f>
        <v>128.31526155274744</v>
      </c>
      <c r="AX12">
        <f>SUMIFS('MoodysData(Raw)'!BA$2:BA$180,'MoodysData(Raw)'!$B$2:$B$180,"=GDP",'MoodysData(Raw)'!$D$2:$D$180,"="&amp;'Implied Productivity Ratios'!$C12)/SUMIFS('MoodysData(Raw)'!BA$2:BA$180,'MoodysData(Raw)'!$B$2:$B$180,"=EMP",'MoodysData(Raw)'!$D$2:$D$180,"="&amp;'Implied Productivity Ratios'!$C12)</f>
        <v>129.04259445206995</v>
      </c>
      <c r="AY12">
        <f>SUMIFS('MoodysData(Raw)'!BB$2:BB$180,'MoodysData(Raw)'!$B$2:$B$180,"=GDP",'MoodysData(Raw)'!$D$2:$D$180,"="&amp;'Implied Productivity Ratios'!$C12)/SUMIFS('MoodysData(Raw)'!BB$2:BB$180,'MoodysData(Raw)'!$B$2:$B$180,"=EMP",'MoodysData(Raw)'!$D$2:$D$180,"="&amp;'Implied Productivity Ratios'!$C12)</f>
        <v>129.69826640670581</v>
      </c>
      <c r="AZ12">
        <f>SUMIFS('MoodysData(Raw)'!BC$2:BC$180,'MoodysData(Raw)'!$B$2:$B$180,"=GDP",'MoodysData(Raw)'!$D$2:$D$180,"="&amp;'Implied Productivity Ratios'!$C12)/SUMIFS('MoodysData(Raw)'!BC$2:BC$180,'MoodysData(Raw)'!$B$2:$B$180,"=EMP",'MoodysData(Raw)'!$D$2:$D$180,"="&amp;'Implied Productivity Ratios'!$C12)</f>
        <v>130.29539459121989</v>
      </c>
      <c r="BA12">
        <f>SUMIFS('MoodysData(Raw)'!BD$2:BD$180,'MoodysData(Raw)'!$B$2:$B$180,"=GDP",'MoodysData(Raw)'!$D$2:$D$180,"="&amp;'Implied Productivity Ratios'!$C12)/SUMIFS('MoodysData(Raw)'!BD$2:BD$180,'MoodysData(Raw)'!$B$2:$B$180,"=EMP",'MoodysData(Raw)'!$D$2:$D$180,"="&amp;'Implied Productivity Ratios'!$C12)</f>
        <v>130.85470252131597</v>
      </c>
      <c r="BB12">
        <f>SUMIFS('MoodysData(Raw)'!BE$2:BE$180,'MoodysData(Raw)'!$B$2:$B$180,"=GDP",'MoodysData(Raw)'!$D$2:$D$180,"="&amp;'Implied Productivity Ratios'!$C12)/SUMIFS('MoodysData(Raw)'!BE$2:BE$180,'MoodysData(Raw)'!$B$2:$B$180,"=EMP",'MoodysData(Raw)'!$D$2:$D$180,"="&amp;'Implied Productivity Ratios'!$C12)</f>
        <v>131.50799951482912</v>
      </c>
      <c r="BC12">
        <f>SUMIFS('MoodysData(Raw)'!BF$2:BF$180,'MoodysData(Raw)'!$B$2:$B$180,"=GDP",'MoodysData(Raw)'!$D$2:$D$180,"="&amp;'Implied Productivity Ratios'!$C12)/SUMIFS('MoodysData(Raw)'!BF$2:BF$180,'MoodysData(Raw)'!$B$2:$B$180,"=EMP",'MoodysData(Raw)'!$D$2:$D$180,"="&amp;'Implied Productivity Ratios'!$C12)</f>
        <v>132.22917451797483</v>
      </c>
      <c r="BD12" s="5">
        <f t="shared" ref="BD12:BH12" si="6">BC12+($BC12-$AX12)/5</f>
        <v>132.86649053115579</v>
      </c>
      <c r="BE12" s="5">
        <f t="shared" si="6"/>
        <v>133.50380654433675</v>
      </c>
      <c r="BF12" s="5">
        <f t="shared" si="6"/>
        <v>134.14112255751772</v>
      </c>
      <c r="BG12" s="5">
        <f t="shared" si="6"/>
        <v>134.77843857069868</v>
      </c>
      <c r="BH12" s="5">
        <f t="shared" si="6"/>
        <v>135.41575458387965</v>
      </c>
    </row>
    <row r="13" spans="3:60">
      <c r="C13">
        <v>311</v>
      </c>
      <c r="D13" t="s">
        <v>35</v>
      </c>
      <c r="E13">
        <f>SUMIFS('MoodysData(Raw)'!H$2:H$180,'MoodysData(Raw)'!$B$2:$B$180,"=GDP",'MoodysData(Raw)'!$D$2:$D$180,"="&amp;'Implied Productivity Ratios'!$C13)/SUMIFS('MoodysData(Raw)'!H$2:H$180,'MoodysData(Raw)'!$B$2:$B$180,"=EMP",'MoodysData(Raw)'!$D$2:$D$180,"="&amp;'Implied Productivity Ratios'!$C13)</f>
        <v>95.129880361062291</v>
      </c>
      <c r="F13">
        <f>SUMIFS('MoodysData(Raw)'!I$2:I$180,'MoodysData(Raw)'!$B$2:$B$180,"=GDP",'MoodysData(Raw)'!$D$2:$D$180,"="&amp;'Implied Productivity Ratios'!$C13)/SUMIFS('MoodysData(Raw)'!I$2:I$180,'MoodysData(Raw)'!$B$2:$B$180,"=EMP",'MoodysData(Raw)'!$D$2:$D$180,"="&amp;'Implied Productivity Ratios'!$C13)</f>
        <v>106.57176672990745</v>
      </c>
      <c r="G13">
        <f>SUMIFS('MoodysData(Raw)'!J$2:J$180,'MoodysData(Raw)'!$B$2:$B$180,"=GDP",'MoodysData(Raw)'!$D$2:$D$180,"="&amp;'Implied Productivity Ratios'!$C13)/SUMIFS('MoodysData(Raw)'!J$2:J$180,'MoodysData(Raw)'!$B$2:$B$180,"=EMP",'MoodysData(Raw)'!$D$2:$D$180,"="&amp;'Implied Productivity Ratios'!$C13)</f>
        <v>110.46559759924277</v>
      </c>
      <c r="H13">
        <f>SUMIFS('MoodysData(Raw)'!K$2:K$180,'MoodysData(Raw)'!$B$2:$B$180,"=GDP",'MoodysData(Raw)'!$D$2:$D$180,"="&amp;'Implied Productivity Ratios'!$C13)/SUMIFS('MoodysData(Raw)'!K$2:K$180,'MoodysData(Raw)'!$B$2:$B$180,"=EMP",'MoodysData(Raw)'!$D$2:$D$180,"="&amp;'Implied Productivity Ratios'!$C13)</f>
        <v>103.83378642227255</v>
      </c>
      <c r="I13">
        <f>SUMIFS('MoodysData(Raw)'!L$2:L$180,'MoodysData(Raw)'!$B$2:$B$180,"=GDP",'MoodysData(Raw)'!$D$2:$D$180,"="&amp;'Implied Productivity Ratios'!$C13)/SUMIFS('MoodysData(Raw)'!L$2:L$180,'MoodysData(Raw)'!$B$2:$B$180,"=EMP",'MoodysData(Raw)'!$D$2:$D$180,"="&amp;'Implied Productivity Ratios'!$C13)</f>
        <v>107.80066692593481</v>
      </c>
      <c r="J13">
        <f>SUMIFS('MoodysData(Raw)'!M$2:M$180,'MoodysData(Raw)'!$B$2:$B$180,"=GDP",'MoodysData(Raw)'!$D$2:$D$180,"="&amp;'Implied Productivity Ratios'!$C13)/SUMIFS('MoodysData(Raw)'!M$2:M$180,'MoodysData(Raw)'!$B$2:$B$180,"=EMP",'MoodysData(Raw)'!$D$2:$D$180,"="&amp;'Implied Productivity Ratios'!$C13)</f>
        <v>107.26872496276626</v>
      </c>
      <c r="K13">
        <f>SUMIFS('MoodysData(Raw)'!N$2:N$180,'MoodysData(Raw)'!$B$2:$B$180,"=GDP",'MoodysData(Raw)'!$D$2:$D$180,"="&amp;'Implied Productivity Ratios'!$C13)/SUMIFS('MoodysData(Raw)'!N$2:N$180,'MoodysData(Raw)'!$B$2:$B$180,"=EMP",'MoodysData(Raw)'!$D$2:$D$180,"="&amp;'Implied Productivity Ratios'!$C13)</f>
        <v>106.40410017718338</v>
      </c>
      <c r="L13">
        <f>SUMIFS('MoodysData(Raw)'!O$2:O$180,'MoodysData(Raw)'!$B$2:$B$180,"=GDP",'MoodysData(Raw)'!$D$2:$D$180,"="&amp;'Implied Productivity Ratios'!$C13)/SUMIFS('MoodysData(Raw)'!O$2:O$180,'MoodysData(Raw)'!$B$2:$B$180,"=EMP",'MoodysData(Raw)'!$D$2:$D$180,"="&amp;'Implied Productivity Ratios'!$C13)</f>
        <v>103.64464573819355</v>
      </c>
      <c r="M13">
        <f>SUMIFS('MoodysData(Raw)'!P$2:P$180,'MoodysData(Raw)'!$B$2:$B$180,"=GDP",'MoodysData(Raw)'!$D$2:$D$180,"="&amp;'Implied Productivity Ratios'!$C13)/SUMIFS('MoodysData(Raw)'!P$2:P$180,'MoodysData(Raw)'!$B$2:$B$180,"=EMP",'MoodysData(Raw)'!$D$2:$D$180,"="&amp;'Implied Productivity Ratios'!$C13)</f>
        <v>111.3580057036571</v>
      </c>
      <c r="N13">
        <f>SUMIFS('MoodysData(Raw)'!Q$2:Q$180,'MoodysData(Raw)'!$B$2:$B$180,"=GDP",'MoodysData(Raw)'!$D$2:$D$180,"="&amp;'Implied Productivity Ratios'!$C13)/SUMIFS('MoodysData(Raw)'!Q$2:Q$180,'MoodysData(Raw)'!$B$2:$B$180,"=EMP",'MoodysData(Raw)'!$D$2:$D$180,"="&amp;'Implied Productivity Ratios'!$C13)</f>
        <v>115.19037971150809</v>
      </c>
      <c r="O13">
        <f>SUMIFS('MoodysData(Raw)'!R$2:R$180,'MoodysData(Raw)'!$B$2:$B$180,"=GDP",'MoodysData(Raw)'!$D$2:$D$180,"="&amp;'Implied Productivity Ratios'!$C13)/SUMIFS('MoodysData(Raw)'!R$2:R$180,'MoodysData(Raw)'!$B$2:$B$180,"=EMP",'MoodysData(Raw)'!$D$2:$D$180,"="&amp;'Implied Productivity Ratios'!$C13)</f>
        <v>114.34199492645469</v>
      </c>
      <c r="P13">
        <f>SUMIFS('MoodysData(Raw)'!S$2:S$180,'MoodysData(Raw)'!$B$2:$B$180,"=GDP",'MoodysData(Raw)'!$D$2:$D$180,"="&amp;'Implied Productivity Ratios'!$C13)/SUMIFS('MoodysData(Raw)'!S$2:S$180,'MoodysData(Raw)'!$B$2:$B$180,"=EMP",'MoodysData(Raw)'!$D$2:$D$180,"="&amp;'Implied Productivity Ratios'!$C13)</f>
        <v>108.29264993342588</v>
      </c>
      <c r="Q13">
        <f>SUMIFS('MoodysData(Raw)'!T$2:T$180,'MoodysData(Raw)'!$B$2:$B$180,"=GDP",'MoodysData(Raw)'!$D$2:$D$180,"="&amp;'Implied Productivity Ratios'!$C13)/SUMIFS('MoodysData(Raw)'!T$2:T$180,'MoodysData(Raw)'!$B$2:$B$180,"=EMP",'MoodysData(Raw)'!$D$2:$D$180,"="&amp;'Implied Productivity Ratios'!$C13)</f>
        <v>115.09779954929698</v>
      </c>
      <c r="R13">
        <f>SUMIFS('MoodysData(Raw)'!U$2:U$180,'MoodysData(Raw)'!$B$2:$B$180,"=GDP",'MoodysData(Raw)'!$D$2:$D$180,"="&amp;'Implied Productivity Ratios'!$C13)/SUMIFS('MoodysData(Raw)'!U$2:U$180,'MoodysData(Raw)'!$B$2:$B$180,"=EMP",'MoodysData(Raw)'!$D$2:$D$180,"="&amp;'Implied Productivity Ratios'!$C13)</f>
        <v>115.98916675279217</v>
      </c>
      <c r="S13">
        <f>SUMIFS('MoodysData(Raw)'!V$2:V$180,'MoodysData(Raw)'!$B$2:$B$180,"=GDP",'MoodysData(Raw)'!$D$2:$D$180,"="&amp;'Implied Productivity Ratios'!$C13)/SUMIFS('MoodysData(Raw)'!V$2:V$180,'MoodysData(Raw)'!$B$2:$B$180,"=EMP",'MoodysData(Raw)'!$D$2:$D$180,"="&amp;'Implied Productivity Ratios'!$C13)</f>
        <v>113.05118715335385</v>
      </c>
      <c r="T13">
        <f>SUMIFS('MoodysData(Raw)'!W$2:W$180,'MoodysData(Raw)'!$B$2:$B$180,"=GDP",'MoodysData(Raw)'!$D$2:$D$180,"="&amp;'Implied Productivity Ratios'!$C13)/SUMIFS('MoodysData(Raw)'!W$2:W$180,'MoodysData(Raw)'!$B$2:$B$180,"=EMP",'MoodysData(Raw)'!$D$2:$D$180,"="&amp;'Implied Productivity Ratios'!$C13)</f>
        <v>116.13066507620744</v>
      </c>
      <c r="U13">
        <f>SUMIFS('MoodysData(Raw)'!X$2:X$180,'MoodysData(Raw)'!$B$2:$B$180,"=GDP",'MoodysData(Raw)'!$D$2:$D$180,"="&amp;'Implied Productivity Ratios'!$C13)/SUMIFS('MoodysData(Raw)'!X$2:X$180,'MoodysData(Raw)'!$B$2:$B$180,"=EMP",'MoodysData(Raw)'!$D$2:$D$180,"="&amp;'Implied Productivity Ratios'!$C13)</f>
        <v>123.51194519594581</v>
      </c>
      <c r="V13">
        <f>SUMIFS('MoodysData(Raw)'!Y$2:Y$180,'MoodysData(Raw)'!$B$2:$B$180,"=GDP",'MoodysData(Raw)'!$D$2:$D$180,"="&amp;'Implied Productivity Ratios'!$C13)/SUMIFS('MoodysData(Raw)'!Y$2:Y$180,'MoodysData(Raw)'!$B$2:$B$180,"=EMP",'MoodysData(Raw)'!$D$2:$D$180,"="&amp;'Implied Productivity Ratios'!$C13)</f>
        <v>123.3586208932314</v>
      </c>
      <c r="W13">
        <f>SUMIFS('MoodysData(Raw)'!Z$2:Z$180,'MoodysData(Raw)'!$B$2:$B$180,"=GDP",'MoodysData(Raw)'!$D$2:$D$180,"="&amp;'Implied Productivity Ratios'!$C13)/SUMIFS('MoodysData(Raw)'!Z$2:Z$180,'MoodysData(Raw)'!$B$2:$B$180,"=EMP",'MoodysData(Raw)'!$D$2:$D$180,"="&amp;'Implied Productivity Ratios'!$C13)</f>
        <v>112.36452283761011</v>
      </c>
      <c r="X13">
        <f>SUMIFS('MoodysData(Raw)'!AA$2:AA$180,'MoodysData(Raw)'!$B$2:$B$180,"=GDP",'MoodysData(Raw)'!$D$2:$D$180,"="&amp;'Implied Productivity Ratios'!$C13)/SUMIFS('MoodysData(Raw)'!AA$2:AA$180,'MoodysData(Raw)'!$B$2:$B$180,"=EMP",'MoodysData(Raw)'!$D$2:$D$180,"="&amp;'Implied Productivity Ratios'!$C13)</f>
        <v>107.35504939377785</v>
      </c>
      <c r="Y13">
        <f>SUMIFS('MoodysData(Raw)'!AB$2:AB$180,'MoodysData(Raw)'!$B$2:$B$180,"=GDP",'MoodysData(Raw)'!$D$2:$D$180,"="&amp;'Implied Productivity Ratios'!$C13)/SUMIFS('MoodysData(Raw)'!AB$2:AB$180,'MoodysData(Raw)'!$B$2:$B$180,"=EMP",'MoodysData(Raw)'!$D$2:$D$180,"="&amp;'Implied Productivity Ratios'!$C13)</f>
        <v>107.80908162302113</v>
      </c>
      <c r="Z13">
        <f>SUMIFS('MoodysData(Raw)'!AC$2:AC$180,'MoodysData(Raw)'!$B$2:$B$180,"=GDP",'MoodysData(Raw)'!$D$2:$D$180,"="&amp;'Implied Productivity Ratios'!$C13)/SUMIFS('MoodysData(Raw)'!AC$2:AC$180,'MoodysData(Raw)'!$B$2:$B$180,"=EMP",'MoodysData(Raw)'!$D$2:$D$180,"="&amp;'Implied Productivity Ratios'!$C13)</f>
        <v>107.74487079938439</v>
      </c>
      <c r="AA13">
        <f>SUMIFS('MoodysData(Raw)'!AD$2:AD$180,'MoodysData(Raw)'!$B$2:$B$180,"=GDP",'MoodysData(Raw)'!$D$2:$D$180,"="&amp;'Implied Productivity Ratios'!$C13)/SUMIFS('MoodysData(Raw)'!AD$2:AD$180,'MoodysData(Raw)'!$B$2:$B$180,"=EMP",'MoodysData(Raw)'!$D$2:$D$180,"="&amp;'Implied Productivity Ratios'!$C13)</f>
        <v>108.32874760674063</v>
      </c>
      <c r="AB13">
        <f>SUMIFS('MoodysData(Raw)'!AE$2:AE$180,'MoodysData(Raw)'!$B$2:$B$180,"=GDP",'MoodysData(Raw)'!$D$2:$D$180,"="&amp;'Implied Productivity Ratios'!$C13)/SUMIFS('MoodysData(Raw)'!AE$2:AE$180,'MoodysData(Raw)'!$B$2:$B$180,"=EMP",'MoodysData(Raw)'!$D$2:$D$180,"="&amp;'Implied Productivity Ratios'!$C13)</f>
        <v>109.5553393344414</v>
      </c>
      <c r="AC13">
        <f>SUMIFS('MoodysData(Raw)'!AF$2:AF$180,'MoodysData(Raw)'!$B$2:$B$180,"=GDP",'MoodysData(Raw)'!$D$2:$D$180,"="&amp;'Implied Productivity Ratios'!$C13)/SUMIFS('MoodysData(Raw)'!AF$2:AF$180,'MoodysData(Raw)'!$B$2:$B$180,"=EMP",'MoodysData(Raw)'!$D$2:$D$180,"="&amp;'Implied Productivity Ratios'!$C13)</f>
        <v>111.18968793142751</v>
      </c>
      <c r="AD13">
        <f>SUMIFS('MoodysData(Raw)'!AG$2:AG$180,'MoodysData(Raw)'!$B$2:$B$180,"=GDP",'MoodysData(Raw)'!$D$2:$D$180,"="&amp;'Implied Productivity Ratios'!$C13)/SUMIFS('MoodysData(Raw)'!AG$2:AG$180,'MoodysData(Raw)'!$B$2:$B$180,"=EMP",'MoodysData(Raw)'!$D$2:$D$180,"="&amp;'Implied Productivity Ratios'!$C13)</f>
        <v>113.00179884024942</v>
      </c>
      <c r="AE13">
        <f>SUMIFS('MoodysData(Raw)'!AH$2:AH$180,'MoodysData(Raw)'!$B$2:$B$180,"=GDP",'MoodysData(Raw)'!$D$2:$D$180,"="&amp;'Implied Productivity Ratios'!$C13)/SUMIFS('MoodysData(Raw)'!AH$2:AH$180,'MoodysData(Raw)'!$B$2:$B$180,"=EMP",'MoodysData(Raw)'!$D$2:$D$180,"="&amp;'Implied Productivity Ratios'!$C13)</f>
        <v>114.74787759931461</v>
      </c>
      <c r="AF13">
        <f>SUMIFS('MoodysData(Raw)'!AI$2:AI$180,'MoodysData(Raw)'!$B$2:$B$180,"=GDP",'MoodysData(Raw)'!$D$2:$D$180,"="&amp;'Implied Productivity Ratios'!$C13)/SUMIFS('MoodysData(Raw)'!AI$2:AI$180,'MoodysData(Raw)'!$B$2:$B$180,"=EMP",'MoodysData(Raw)'!$D$2:$D$180,"="&amp;'Implied Productivity Ratios'!$C13)</f>
        <v>116.49624251061026</v>
      </c>
      <c r="AG13">
        <f>SUMIFS('MoodysData(Raw)'!AJ$2:AJ$180,'MoodysData(Raw)'!$B$2:$B$180,"=GDP",'MoodysData(Raw)'!$D$2:$D$180,"="&amp;'Implied Productivity Ratios'!$C13)/SUMIFS('MoodysData(Raw)'!AJ$2:AJ$180,'MoodysData(Raw)'!$B$2:$B$180,"=EMP",'MoodysData(Raw)'!$D$2:$D$180,"="&amp;'Implied Productivity Ratios'!$C13)</f>
        <v>118.2930215724331</v>
      </c>
      <c r="AH13">
        <f>SUMIFS('MoodysData(Raw)'!AK$2:AK$180,'MoodysData(Raw)'!$B$2:$B$180,"=GDP",'MoodysData(Raw)'!$D$2:$D$180,"="&amp;'Implied Productivity Ratios'!$C13)/SUMIFS('MoodysData(Raw)'!AK$2:AK$180,'MoodysData(Raw)'!$B$2:$B$180,"=EMP",'MoodysData(Raw)'!$D$2:$D$180,"="&amp;'Implied Productivity Ratios'!$C13)</f>
        <v>120.02715439677117</v>
      </c>
      <c r="AI13">
        <f>SUMIFS('MoodysData(Raw)'!AL$2:AL$180,'MoodysData(Raw)'!$B$2:$B$180,"=GDP",'MoodysData(Raw)'!$D$2:$D$180,"="&amp;'Implied Productivity Ratios'!$C13)/SUMIFS('MoodysData(Raw)'!AL$2:AL$180,'MoodysData(Raw)'!$B$2:$B$180,"=EMP",'MoodysData(Raw)'!$D$2:$D$180,"="&amp;'Implied Productivity Ratios'!$C13)</f>
        <v>121.70488080684946</v>
      </c>
      <c r="AJ13">
        <f>SUMIFS('MoodysData(Raw)'!AM$2:AM$180,'MoodysData(Raw)'!$B$2:$B$180,"=GDP",'MoodysData(Raw)'!$D$2:$D$180,"="&amp;'Implied Productivity Ratios'!$C13)/SUMIFS('MoodysData(Raw)'!AM$2:AM$180,'MoodysData(Raw)'!$B$2:$B$180,"=EMP",'MoodysData(Raw)'!$D$2:$D$180,"="&amp;'Implied Productivity Ratios'!$C13)</f>
        <v>123.44179189334452</v>
      </c>
      <c r="AK13">
        <f>SUMIFS('MoodysData(Raw)'!AN$2:AN$180,'MoodysData(Raw)'!$B$2:$B$180,"=GDP",'MoodysData(Raw)'!$D$2:$D$180,"="&amp;'Implied Productivity Ratios'!$C13)/SUMIFS('MoodysData(Raw)'!AN$2:AN$180,'MoodysData(Raw)'!$B$2:$B$180,"=EMP",'MoodysData(Raw)'!$D$2:$D$180,"="&amp;'Implied Productivity Ratios'!$C13)</f>
        <v>125.26818229416465</v>
      </c>
      <c r="AL13">
        <f>SUMIFS('MoodysData(Raw)'!AO$2:AO$180,'MoodysData(Raw)'!$B$2:$B$180,"=GDP",'MoodysData(Raw)'!$D$2:$D$180,"="&amp;'Implied Productivity Ratios'!$C13)/SUMIFS('MoodysData(Raw)'!AO$2:AO$180,'MoodysData(Raw)'!$B$2:$B$180,"=EMP",'MoodysData(Raw)'!$D$2:$D$180,"="&amp;'Implied Productivity Ratios'!$C13)</f>
        <v>127.0317599667687</v>
      </c>
      <c r="AM13">
        <f>SUMIFS('MoodysData(Raw)'!AP$2:AP$180,'MoodysData(Raw)'!$B$2:$B$180,"=GDP",'MoodysData(Raw)'!$D$2:$D$180,"="&amp;'Implied Productivity Ratios'!$C13)/SUMIFS('MoodysData(Raw)'!AP$2:AP$180,'MoodysData(Raw)'!$B$2:$B$180,"=EMP",'MoodysData(Raw)'!$D$2:$D$180,"="&amp;'Implied Productivity Ratios'!$C13)</f>
        <v>128.72352372559328</v>
      </c>
      <c r="AN13">
        <f>SUMIFS('MoodysData(Raw)'!AQ$2:AQ$180,'MoodysData(Raw)'!$B$2:$B$180,"=GDP",'MoodysData(Raw)'!$D$2:$D$180,"="&amp;'Implied Productivity Ratios'!$C13)/SUMIFS('MoodysData(Raw)'!AQ$2:AQ$180,'MoodysData(Raw)'!$B$2:$B$180,"=EMP",'MoodysData(Raw)'!$D$2:$D$180,"="&amp;'Implied Productivity Ratios'!$C13)</f>
        <v>130.39616353524656</v>
      </c>
      <c r="AO13">
        <f>SUMIFS('MoodysData(Raw)'!AR$2:AR$180,'MoodysData(Raw)'!$B$2:$B$180,"=GDP",'MoodysData(Raw)'!$D$2:$D$180,"="&amp;'Implied Productivity Ratios'!$C13)/SUMIFS('MoodysData(Raw)'!AR$2:AR$180,'MoodysData(Raw)'!$B$2:$B$180,"=EMP",'MoodysData(Raw)'!$D$2:$D$180,"="&amp;'Implied Productivity Ratios'!$C13)</f>
        <v>132.02219322999292</v>
      </c>
      <c r="AP13">
        <f>SUMIFS('MoodysData(Raw)'!AS$2:AS$180,'MoodysData(Raw)'!$B$2:$B$180,"=GDP",'MoodysData(Raw)'!$D$2:$D$180,"="&amp;'Implied Productivity Ratios'!$C13)/SUMIFS('MoodysData(Raw)'!AS$2:AS$180,'MoodysData(Raw)'!$B$2:$B$180,"=EMP",'MoodysData(Raw)'!$D$2:$D$180,"="&amp;'Implied Productivity Ratios'!$C13)</f>
        <v>133.61043024338539</v>
      </c>
      <c r="AQ13">
        <f>SUMIFS('MoodysData(Raw)'!AT$2:AT$180,'MoodysData(Raw)'!$B$2:$B$180,"=GDP",'MoodysData(Raw)'!$D$2:$D$180,"="&amp;'Implied Productivity Ratios'!$C13)/SUMIFS('MoodysData(Raw)'!AT$2:AT$180,'MoodysData(Raw)'!$B$2:$B$180,"=EMP",'MoodysData(Raw)'!$D$2:$D$180,"="&amp;'Implied Productivity Ratios'!$C13)</f>
        <v>135.18295275336939</v>
      </c>
      <c r="AR13">
        <f>SUMIFS('MoodysData(Raw)'!AU$2:AU$180,'MoodysData(Raw)'!$B$2:$B$180,"=GDP",'MoodysData(Raw)'!$D$2:$D$180,"="&amp;'Implied Productivity Ratios'!$C13)/SUMIFS('MoodysData(Raw)'!AU$2:AU$180,'MoodysData(Raw)'!$B$2:$B$180,"=EMP",'MoodysData(Raw)'!$D$2:$D$180,"="&amp;'Implied Productivity Ratios'!$C13)</f>
        <v>136.7653170386539</v>
      </c>
      <c r="AS13">
        <f>SUMIFS('MoodysData(Raw)'!AV$2:AV$180,'MoodysData(Raw)'!$B$2:$B$180,"=GDP",'MoodysData(Raw)'!$D$2:$D$180,"="&amp;'Implied Productivity Ratios'!$C13)/SUMIFS('MoodysData(Raw)'!AV$2:AV$180,'MoodysData(Raw)'!$B$2:$B$180,"=EMP",'MoodysData(Raw)'!$D$2:$D$180,"="&amp;'Implied Productivity Ratios'!$C13)</f>
        <v>138.38551928504177</v>
      </c>
      <c r="AT13">
        <f>SUMIFS('MoodysData(Raw)'!AW$2:AW$180,'MoodysData(Raw)'!$B$2:$B$180,"=GDP",'MoodysData(Raw)'!$D$2:$D$180,"="&amp;'Implied Productivity Ratios'!$C13)/SUMIFS('MoodysData(Raw)'!AW$2:AW$180,'MoodysData(Raw)'!$B$2:$B$180,"=EMP",'MoodysData(Raw)'!$D$2:$D$180,"="&amp;'Implied Productivity Ratios'!$C13)</f>
        <v>140.0077062685944</v>
      </c>
      <c r="AU13">
        <f>SUMIFS('MoodysData(Raw)'!AX$2:AX$180,'MoodysData(Raw)'!$B$2:$B$180,"=GDP",'MoodysData(Raw)'!$D$2:$D$180,"="&amp;'Implied Productivity Ratios'!$C13)/SUMIFS('MoodysData(Raw)'!AX$2:AX$180,'MoodysData(Raw)'!$B$2:$B$180,"=EMP",'MoodysData(Raw)'!$D$2:$D$180,"="&amp;'Implied Productivity Ratios'!$C13)</f>
        <v>141.71382967095704</v>
      </c>
      <c r="AV13">
        <f>SUMIFS('MoodysData(Raw)'!AY$2:AY$180,'MoodysData(Raw)'!$B$2:$B$180,"=GDP",'MoodysData(Raw)'!$D$2:$D$180,"="&amp;'Implied Productivity Ratios'!$C13)/SUMIFS('MoodysData(Raw)'!AY$2:AY$180,'MoodysData(Raw)'!$B$2:$B$180,"=EMP",'MoodysData(Raw)'!$D$2:$D$180,"="&amp;'Implied Productivity Ratios'!$C13)</f>
        <v>143.5206748108794</v>
      </c>
      <c r="AW13">
        <f>SUMIFS('MoodysData(Raw)'!AZ$2:AZ$180,'MoodysData(Raw)'!$B$2:$B$180,"=GDP",'MoodysData(Raw)'!$D$2:$D$180,"="&amp;'Implied Productivity Ratios'!$C13)/SUMIFS('MoodysData(Raw)'!AZ$2:AZ$180,'MoodysData(Raw)'!$B$2:$B$180,"=EMP",'MoodysData(Raw)'!$D$2:$D$180,"="&amp;'Implied Productivity Ratios'!$C13)</f>
        <v>145.29646973551002</v>
      </c>
      <c r="AX13">
        <f>SUMIFS('MoodysData(Raw)'!BA$2:BA$180,'MoodysData(Raw)'!$B$2:$B$180,"=GDP",'MoodysData(Raw)'!$D$2:$D$180,"="&amp;'Implied Productivity Ratios'!$C13)/SUMIFS('MoodysData(Raw)'!BA$2:BA$180,'MoodysData(Raw)'!$B$2:$B$180,"=EMP",'MoodysData(Raw)'!$D$2:$D$180,"="&amp;'Implied Productivity Ratios'!$C13)</f>
        <v>146.98125157418494</v>
      </c>
      <c r="AY13">
        <f>SUMIFS('MoodysData(Raw)'!BB$2:BB$180,'MoodysData(Raw)'!$B$2:$B$180,"=GDP",'MoodysData(Raw)'!$D$2:$D$180,"="&amp;'Implied Productivity Ratios'!$C13)/SUMIFS('MoodysData(Raw)'!BB$2:BB$180,'MoodysData(Raw)'!$B$2:$B$180,"=EMP",'MoodysData(Raw)'!$D$2:$D$180,"="&amp;'Implied Productivity Ratios'!$C13)</f>
        <v>148.52862893298692</v>
      </c>
      <c r="AZ13">
        <f>SUMIFS('MoodysData(Raw)'!BC$2:BC$180,'MoodysData(Raw)'!$B$2:$B$180,"=GDP",'MoodysData(Raw)'!$D$2:$D$180,"="&amp;'Implied Productivity Ratios'!$C13)/SUMIFS('MoodysData(Raw)'!BC$2:BC$180,'MoodysData(Raw)'!$B$2:$B$180,"=EMP",'MoodysData(Raw)'!$D$2:$D$180,"="&amp;'Implied Productivity Ratios'!$C13)</f>
        <v>150.01347970013879</v>
      </c>
      <c r="BA13">
        <f>SUMIFS('MoodysData(Raw)'!BD$2:BD$180,'MoodysData(Raw)'!$B$2:$B$180,"=GDP",'MoodysData(Raw)'!$D$2:$D$180,"="&amp;'Implied Productivity Ratios'!$C13)/SUMIFS('MoodysData(Raw)'!BD$2:BD$180,'MoodysData(Raw)'!$B$2:$B$180,"=EMP",'MoodysData(Raw)'!$D$2:$D$180,"="&amp;'Implied Productivity Ratios'!$C13)</f>
        <v>151.45895050532533</v>
      </c>
      <c r="BB13">
        <f>SUMIFS('MoodysData(Raw)'!BE$2:BE$180,'MoodysData(Raw)'!$B$2:$B$180,"=GDP",'MoodysData(Raw)'!$D$2:$D$180,"="&amp;'Implied Productivity Ratios'!$C13)/SUMIFS('MoodysData(Raw)'!BE$2:BE$180,'MoodysData(Raw)'!$B$2:$B$180,"=EMP",'MoodysData(Raw)'!$D$2:$D$180,"="&amp;'Implied Productivity Ratios'!$C13)</f>
        <v>152.96685594023685</v>
      </c>
      <c r="BC13">
        <f>SUMIFS('MoodysData(Raw)'!BF$2:BF$180,'MoodysData(Raw)'!$B$2:$B$180,"=GDP",'MoodysData(Raw)'!$D$2:$D$180,"="&amp;'Implied Productivity Ratios'!$C13)/SUMIFS('MoodysData(Raw)'!BF$2:BF$180,'MoodysData(Raw)'!$B$2:$B$180,"=EMP",'MoodysData(Raw)'!$D$2:$D$180,"="&amp;'Implied Productivity Ratios'!$C13)</f>
        <v>154.54477068102213</v>
      </c>
      <c r="BD13" s="5">
        <f t="shared" ref="BD13:BH13" si="7">BC13+($BC13-$AX13)/5</f>
        <v>156.05747450238957</v>
      </c>
      <c r="BE13" s="5">
        <f t="shared" si="7"/>
        <v>157.57017832375701</v>
      </c>
      <c r="BF13" s="5">
        <f t="shared" si="7"/>
        <v>159.08288214512444</v>
      </c>
      <c r="BG13" s="5">
        <f t="shared" si="7"/>
        <v>160.59558596649188</v>
      </c>
      <c r="BH13" s="5">
        <f t="shared" si="7"/>
        <v>162.10828978785932</v>
      </c>
    </row>
    <row r="14" spans="3:60">
      <c r="C14">
        <v>312</v>
      </c>
      <c r="D14" t="s">
        <v>39</v>
      </c>
      <c r="E14">
        <f>SUMIFS('MoodysData(Raw)'!H$2:H$180,'MoodysData(Raw)'!$B$2:$B$180,"=GDP",'MoodysData(Raw)'!$D$2:$D$180,"="&amp;'Implied Productivity Ratios'!$C14)/SUMIFS('MoodysData(Raw)'!H$2:H$180,'MoodysData(Raw)'!$B$2:$B$180,"=EMP",'MoodysData(Raw)'!$D$2:$D$180,"="&amp;'Implied Productivity Ratios'!$C14)</f>
        <v>496.07220789935036</v>
      </c>
      <c r="F14">
        <f>SUMIFS('MoodysData(Raw)'!I$2:I$180,'MoodysData(Raw)'!$B$2:$B$180,"=GDP",'MoodysData(Raw)'!$D$2:$D$180,"="&amp;'Implied Productivity Ratios'!$C14)/SUMIFS('MoodysData(Raw)'!I$2:I$180,'MoodysData(Raw)'!$B$2:$B$180,"=EMP",'MoodysData(Raw)'!$D$2:$D$180,"="&amp;'Implied Productivity Ratios'!$C14)</f>
        <v>534.83445259321957</v>
      </c>
      <c r="G14">
        <f>SUMIFS('MoodysData(Raw)'!J$2:J$180,'MoodysData(Raw)'!$B$2:$B$180,"=GDP",'MoodysData(Raw)'!$D$2:$D$180,"="&amp;'Implied Productivity Ratios'!$C14)/SUMIFS('MoodysData(Raw)'!J$2:J$180,'MoodysData(Raw)'!$B$2:$B$180,"=EMP",'MoodysData(Raw)'!$D$2:$D$180,"="&amp;'Implied Productivity Ratios'!$C14)</f>
        <v>526.25805884362626</v>
      </c>
      <c r="H14">
        <f>SUMIFS('MoodysData(Raw)'!K$2:K$180,'MoodysData(Raw)'!$B$2:$B$180,"=GDP",'MoodysData(Raw)'!$D$2:$D$180,"="&amp;'Implied Productivity Ratios'!$C14)/SUMIFS('MoodysData(Raw)'!K$2:K$180,'MoodysData(Raw)'!$B$2:$B$180,"=EMP",'MoodysData(Raw)'!$D$2:$D$180,"="&amp;'Implied Productivity Ratios'!$C14)</f>
        <v>510.16911235032467</v>
      </c>
      <c r="I14">
        <f>SUMIFS('MoodysData(Raw)'!L$2:L$180,'MoodysData(Raw)'!$B$2:$B$180,"=GDP",'MoodysData(Raw)'!$D$2:$D$180,"="&amp;'Implied Productivity Ratios'!$C14)/SUMIFS('MoodysData(Raw)'!L$2:L$180,'MoodysData(Raw)'!$B$2:$B$180,"=EMP",'MoodysData(Raw)'!$D$2:$D$180,"="&amp;'Implied Productivity Ratios'!$C14)</f>
        <v>559.92572503757901</v>
      </c>
      <c r="J14">
        <f>SUMIFS('MoodysData(Raw)'!M$2:M$180,'MoodysData(Raw)'!$B$2:$B$180,"=GDP",'MoodysData(Raw)'!$D$2:$D$180,"="&amp;'Implied Productivity Ratios'!$C14)/SUMIFS('MoodysData(Raw)'!M$2:M$180,'MoodysData(Raw)'!$B$2:$B$180,"=EMP",'MoodysData(Raw)'!$D$2:$D$180,"="&amp;'Implied Productivity Ratios'!$C14)</f>
        <v>509.33492521367526</v>
      </c>
      <c r="K14">
        <f>SUMIFS('MoodysData(Raw)'!N$2:N$180,'MoodysData(Raw)'!$B$2:$B$180,"=GDP",'MoodysData(Raw)'!$D$2:$D$180,"="&amp;'Implied Productivity Ratios'!$C14)/SUMIFS('MoodysData(Raw)'!N$2:N$180,'MoodysData(Raw)'!$B$2:$B$180,"=EMP",'MoodysData(Raw)'!$D$2:$D$180,"="&amp;'Implied Productivity Ratios'!$C14)</f>
        <v>465.72931498685745</v>
      </c>
      <c r="L14">
        <f>SUMIFS('MoodysData(Raw)'!O$2:O$180,'MoodysData(Raw)'!$B$2:$B$180,"=GDP",'MoodysData(Raw)'!$D$2:$D$180,"="&amp;'Implied Productivity Ratios'!$C14)/SUMIFS('MoodysData(Raw)'!O$2:O$180,'MoodysData(Raw)'!$B$2:$B$180,"=EMP",'MoodysData(Raw)'!$D$2:$D$180,"="&amp;'Implied Productivity Ratios'!$C14)</f>
        <v>443.23197447497114</v>
      </c>
      <c r="M14">
        <f>SUMIFS('MoodysData(Raw)'!P$2:P$180,'MoodysData(Raw)'!$B$2:$B$180,"=GDP",'MoodysData(Raw)'!$D$2:$D$180,"="&amp;'Implied Productivity Ratios'!$C14)/SUMIFS('MoodysData(Raw)'!P$2:P$180,'MoodysData(Raw)'!$B$2:$B$180,"=EMP",'MoodysData(Raw)'!$D$2:$D$180,"="&amp;'Implied Productivity Ratios'!$C14)</f>
        <v>430.29424818862765</v>
      </c>
      <c r="N14">
        <f>SUMIFS('MoodysData(Raw)'!Q$2:Q$180,'MoodysData(Raw)'!$B$2:$B$180,"=GDP",'MoodysData(Raw)'!$D$2:$D$180,"="&amp;'Implied Productivity Ratios'!$C14)/SUMIFS('MoodysData(Raw)'!Q$2:Q$180,'MoodysData(Raw)'!$B$2:$B$180,"=EMP",'MoodysData(Raw)'!$D$2:$D$180,"="&amp;'Implied Productivity Ratios'!$C14)</f>
        <v>386.4081065996931</v>
      </c>
      <c r="O14">
        <f>SUMIFS('MoodysData(Raw)'!R$2:R$180,'MoodysData(Raw)'!$B$2:$B$180,"=GDP",'MoodysData(Raw)'!$D$2:$D$180,"="&amp;'Implied Productivity Ratios'!$C14)/SUMIFS('MoodysData(Raw)'!R$2:R$180,'MoodysData(Raw)'!$B$2:$B$180,"=EMP",'MoodysData(Raw)'!$D$2:$D$180,"="&amp;'Implied Productivity Ratios'!$C14)</f>
        <v>405.45802286013441</v>
      </c>
      <c r="P14">
        <f>SUMIFS('MoodysData(Raw)'!S$2:S$180,'MoodysData(Raw)'!$B$2:$B$180,"=GDP",'MoodysData(Raw)'!$D$2:$D$180,"="&amp;'Implied Productivity Ratios'!$C14)/SUMIFS('MoodysData(Raw)'!S$2:S$180,'MoodysData(Raw)'!$B$2:$B$180,"=EMP",'MoodysData(Raw)'!$D$2:$D$180,"="&amp;'Implied Productivity Ratios'!$C14)</f>
        <v>364.81748595194904</v>
      </c>
      <c r="Q14">
        <f>SUMIFS('MoodysData(Raw)'!T$2:T$180,'MoodysData(Raw)'!$B$2:$B$180,"=GDP",'MoodysData(Raw)'!$D$2:$D$180,"="&amp;'Implied Productivity Ratios'!$C14)/SUMIFS('MoodysData(Raw)'!T$2:T$180,'MoodysData(Raw)'!$B$2:$B$180,"=EMP",'MoodysData(Raw)'!$D$2:$D$180,"="&amp;'Implied Productivity Ratios'!$C14)</f>
        <v>345.52152055435619</v>
      </c>
      <c r="R14">
        <f>SUMIFS('MoodysData(Raw)'!U$2:U$180,'MoodysData(Raw)'!$B$2:$B$180,"=GDP",'MoodysData(Raw)'!$D$2:$D$180,"="&amp;'Implied Productivity Ratios'!$C14)/SUMIFS('MoodysData(Raw)'!U$2:U$180,'MoodysData(Raw)'!$B$2:$B$180,"=EMP",'MoodysData(Raw)'!$D$2:$D$180,"="&amp;'Implied Productivity Ratios'!$C14)</f>
        <v>313.01854942419124</v>
      </c>
      <c r="S14">
        <f>SUMIFS('MoodysData(Raw)'!V$2:V$180,'MoodysData(Raw)'!$B$2:$B$180,"=GDP",'MoodysData(Raw)'!$D$2:$D$180,"="&amp;'Implied Productivity Ratios'!$C14)/SUMIFS('MoodysData(Raw)'!V$2:V$180,'MoodysData(Raw)'!$B$2:$B$180,"=EMP",'MoodysData(Raw)'!$D$2:$D$180,"="&amp;'Implied Productivity Ratios'!$C14)</f>
        <v>285.60071011761107</v>
      </c>
      <c r="T14">
        <f>SUMIFS('MoodysData(Raw)'!W$2:W$180,'MoodysData(Raw)'!$B$2:$B$180,"=GDP",'MoodysData(Raw)'!$D$2:$D$180,"="&amp;'Implied Productivity Ratios'!$C14)/SUMIFS('MoodysData(Raw)'!W$2:W$180,'MoodysData(Raw)'!$B$2:$B$180,"=EMP",'MoodysData(Raw)'!$D$2:$D$180,"="&amp;'Implied Productivity Ratios'!$C14)</f>
        <v>293.2505587865308</v>
      </c>
      <c r="U14">
        <f>SUMIFS('MoodysData(Raw)'!X$2:X$180,'MoodysData(Raw)'!$B$2:$B$180,"=GDP",'MoodysData(Raw)'!$D$2:$D$180,"="&amp;'Implied Productivity Ratios'!$C14)/SUMIFS('MoodysData(Raw)'!X$2:X$180,'MoodysData(Raw)'!$B$2:$B$180,"=EMP",'MoodysData(Raw)'!$D$2:$D$180,"="&amp;'Implied Productivity Ratios'!$C14)</f>
        <v>283.79731582029166</v>
      </c>
      <c r="V14">
        <f>SUMIFS('MoodysData(Raw)'!Y$2:Y$180,'MoodysData(Raw)'!$B$2:$B$180,"=GDP",'MoodysData(Raw)'!$D$2:$D$180,"="&amp;'Implied Productivity Ratios'!$C14)/SUMIFS('MoodysData(Raw)'!Y$2:Y$180,'MoodysData(Raw)'!$B$2:$B$180,"=EMP",'MoodysData(Raw)'!$D$2:$D$180,"="&amp;'Implied Productivity Ratios'!$C14)</f>
        <v>263.7100846848187</v>
      </c>
      <c r="W14">
        <f>SUMIFS('MoodysData(Raw)'!Z$2:Z$180,'MoodysData(Raw)'!$B$2:$B$180,"=GDP",'MoodysData(Raw)'!$D$2:$D$180,"="&amp;'Implied Productivity Ratios'!$C14)/SUMIFS('MoodysData(Raw)'!Z$2:Z$180,'MoodysData(Raw)'!$B$2:$B$180,"=EMP",'MoodysData(Raw)'!$D$2:$D$180,"="&amp;'Implied Productivity Ratios'!$C14)</f>
        <v>270.27481497970643</v>
      </c>
      <c r="X14">
        <f>SUMIFS('MoodysData(Raw)'!AA$2:AA$180,'MoodysData(Raw)'!$B$2:$B$180,"=GDP",'MoodysData(Raw)'!$D$2:$D$180,"="&amp;'Implied Productivity Ratios'!$C14)/SUMIFS('MoodysData(Raw)'!AA$2:AA$180,'MoodysData(Raw)'!$B$2:$B$180,"=EMP",'MoodysData(Raw)'!$D$2:$D$180,"="&amp;'Implied Productivity Ratios'!$C14)</f>
        <v>277.42189370785201</v>
      </c>
      <c r="Y14">
        <f>SUMIFS('MoodysData(Raw)'!AB$2:AB$180,'MoodysData(Raw)'!$B$2:$B$180,"=GDP",'MoodysData(Raw)'!$D$2:$D$180,"="&amp;'Implied Productivity Ratios'!$C14)/SUMIFS('MoodysData(Raw)'!AB$2:AB$180,'MoodysData(Raw)'!$B$2:$B$180,"=EMP",'MoodysData(Raw)'!$D$2:$D$180,"="&amp;'Implied Productivity Ratios'!$C14)</f>
        <v>280.72226168978909</v>
      </c>
      <c r="Z14">
        <f>SUMIFS('MoodysData(Raw)'!AC$2:AC$180,'MoodysData(Raw)'!$B$2:$B$180,"=GDP",'MoodysData(Raw)'!$D$2:$D$180,"="&amp;'Implied Productivity Ratios'!$C14)/SUMIFS('MoodysData(Raw)'!AC$2:AC$180,'MoodysData(Raw)'!$B$2:$B$180,"=EMP",'MoodysData(Raw)'!$D$2:$D$180,"="&amp;'Implied Productivity Ratios'!$C14)</f>
        <v>278.13908988937033</v>
      </c>
      <c r="AA14">
        <f>SUMIFS('MoodysData(Raw)'!AD$2:AD$180,'MoodysData(Raw)'!$B$2:$B$180,"=GDP",'MoodysData(Raw)'!$D$2:$D$180,"="&amp;'Implied Productivity Ratios'!$C14)/SUMIFS('MoodysData(Raw)'!AD$2:AD$180,'MoodysData(Raw)'!$B$2:$B$180,"=EMP",'MoodysData(Raw)'!$D$2:$D$180,"="&amp;'Implied Productivity Ratios'!$C14)</f>
        <v>276.90152845404987</v>
      </c>
      <c r="AB14">
        <f>SUMIFS('MoodysData(Raw)'!AE$2:AE$180,'MoodysData(Raw)'!$B$2:$B$180,"=GDP",'MoodysData(Raw)'!$D$2:$D$180,"="&amp;'Implied Productivity Ratios'!$C14)/SUMIFS('MoodysData(Raw)'!AE$2:AE$180,'MoodysData(Raw)'!$B$2:$B$180,"=EMP",'MoodysData(Raw)'!$D$2:$D$180,"="&amp;'Implied Productivity Ratios'!$C14)</f>
        <v>276.8702485485112</v>
      </c>
      <c r="AC14">
        <f>SUMIFS('MoodysData(Raw)'!AF$2:AF$180,'MoodysData(Raw)'!$B$2:$B$180,"=GDP",'MoodysData(Raw)'!$D$2:$D$180,"="&amp;'Implied Productivity Ratios'!$C14)/SUMIFS('MoodysData(Raw)'!AF$2:AF$180,'MoodysData(Raw)'!$B$2:$B$180,"=EMP",'MoodysData(Raw)'!$D$2:$D$180,"="&amp;'Implied Productivity Ratios'!$C14)</f>
        <v>277.48886924997259</v>
      </c>
      <c r="AD14">
        <f>SUMIFS('MoodysData(Raw)'!AG$2:AG$180,'MoodysData(Raw)'!$B$2:$B$180,"=GDP",'MoodysData(Raw)'!$D$2:$D$180,"="&amp;'Implied Productivity Ratios'!$C14)/SUMIFS('MoodysData(Raw)'!AG$2:AG$180,'MoodysData(Raw)'!$B$2:$B$180,"=EMP",'MoodysData(Raw)'!$D$2:$D$180,"="&amp;'Implied Productivity Ratios'!$C14)</f>
        <v>278.49130342542884</v>
      </c>
      <c r="AE14">
        <f>SUMIFS('MoodysData(Raw)'!AH$2:AH$180,'MoodysData(Raw)'!$B$2:$B$180,"=GDP",'MoodysData(Raw)'!$D$2:$D$180,"="&amp;'Implied Productivity Ratios'!$C14)/SUMIFS('MoodysData(Raw)'!AH$2:AH$180,'MoodysData(Raw)'!$B$2:$B$180,"=EMP",'MoodysData(Raw)'!$D$2:$D$180,"="&amp;'Implied Productivity Ratios'!$C14)</f>
        <v>279.4883427476629</v>
      </c>
      <c r="AF14">
        <f>SUMIFS('MoodysData(Raw)'!AI$2:AI$180,'MoodysData(Raw)'!$B$2:$B$180,"=GDP",'MoodysData(Raw)'!$D$2:$D$180,"="&amp;'Implied Productivity Ratios'!$C14)/SUMIFS('MoodysData(Raw)'!AI$2:AI$180,'MoodysData(Raw)'!$B$2:$B$180,"=EMP",'MoodysData(Raw)'!$D$2:$D$180,"="&amp;'Implied Productivity Ratios'!$C14)</f>
        <v>280.77219895077758</v>
      </c>
      <c r="AG14">
        <f>SUMIFS('MoodysData(Raw)'!AJ$2:AJ$180,'MoodysData(Raw)'!$B$2:$B$180,"=GDP",'MoodysData(Raw)'!$D$2:$D$180,"="&amp;'Implied Productivity Ratios'!$C14)/SUMIFS('MoodysData(Raw)'!AJ$2:AJ$180,'MoodysData(Raw)'!$B$2:$B$180,"=EMP",'MoodysData(Raw)'!$D$2:$D$180,"="&amp;'Implied Productivity Ratios'!$C14)</f>
        <v>282.29294867448641</v>
      </c>
      <c r="AH14">
        <f>SUMIFS('MoodysData(Raw)'!AK$2:AK$180,'MoodysData(Raw)'!$B$2:$B$180,"=GDP",'MoodysData(Raw)'!$D$2:$D$180,"="&amp;'Implied Productivity Ratios'!$C14)/SUMIFS('MoodysData(Raw)'!AK$2:AK$180,'MoodysData(Raw)'!$B$2:$B$180,"=EMP",'MoodysData(Raw)'!$D$2:$D$180,"="&amp;'Implied Productivity Ratios'!$C14)</f>
        <v>284.23344569030752</v>
      </c>
      <c r="AI14">
        <f>SUMIFS('MoodysData(Raw)'!AL$2:AL$180,'MoodysData(Raw)'!$B$2:$B$180,"=GDP",'MoodysData(Raw)'!$D$2:$D$180,"="&amp;'Implied Productivity Ratios'!$C14)/SUMIFS('MoodysData(Raw)'!AL$2:AL$180,'MoodysData(Raw)'!$B$2:$B$180,"=EMP",'MoodysData(Raw)'!$D$2:$D$180,"="&amp;'Implied Productivity Ratios'!$C14)</f>
        <v>286.42854248254127</v>
      </c>
      <c r="AJ14">
        <f>SUMIFS('MoodysData(Raw)'!AM$2:AM$180,'MoodysData(Raw)'!$B$2:$B$180,"=GDP",'MoodysData(Raw)'!$D$2:$D$180,"="&amp;'Implied Productivity Ratios'!$C14)/SUMIFS('MoodysData(Raw)'!AM$2:AM$180,'MoodysData(Raw)'!$B$2:$B$180,"=EMP",'MoodysData(Raw)'!$D$2:$D$180,"="&amp;'Implied Productivity Ratios'!$C14)</f>
        <v>289.03583166047861</v>
      </c>
      <c r="AK14">
        <f>SUMIFS('MoodysData(Raw)'!AN$2:AN$180,'MoodysData(Raw)'!$B$2:$B$180,"=GDP",'MoodysData(Raw)'!$D$2:$D$180,"="&amp;'Implied Productivity Ratios'!$C14)/SUMIFS('MoodysData(Raw)'!AN$2:AN$180,'MoodysData(Raw)'!$B$2:$B$180,"=EMP",'MoodysData(Raw)'!$D$2:$D$180,"="&amp;'Implied Productivity Ratios'!$C14)</f>
        <v>291.94721440508135</v>
      </c>
      <c r="AL14">
        <f>SUMIFS('MoodysData(Raw)'!AO$2:AO$180,'MoodysData(Raw)'!$B$2:$B$180,"=GDP",'MoodysData(Raw)'!$D$2:$D$180,"="&amp;'Implied Productivity Ratios'!$C14)/SUMIFS('MoodysData(Raw)'!AO$2:AO$180,'MoodysData(Raw)'!$B$2:$B$180,"=EMP",'MoodysData(Raw)'!$D$2:$D$180,"="&amp;'Implied Productivity Ratios'!$C14)</f>
        <v>294.83067638812639</v>
      </c>
      <c r="AM14">
        <f>SUMIFS('MoodysData(Raw)'!AP$2:AP$180,'MoodysData(Raw)'!$B$2:$B$180,"=GDP",'MoodysData(Raw)'!$D$2:$D$180,"="&amp;'Implied Productivity Ratios'!$C14)/SUMIFS('MoodysData(Raw)'!AP$2:AP$180,'MoodysData(Raw)'!$B$2:$B$180,"=EMP",'MoodysData(Raw)'!$D$2:$D$180,"="&amp;'Implied Productivity Ratios'!$C14)</f>
        <v>297.92958259485113</v>
      </c>
      <c r="AN14">
        <f>SUMIFS('MoodysData(Raw)'!AQ$2:AQ$180,'MoodysData(Raw)'!$B$2:$B$180,"=GDP",'MoodysData(Raw)'!$D$2:$D$180,"="&amp;'Implied Productivity Ratios'!$C14)/SUMIFS('MoodysData(Raw)'!AQ$2:AQ$180,'MoodysData(Raw)'!$B$2:$B$180,"=EMP",'MoodysData(Raw)'!$D$2:$D$180,"="&amp;'Implied Productivity Ratios'!$C14)</f>
        <v>301.05419254598957</v>
      </c>
      <c r="AO14">
        <f>SUMIFS('MoodysData(Raw)'!AR$2:AR$180,'MoodysData(Raw)'!$B$2:$B$180,"=GDP",'MoodysData(Raw)'!$D$2:$D$180,"="&amp;'Implied Productivity Ratios'!$C14)/SUMIFS('MoodysData(Raw)'!AR$2:AR$180,'MoodysData(Raw)'!$B$2:$B$180,"=EMP",'MoodysData(Raw)'!$D$2:$D$180,"="&amp;'Implied Productivity Ratios'!$C14)</f>
        <v>304.12032953965047</v>
      </c>
      <c r="AP14">
        <f>SUMIFS('MoodysData(Raw)'!AS$2:AS$180,'MoodysData(Raw)'!$B$2:$B$180,"=GDP",'MoodysData(Raw)'!$D$2:$D$180,"="&amp;'Implied Productivity Ratios'!$C14)/SUMIFS('MoodysData(Raw)'!AS$2:AS$180,'MoodysData(Raw)'!$B$2:$B$180,"=EMP",'MoodysData(Raw)'!$D$2:$D$180,"="&amp;'Implied Productivity Ratios'!$C14)</f>
        <v>307.52982397531042</v>
      </c>
      <c r="AQ14">
        <f>SUMIFS('MoodysData(Raw)'!AT$2:AT$180,'MoodysData(Raw)'!$B$2:$B$180,"=GDP",'MoodysData(Raw)'!$D$2:$D$180,"="&amp;'Implied Productivity Ratios'!$C14)/SUMIFS('MoodysData(Raw)'!AT$2:AT$180,'MoodysData(Raw)'!$B$2:$B$180,"=EMP",'MoodysData(Raw)'!$D$2:$D$180,"="&amp;'Implied Productivity Ratios'!$C14)</f>
        <v>311.1108265103573</v>
      </c>
      <c r="AR14">
        <f>SUMIFS('MoodysData(Raw)'!AU$2:AU$180,'MoodysData(Raw)'!$B$2:$B$180,"=GDP",'MoodysData(Raw)'!$D$2:$D$180,"="&amp;'Implied Productivity Ratios'!$C14)/SUMIFS('MoodysData(Raw)'!AU$2:AU$180,'MoodysData(Raw)'!$B$2:$B$180,"=EMP",'MoodysData(Raw)'!$D$2:$D$180,"="&amp;'Implied Productivity Ratios'!$C14)</f>
        <v>314.7900874877223</v>
      </c>
      <c r="AS14">
        <f>SUMIFS('MoodysData(Raw)'!AV$2:AV$180,'MoodysData(Raw)'!$B$2:$B$180,"=GDP",'MoodysData(Raw)'!$D$2:$D$180,"="&amp;'Implied Productivity Ratios'!$C14)/SUMIFS('MoodysData(Raw)'!AV$2:AV$180,'MoodysData(Raw)'!$B$2:$B$180,"=EMP",'MoodysData(Raw)'!$D$2:$D$180,"="&amp;'Implied Productivity Ratios'!$C14)</f>
        <v>318.53092944920274</v>
      </c>
      <c r="AT14">
        <f>SUMIFS('MoodysData(Raw)'!AW$2:AW$180,'MoodysData(Raw)'!$B$2:$B$180,"=GDP",'MoodysData(Raw)'!$D$2:$D$180,"="&amp;'Implied Productivity Ratios'!$C14)/SUMIFS('MoodysData(Raw)'!AW$2:AW$180,'MoodysData(Raw)'!$B$2:$B$180,"=EMP",'MoodysData(Raw)'!$D$2:$D$180,"="&amp;'Implied Productivity Ratios'!$C14)</f>
        <v>322.36972258597069</v>
      </c>
      <c r="AU14">
        <f>SUMIFS('MoodysData(Raw)'!AX$2:AX$180,'MoodysData(Raw)'!$B$2:$B$180,"=GDP",'MoodysData(Raw)'!$D$2:$D$180,"="&amp;'Implied Productivity Ratios'!$C14)/SUMIFS('MoodysData(Raw)'!AX$2:AX$180,'MoodysData(Raw)'!$B$2:$B$180,"=EMP",'MoodysData(Raw)'!$D$2:$D$180,"="&amp;'Implied Productivity Ratios'!$C14)</f>
        <v>326.62434243362503</v>
      </c>
      <c r="AV14">
        <f>SUMIFS('MoodysData(Raw)'!AY$2:AY$180,'MoodysData(Raw)'!$B$2:$B$180,"=GDP",'MoodysData(Raw)'!$D$2:$D$180,"="&amp;'Implied Productivity Ratios'!$C14)/SUMIFS('MoodysData(Raw)'!AY$2:AY$180,'MoodysData(Raw)'!$B$2:$B$180,"=EMP",'MoodysData(Raw)'!$D$2:$D$180,"="&amp;'Implied Productivity Ratios'!$C14)</f>
        <v>331.1691212988631</v>
      </c>
      <c r="AW14">
        <f>SUMIFS('MoodysData(Raw)'!AZ$2:AZ$180,'MoodysData(Raw)'!$B$2:$B$180,"=GDP",'MoodysData(Raw)'!$D$2:$D$180,"="&amp;'Implied Productivity Ratios'!$C14)/SUMIFS('MoodysData(Raw)'!AZ$2:AZ$180,'MoodysData(Raw)'!$B$2:$B$180,"=EMP",'MoodysData(Raw)'!$D$2:$D$180,"="&amp;'Implied Productivity Ratios'!$C14)</f>
        <v>335.75717462719626</v>
      </c>
      <c r="AX14">
        <f>SUMIFS('MoodysData(Raw)'!BA$2:BA$180,'MoodysData(Raw)'!$B$2:$B$180,"=GDP",'MoodysData(Raw)'!$D$2:$D$180,"="&amp;'Implied Productivity Ratios'!$C14)/SUMIFS('MoodysData(Raw)'!BA$2:BA$180,'MoodysData(Raw)'!$B$2:$B$180,"=EMP",'MoodysData(Raw)'!$D$2:$D$180,"="&amp;'Implied Productivity Ratios'!$C14)</f>
        <v>340.3481511159294</v>
      </c>
      <c r="AY14">
        <f>SUMIFS('MoodysData(Raw)'!BB$2:BB$180,'MoodysData(Raw)'!$B$2:$B$180,"=GDP",'MoodysData(Raw)'!$D$2:$D$180,"="&amp;'Implied Productivity Ratios'!$C14)/SUMIFS('MoodysData(Raw)'!BB$2:BB$180,'MoodysData(Raw)'!$B$2:$B$180,"=EMP",'MoodysData(Raw)'!$D$2:$D$180,"="&amp;'Implied Productivity Ratios'!$C14)</f>
        <v>344.85361627576782</v>
      </c>
      <c r="AZ14">
        <f>SUMIFS('MoodysData(Raw)'!BC$2:BC$180,'MoodysData(Raw)'!$B$2:$B$180,"=GDP",'MoodysData(Raw)'!$D$2:$D$180,"="&amp;'Implied Productivity Ratios'!$C14)/SUMIFS('MoodysData(Raw)'!BC$2:BC$180,'MoodysData(Raw)'!$B$2:$B$180,"=EMP",'MoodysData(Raw)'!$D$2:$D$180,"="&amp;'Implied Productivity Ratios'!$C14)</f>
        <v>349.44458256357848</v>
      </c>
      <c r="BA14">
        <f>SUMIFS('MoodysData(Raw)'!BD$2:BD$180,'MoodysData(Raw)'!$B$2:$B$180,"=GDP",'MoodysData(Raw)'!$D$2:$D$180,"="&amp;'Implied Productivity Ratios'!$C14)/SUMIFS('MoodysData(Raw)'!BD$2:BD$180,'MoodysData(Raw)'!$B$2:$B$180,"=EMP",'MoodysData(Raw)'!$D$2:$D$180,"="&amp;'Implied Productivity Ratios'!$C14)</f>
        <v>354.15004739288958</v>
      </c>
      <c r="BB14">
        <f>SUMIFS('MoodysData(Raw)'!BE$2:BE$180,'MoodysData(Raw)'!$B$2:$B$180,"=GDP",'MoodysData(Raw)'!$D$2:$D$180,"="&amp;'Implied Productivity Ratios'!$C14)/SUMIFS('MoodysData(Raw)'!BE$2:BE$180,'MoodysData(Raw)'!$B$2:$B$180,"=EMP",'MoodysData(Raw)'!$D$2:$D$180,"="&amp;'Implied Productivity Ratios'!$C14)</f>
        <v>359.16878719895101</v>
      </c>
      <c r="BC14">
        <f>SUMIFS('MoodysData(Raw)'!BF$2:BF$180,'MoodysData(Raw)'!$B$2:$B$180,"=GDP",'MoodysData(Raw)'!$D$2:$D$180,"="&amp;'Implied Productivity Ratios'!$C14)/SUMIFS('MoodysData(Raw)'!BF$2:BF$180,'MoodysData(Raw)'!$B$2:$B$180,"=EMP",'MoodysData(Raw)'!$D$2:$D$180,"="&amp;'Implied Productivity Ratios'!$C14)</f>
        <v>364.46617328406484</v>
      </c>
      <c r="BD14" s="5">
        <f t="shared" ref="BD14:BH14" si="8">BC14+($BC14-$AX14)/5</f>
        <v>369.28977771769195</v>
      </c>
      <c r="BE14" s="5">
        <f t="shared" si="8"/>
        <v>374.11338215131906</v>
      </c>
      <c r="BF14" s="5">
        <f t="shared" si="8"/>
        <v>378.93698658494617</v>
      </c>
      <c r="BG14" s="5">
        <f t="shared" si="8"/>
        <v>383.76059101857328</v>
      </c>
      <c r="BH14" s="5">
        <f t="shared" si="8"/>
        <v>388.58419545220039</v>
      </c>
    </row>
    <row r="15" spans="3:60">
      <c r="C15">
        <v>313</v>
      </c>
      <c r="D15" t="s">
        <v>43</v>
      </c>
      <c r="E15">
        <f>SUMIFS('MoodysData(Raw)'!H$2:H$180,'MoodysData(Raw)'!$B$2:$B$180,"=GDP",'MoodysData(Raw)'!$D$2:$D$180,"="&amp;'Implied Productivity Ratios'!$C15)/SUMIFS('MoodysData(Raw)'!H$2:H$180,'MoodysData(Raw)'!$B$2:$B$180,"=EMP",'MoodysData(Raw)'!$D$2:$D$180,"="&amp;'Implied Productivity Ratios'!$C15)</f>
        <v>63.684755261542151</v>
      </c>
      <c r="F15">
        <f>SUMIFS('MoodysData(Raw)'!I$2:I$180,'MoodysData(Raw)'!$B$2:$B$180,"=GDP",'MoodysData(Raw)'!$D$2:$D$180,"="&amp;'Implied Productivity Ratios'!$C15)/SUMIFS('MoodysData(Raw)'!I$2:I$180,'MoodysData(Raw)'!$B$2:$B$180,"=EMP",'MoodysData(Raw)'!$D$2:$D$180,"="&amp;'Implied Productivity Ratios'!$C15)</f>
        <v>66.494885029051801</v>
      </c>
      <c r="G15">
        <f>SUMIFS('MoodysData(Raw)'!J$2:J$180,'MoodysData(Raw)'!$B$2:$B$180,"=GDP",'MoodysData(Raw)'!$D$2:$D$180,"="&amp;'Implied Productivity Ratios'!$C15)/SUMIFS('MoodysData(Raw)'!J$2:J$180,'MoodysData(Raw)'!$B$2:$B$180,"=EMP",'MoodysData(Raw)'!$D$2:$D$180,"="&amp;'Implied Productivity Ratios'!$C15)</f>
        <v>71.271289687063373</v>
      </c>
      <c r="H15">
        <f>SUMIFS('MoodysData(Raw)'!K$2:K$180,'MoodysData(Raw)'!$B$2:$B$180,"=GDP",'MoodysData(Raw)'!$D$2:$D$180,"="&amp;'Implied Productivity Ratios'!$C15)/SUMIFS('MoodysData(Raw)'!K$2:K$180,'MoodysData(Raw)'!$B$2:$B$180,"=EMP",'MoodysData(Raw)'!$D$2:$D$180,"="&amp;'Implied Productivity Ratios'!$C15)</f>
        <v>73.205808351699787</v>
      </c>
      <c r="I15">
        <f>SUMIFS('MoodysData(Raw)'!L$2:L$180,'MoodysData(Raw)'!$B$2:$B$180,"=GDP",'MoodysData(Raw)'!$D$2:$D$180,"="&amp;'Implied Productivity Ratios'!$C15)/SUMIFS('MoodysData(Raw)'!L$2:L$180,'MoodysData(Raw)'!$B$2:$B$180,"=EMP",'MoodysData(Raw)'!$D$2:$D$180,"="&amp;'Implied Productivity Ratios'!$C15)</f>
        <v>67.516537989468262</v>
      </c>
      <c r="J15">
        <f>SUMIFS('MoodysData(Raw)'!M$2:M$180,'MoodysData(Raw)'!$B$2:$B$180,"=GDP",'MoodysData(Raw)'!$D$2:$D$180,"="&amp;'Implied Productivity Ratios'!$C15)/SUMIFS('MoodysData(Raw)'!M$2:M$180,'MoodysData(Raw)'!$B$2:$B$180,"=EMP",'MoodysData(Raw)'!$D$2:$D$180,"="&amp;'Implied Productivity Ratios'!$C15)</f>
        <v>72.559771903398286</v>
      </c>
      <c r="K15">
        <f>SUMIFS('MoodysData(Raw)'!N$2:N$180,'MoodysData(Raw)'!$B$2:$B$180,"=GDP",'MoodysData(Raw)'!$D$2:$D$180,"="&amp;'Implied Productivity Ratios'!$C15)/SUMIFS('MoodysData(Raw)'!N$2:N$180,'MoodysData(Raw)'!$B$2:$B$180,"=EMP",'MoodysData(Raw)'!$D$2:$D$180,"="&amp;'Implied Productivity Ratios'!$C15)</f>
        <v>65.722270844273297</v>
      </c>
      <c r="L15">
        <f>SUMIFS('MoodysData(Raw)'!O$2:O$180,'MoodysData(Raw)'!$B$2:$B$180,"=GDP",'MoodysData(Raw)'!$D$2:$D$180,"="&amp;'Implied Productivity Ratios'!$C15)/SUMIFS('MoodysData(Raw)'!O$2:O$180,'MoodysData(Raw)'!$B$2:$B$180,"=EMP",'MoodysData(Raw)'!$D$2:$D$180,"="&amp;'Implied Productivity Ratios'!$C15)</f>
        <v>73.269857880700798</v>
      </c>
      <c r="M15">
        <f>SUMIFS('MoodysData(Raw)'!P$2:P$180,'MoodysData(Raw)'!$B$2:$B$180,"=GDP",'MoodysData(Raw)'!$D$2:$D$180,"="&amp;'Implied Productivity Ratios'!$C15)/SUMIFS('MoodysData(Raw)'!P$2:P$180,'MoodysData(Raw)'!$B$2:$B$180,"=EMP",'MoodysData(Raw)'!$D$2:$D$180,"="&amp;'Implied Productivity Ratios'!$C15)</f>
        <v>79.251785409191868</v>
      </c>
      <c r="N15">
        <f>SUMIFS('MoodysData(Raw)'!Q$2:Q$180,'MoodysData(Raw)'!$B$2:$B$180,"=GDP",'MoodysData(Raw)'!$D$2:$D$180,"="&amp;'Implied Productivity Ratios'!$C15)/SUMIFS('MoodysData(Raw)'!Q$2:Q$180,'MoodysData(Raw)'!$B$2:$B$180,"=EMP",'MoodysData(Raw)'!$D$2:$D$180,"="&amp;'Implied Productivity Ratios'!$C15)</f>
        <v>82.880067306536631</v>
      </c>
      <c r="O15">
        <f>SUMIFS('MoodysData(Raw)'!R$2:R$180,'MoodysData(Raw)'!$B$2:$B$180,"=GDP",'MoodysData(Raw)'!$D$2:$D$180,"="&amp;'Implied Productivity Ratios'!$C15)/SUMIFS('MoodysData(Raw)'!R$2:R$180,'MoodysData(Raw)'!$B$2:$B$180,"=EMP",'MoodysData(Raw)'!$D$2:$D$180,"="&amp;'Implied Productivity Ratios'!$C15)</f>
        <v>80.039426584831958</v>
      </c>
      <c r="P15">
        <f>SUMIFS('MoodysData(Raw)'!S$2:S$180,'MoodysData(Raw)'!$B$2:$B$180,"=GDP",'MoodysData(Raw)'!$D$2:$D$180,"="&amp;'Implied Productivity Ratios'!$C15)/SUMIFS('MoodysData(Raw)'!S$2:S$180,'MoodysData(Raw)'!$B$2:$B$180,"=EMP",'MoodysData(Raw)'!$D$2:$D$180,"="&amp;'Implied Productivity Ratios'!$C15)</f>
        <v>80.807835935108656</v>
      </c>
      <c r="Q15">
        <f>SUMIFS('MoodysData(Raw)'!T$2:T$180,'MoodysData(Raw)'!$B$2:$B$180,"=GDP",'MoodysData(Raw)'!$D$2:$D$180,"="&amp;'Implied Productivity Ratios'!$C15)/SUMIFS('MoodysData(Raw)'!T$2:T$180,'MoodysData(Raw)'!$B$2:$B$180,"=EMP",'MoodysData(Raw)'!$D$2:$D$180,"="&amp;'Implied Productivity Ratios'!$C15)</f>
        <v>79.617100994428384</v>
      </c>
      <c r="R15">
        <f>SUMIFS('MoodysData(Raw)'!U$2:U$180,'MoodysData(Raw)'!$B$2:$B$180,"=GDP",'MoodysData(Raw)'!$D$2:$D$180,"="&amp;'Implied Productivity Ratios'!$C15)/SUMIFS('MoodysData(Raw)'!U$2:U$180,'MoodysData(Raw)'!$B$2:$B$180,"=EMP",'MoodysData(Raw)'!$D$2:$D$180,"="&amp;'Implied Productivity Ratios'!$C15)</f>
        <v>76.376531552898427</v>
      </c>
      <c r="S15">
        <f>SUMIFS('MoodysData(Raw)'!V$2:V$180,'MoodysData(Raw)'!$B$2:$B$180,"=GDP",'MoodysData(Raw)'!$D$2:$D$180,"="&amp;'Implied Productivity Ratios'!$C15)/SUMIFS('MoodysData(Raw)'!V$2:V$180,'MoodysData(Raw)'!$B$2:$B$180,"=EMP",'MoodysData(Raw)'!$D$2:$D$180,"="&amp;'Implied Productivity Ratios'!$C15)</f>
        <v>76.532410954099475</v>
      </c>
      <c r="T15">
        <f>SUMIFS('MoodysData(Raw)'!W$2:W$180,'MoodysData(Raw)'!$B$2:$B$180,"=GDP",'MoodysData(Raw)'!$D$2:$D$180,"="&amp;'Implied Productivity Ratios'!$C15)/SUMIFS('MoodysData(Raw)'!W$2:W$180,'MoodysData(Raw)'!$B$2:$B$180,"=EMP",'MoodysData(Raw)'!$D$2:$D$180,"="&amp;'Implied Productivity Ratios'!$C15)</f>
        <v>80.942872117400412</v>
      </c>
      <c r="U15">
        <f>SUMIFS('MoodysData(Raw)'!X$2:X$180,'MoodysData(Raw)'!$B$2:$B$180,"=GDP",'MoodysData(Raw)'!$D$2:$D$180,"="&amp;'Implied Productivity Ratios'!$C15)/SUMIFS('MoodysData(Raw)'!X$2:X$180,'MoodysData(Raw)'!$B$2:$B$180,"=EMP",'MoodysData(Raw)'!$D$2:$D$180,"="&amp;'Implied Productivity Ratios'!$C15)</f>
        <v>83.948852929127398</v>
      </c>
      <c r="V15">
        <f>SUMIFS('MoodysData(Raw)'!Y$2:Y$180,'MoodysData(Raw)'!$B$2:$B$180,"=GDP",'MoodysData(Raw)'!$D$2:$D$180,"="&amp;'Implied Productivity Ratios'!$C15)/SUMIFS('MoodysData(Raw)'!Y$2:Y$180,'MoodysData(Raw)'!$B$2:$B$180,"=EMP",'MoodysData(Raw)'!$D$2:$D$180,"="&amp;'Implied Productivity Ratios'!$C15)</f>
        <v>77.703084951980983</v>
      </c>
      <c r="W15">
        <f>SUMIFS('MoodysData(Raw)'!Z$2:Z$180,'MoodysData(Raw)'!$B$2:$B$180,"=GDP",'MoodysData(Raw)'!$D$2:$D$180,"="&amp;'Implied Productivity Ratios'!$C15)/SUMIFS('MoodysData(Raw)'!Z$2:Z$180,'MoodysData(Raw)'!$B$2:$B$180,"=EMP",'MoodysData(Raw)'!$D$2:$D$180,"="&amp;'Implied Productivity Ratios'!$C15)</f>
        <v>75.835160179461838</v>
      </c>
      <c r="X15">
        <f>SUMIFS('MoodysData(Raw)'!AA$2:AA$180,'MoodysData(Raw)'!$B$2:$B$180,"=GDP",'MoodysData(Raw)'!$D$2:$D$180,"="&amp;'Implied Productivity Ratios'!$C15)/SUMIFS('MoodysData(Raw)'!AA$2:AA$180,'MoodysData(Raw)'!$B$2:$B$180,"=EMP",'MoodysData(Raw)'!$D$2:$D$180,"="&amp;'Implied Productivity Ratios'!$C15)</f>
        <v>79.120554524129815</v>
      </c>
      <c r="Y15">
        <f>SUMIFS('MoodysData(Raw)'!AB$2:AB$180,'MoodysData(Raw)'!$B$2:$B$180,"=GDP",'MoodysData(Raw)'!$D$2:$D$180,"="&amp;'Implied Productivity Ratios'!$C15)/SUMIFS('MoodysData(Raw)'!AB$2:AB$180,'MoodysData(Raw)'!$B$2:$B$180,"=EMP",'MoodysData(Raw)'!$D$2:$D$180,"="&amp;'Implied Productivity Ratios'!$C15)</f>
        <v>81.584703424470888</v>
      </c>
      <c r="Z15">
        <f>SUMIFS('MoodysData(Raw)'!AC$2:AC$180,'MoodysData(Raw)'!$B$2:$B$180,"=GDP",'MoodysData(Raw)'!$D$2:$D$180,"="&amp;'Implied Productivity Ratios'!$C15)/SUMIFS('MoodysData(Raw)'!AC$2:AC$180,'MoodysData(Raw)'!$B$2:$B$180,"=EMP",'MoodysData(Raw)'!$D$2:$D$180,"="&amp;'Implied Productivity Ratios'!$C15)</f>
        <v>82.537341645826729</v>
      </c>
      <c r="AA15">
        <f>SUMIFS('MoodysData(Raw)'!AD$2:AD$180,'MoodysData(Raw)'!$B$2:$B$180,"=GDP",'MoodysData(Raw)'!$D$2:$D$180,"="&amp;'Implied Productivity Ratios'!$C15)/SUMIFS('MoodysData(Raw)'!AD$2:AD$180,'MoodysData(Raw)'!$B$2:$B$180,"=EMP",'MoodysData(Raw)'!$D$2:$D$180,"="&amp;'Implied Productivity Ratios'!$C15)</f>
        <v>84.311835106382972</v>
      </c>
      <c r="AB15">
        <f>SUMIFS('MoodysData(Raw)'!AE$2:AE$180,'MoodysData(Raw)'!$B$2:$B$180,"=GDP",'MoodysData(Raw)'!$D$2:$D$180,"="&amp;'Implied Productivity Ratios'!$C15)/SUMIFS('MoodysData(Raw)'!AE$2:AE$180,'MoodysData(Raw)'!$B$2:$B$180,"=EMP",'MoodysData(Raw)'!$D$2:$D$180,"="&amp;'Implied Productivity Ratios'!$C15)</f>
        <v>86.93265159581054</v>
      </c>
      <c r="AC15">
        <f>SUMIFS('MoodysData(Raw)'!AF$2:AF$180,'MoodysData(Raw)'!$B$2:$B$180,"=GDP",'MoodysData(Raw)'!$D$2:$D$180,"="&amp;'Implied Productivity Ratios'!$C15)/SUMIFS('MoodysData(Raw)'!AF$2:AF$180,'MoodysData(Raw)'!$B$2:$B$180,"=EMP",'MoodysData(Raw)'!$D$2:$D$180,"="&amp;'Implied Productivity Ratios'!$C15)</f>
        <v>89.728515723907421</v>
      </c>
      <c r="AD15">
        <f>SUMIFS('MoodysData(Raw)'!AG$2:AG$180,'MoodysData(Raw)'!$B$2:$B$180,"=GDP",'MoodysData(Raw)'!$D$2:$D$180,"="&amp;'Implied Productivity Ratios'!$C15)/SUMIFS('MoodysData(Raw)'!AG$2:AG$180,'MoodysData(Raw)'!$B$2:$B$180,"=EMP",'MoodysData(Raw)'!$D$2:$D$180,"="&amp;'Implied Productivity Ratios'!$C15)</f>
        <v>92.489018597849025</v>
      </c>
      <c r="AE15">
        <f>SUMIFS('MoodysData(Raw)'!AH$2:AH$180,'MoodysData(Raw)'!$B$2:$B$180,"=GDP",'MoodysData(Raw)'!$D$2:$D$180,"="&amp;'Implied Productivity Ratios'!$C15)/SUMIFS('MoodysData(Raw)'!AH$2:AH$180,'MoodysData(Raw)'!$B$2:$B$180,"=EMP",'MoodysData(Raw)'!$D$2:$D$180,"="&amp;'Implied Productivity Ratios'!$C15)</f>
        <v>95.209747952611906</v>
      </c>
      <c r="AF15">
        <f>SUMIFS('MoodysData(Raw)'!AI$2:AI$180,'MoodysData(Raw)'!$B$2:$B$180,"=GDP",'MoodysData(Raw)'!$D$2:$D$180,"="&amp;'Implied Productivity Ratios'!$C15)/SUMIFS('MoodysData(Raw)'!AI$2:AI$180,'MoodysData(Raw)'!$B$2:$B$180,"=EMP",'MoodysData(Raw)'!$D$2:$D$180,"="&amp;'Implied Productivity Ratios'!$C15)</f>
        <v>97.876378401868664</v>
      </c>
      <c r="AG15">
        <f>SUMIFS('MoodysData(Raw)'!AJ$2:AJ$180,'MoodysData(Raw)'!$B$2:$B$180,"=GDP",'MoodysData(Raw)'!$D$2:$D$180,"="&amp;'Implied Productivity Ratios'!$C15)/SUMIFS('MoodysData(Raw)'!AJ$2:AJ$180,'MoodysData(Raw)'!$B$2:$B$180,"=EMP",'MoodysData(Raw)'!$D$2:$D$180,"="&amp;'Implied Productivity Ratios'!$C15)</f>
        <v>100.29275748985604</v>
      </c>
      <c r="AH15">
        <f>SUMIFS('MoodysData(Raw)'!AK$2:AK$180,'MoodysData(Raw)'!$B$2:$B$180,"=GDP",'MoodysData(Raw)'!$D$2:$D$180,"="&amp;'Implied Productivity Ratios'!$C15)/SUMIFS('MoodysData(Raw)'!AK$2:AK$180,'MoodysData(Raw)'!$B$2:$B$180,"=EMP",'MoodysData(Raw)'!$D$2:$D$180,"="&amp;'Implied Productivity Ratios'!$C15)</f>
        <v>102.54071661237785</v>
      </c>
      <c r="AI15">
        <f>SUMIFS('MoodysData(Raw)'!AL$2:AL$180,'MoodysData(Raw)'!$B$2:$B$180,"=GDP",'MoodysData(Raw)'!$D$2:$D$180,"="&amp;'Implied Productivity Ratios'!$C15)/SUMIFS('MoodysData(Raw)'!AL$2:AL$180,'MoodysData(Raw)'!$B$2:$B$180,"=EMP",'MoodysData(Raw)'!$D$2:$D$180,"="&amp;'Implied Productivity Ratios'!$C15)</f>
        <v>104.59874010707634</v>
      </c>
      <c r="AJ15">
        <f>SUMIFS('MoodysData(Raw)'!AM$2:AM$180,'MoodysData(Raw)'!$B$2:$B$180,"=GDP",'MoodysData(Raw)'!$D$2:$D$180,"="&amp;'Implied Productivity Ratios'!$C15)/SUMIFS('MoodysData(Raw)'!AM$2:AM$180,'MoodysData(Raw)'!$B$2:$B$180,"=EMP",'MoodysData(Raw)'!$D$2:$D$180,"="&amp;'Implied Productivity Ratios'!$C15)</f>
        <v>106.8177448397994</v>
      </c>
      <c r="AK15">
        <f>SUMIFS('MoodysData(Raw)'!AN$2:AN$180,'MoodysData(Raw)'!$B$2:$B$180,"=GDP",'MoodysData(Raw)'!$D$2:$D$180,"="&amp;'Implied Productivity Ratios'!$C15)/SUMIFS('MoodysData(Raw)'!AN$2:AN$180,'MoodysData(Raw)'!$B$2:$B$180,"=EMP",'MoodysData(Raw)'!$D$2:$D$180,"="&amp;'Implied Productivity Ratios'!$C15)</f>
        <v>109.11465452940193</v>
      </c>
      <c r="AL15">
        <f>SUMIFS('MoodysData(Raw)'!AO$2:AO$180,'MoodysData(Raw)'!$B$2:$B$180,"=GDP",'MoodysData(Raw)'!$D$2:$D$180,"="&amp;'Implied Productivity Ratios'!$C15)/SUMIFS('MoodysData(Raw)'!AO$2:AO$180,'MoodysData(Raw)'!$B$2:$B$180,"=EMP",'MoodysData(Raw)'!$D$2:$D$180,"="&amp;'Implied Productivity Ratios'!$C15)</f>
        <v>111.35106912757945</v>
      </c>
      <c r="AM15">
        <f>SUMIFS('MoodysData(Raw)'!AP$2:AP$180,'MoodysData(Raw)'!$B$2:$B$180,"=GDP",'MoodysData(Raw)'!$D$2:$D$180,"="&amp;'Implied Productivity Ratios'!$C15)/SUMIFS('MoodysData(Raw)'!AP$2:AP$180,'MoodysData(Raw)'!$B$2:$B$180,"=EMP",'MoodysData(Raw)'!$D$2:$D$180,"="&amp;'Implied Productivity Ratios'!$C15)</f>
        <v>113.595605653508</v>
      </c>
      <c r="AN15">
        <f>SUMIFS('MoodysData(Raw)'!AQ$2:AQ$180,'MoodysData(Raw)'!$B$2:$B$180,"=GDP",'MoodysData(Raw)'!$D$2:$D$180,"="&amp;'Implied Productivity Ratios'!$C15)/SUMIFS('MoodysData(Raw)'!AQ$2:AQ$180,'MoodysData(Raw)'!$B$2:$B$180,"=EMP",'MoodysData(Raw)'!$D$2:$D$180,"="&amp;'Implied Productivity Ratios'!$C15)</f>
        <v>115.75934996269746</v>
      </c>
      <c r="AO15">
        <f>SUMIFS('MoodysData(Raw)'!AR$2:AR$180,'MoodysData(Raw)'!$B$2:$B$180,"=GDP",'MoodysData(Raw)'!$D$2:$D$180,"="&amp;'Implied Productivity Ratios'!$C15)/SUMIFS('MoodysData(Raw)'!AR$2:AR$180,'MoodysData(Raw)'!$B$2:$B$180,"=EMP",'MoodysData(Raw)'!$D$2:$D$180,"="&amp;'Implied Productivity Ratios'!$C15)</f>
        <v>117.94455288318392</v>
      </c>
      <c r="AP15">
        <f>SUMIFS('MoodysData(Raw)'!AS$2:AS$180,'MoodysData(Raw)'!$B$2:$B$180,"=GDP",'MoodysData(Raw)'!$D$2:$D$180,"="&amp;'Implied Productivity Ratios'!$C15)/SUMIFS('MoodysData(Raw)'!AS$2:AS$180,'MoodysData(Raw)'!$B$2:$B$180,"=EMP",'MoodysData(Raw)'!$D$2:$D$180,"="&amp;'Implied Productivity Ratios'!$C15)</f>
        <v>120.14871569851826</v>
      </c>
      <c r="AQ15">
        <f>SUMIFS('MoodysData(Raw)'!AT$2:AT$180,'MoodysData(Raw)'!$B$2:$B$180,"=GDP",'MoodysData(Raw)'!$D$2:$D$180,"="&amp;'Implied Productivity Ratios'!$C15)/SUMIFS('MoodysData(Raw)'!AT$2:AT$180,'MoodysData(Raw)'!$B$2:$B$180,"=EMP",'MoodysData(Raw)'!$D$2:$D$180,"="&amp;'Implied Productivity Ratios'!$C15)</f>
        <v>122.26117412181814</v>
      </c>
      <c r="AR15">
        <f>SUMIFS('MoodysData(Raw)'!AU$2:AU$180,'MoodysData(Raw)'!$B$2:$B$180,"=GDP",'MoodysData(Raw)'!$D$2:$D$180,"="&amp;'Implied Productivity Ratios'!$C15)/SUMIFS('MoodysData(Raw)'!AU$2:AU$180,'MoodysData(Raw)'!$B$2:$B$180,"=EMP",'MoodysData(Raw)'!$D$2:$D$180,"="&amp;'Implied Productivity Ratios'!$C15)</f>
        <v>124.33188370217093</v>
      </c>
      <c r="AS15">
        <f>SUMIFS('MoodysData(Raw)'!AV$2:AV$180,'MoodysData(Raw)'!$B$2:$B$180,"=GDP",'MoodysData(Raw)'!$D$2:$D$180,"="&amp;'Implied Productivity Ratios'!$C15)/SUMIFS('MoodysData(Raw)'!AV$2:AV$180,'MoodysData(Raw)'!$B$2:$B$180,"=EMP",'MoodysData(Raw)'!$D$2:$D$180,"="&amp;'Implied Productivity Ratios'!$C15)</f>
        <v>126.47145178861642</v>
      </c>
      <c r="AT15">
        <f>SUMIFS('MoodysData(Raw)'!AW$2:AW$180,'MoodysData(Raw)'!$B$2:$B$180,"=GDP",'MoodysData(Raw)'!$D$2:$D$180,"="&amp;'Implied Productivity Ratios'!$C15)/SUMIFS('MoodysData(Raw)'!AW$2:AW$180,'MoodysData(Raw)'!$B$2:$B$180,"=EMP",'MoodysData(Raw)'!$D$2:$D$180,"="&amp;'Implied Productivity Ratios'!$C15)</f>
        <v>128.68890707401346</v>
      </c>
      <c r="AU15">
        <f>SUMIFS('MoodysData(Raw)'!AX$2:AX$180,'MoodysData(Raw)'!$B$2:$B$180,"=GDP",'MoodysData(Raw)'!$D$2:$D$180,"="&amp;'Implied Productivity Ratios'!$C15)/SUMIFS('MoodysData(Raw)'!AX$2:AX$180,'MoodysData(Raw)'!$B$2:$B$180,"=EMP",'MoodysData(Raw)'!$D$2:$D$180,"="&amp;'Implied Productivity Ratios'!$C15)</f>
        <v>131.06921139385858</v>
      </c>
      <c r="AV15">
        <f>SUMIFS('MoodysData(Raw)'!AY$2:AY$180,'MoodysData(Raw)'!$B$2:$B$180,"=GDP",'MoodysData(Raw)'!$D$2:$D$180,"="&amp;'Implied Productivity Ratios'!$C15)/SUMIFS('MoodysData(Raw)'!AY$2:AY$180,'MoodysData(Raw)'!$B$2:$B$180,"=EMP",'MoodysData(Raw)'!$D$2:$D$180,"="&amp;'Implied Productivity Ratios'!$C15)</f>
        <v>133.60914423675425</v>
      </c>
      <c r="AW15">
        <f>SUMIFS('MoodysData(Raw)'!AZ$2:AZ$180,'MoodysData(Raw)'!$B$2:$B$180,"=GDP",'MoodysData(Raw)'!$D$2:$D$180,"="&amp;'Implied Productivity Ratios'!$C15)/SUMIFS('MoodysData(Raw)'!AZ$2:AZ$180,'MoodysData(Raw)'!$B$2:$B$180,"=EMP",'MoodysData(Raw)'!$D$2:$D$180,"="&amp;'Implied Productivity Ratios'!$C15)</f>
        <v>136.20559257907775</v>
      </c>
      <c r="AX15">
        <f>SUMIFS('MoodysData(Raw)'!BA$2:BA$180,'MoodysData(Raw)'!$B$2:$B$180,"=GDP",'MoodysData(Raw)'!$D$2:$D$180,"="&amp;'Implied Productivity Ratios'!$C15)/SUMIFS('MoodysData(Raw)'!BA$2:BA$180,'MoodysData(Raw)'!$B$2:$B$180,"=EMP",'MoodysData(Raw)'!$D$2:$D$180,"="&amp;'Implied Productivity Ratios'!$C15)</f>
        <v>138.84222565446049</v>
      </c>
      <c r="AY15">
        <f>SUMIFS('MoodysData(Raw)'!BB$2:BB$180,'MoodysData(Raw)'!$B$2:$B$180,"=GDP",'MoodysData(Raw)'!$D$2:$D$180,"="&amp;'Implied Productivity Ratios'!$C15)/SUMIFS('MoodysData(Raw)'!BB$2:BB$180,'MoodysData(Raw)'!$B$2:$B$180,"=EMP",'MoodysData(Raw)'!$D$2:$D$180,"="&amp;'Implied Productivity Ratios'!$C15)</f>
        <v>141.52085987261145</v>
      </c>
      <c r="AZ15">
        <f>SUMIFS('MoodysData(Raw)'!BC$2:BC$180,'MoodysData(Raw)'!$B$2:$B$180,"=GDP",'MoodysData(Raw)'!$D$2:$D$180,"="&amp;'Implied Productivity Ratios'!$C15)/SUMIFS('MoodysData(Raw)'!BC$2:BC$180,'MoodysData(Raw)'!$B$2:$B$180,"=EMP",'MoodysData(Raw)'!$D$2:$D$180,"="&amp;'Implied Productivity Ratios'!$C15)</f>
        <v>144.36321443048237</v>
      </c>
      <c r="BA15">
        <f>SUMIFS('MoodysData(Raw)'!BD$2:BD$180,'MoodysData(Raw)'!$B$2:$B$180,"=GDP",'MoodysData(Raw)'!$D$2:$D$180,"="&amp;'Implied Productivity Ratios'!$C15)/SUMIFS('MoodysData(Raw)'!BD$2:BD$180,'MoodysData(Raw)'!$B$2:$B$180,"=EMP",'MoodysData(Raw)'!$D$2:$D$180,"="&amp;'Implied Productivity Ratios'!$C15)</f>
        <v>147.38074303405571</v>
      </c>
      <c r="BB15">
        <f>SUMIFS('MoodysData(Raw)'!BE$2:BE$180,'MoodysData(Raw)'!$B$2:$B$180,"=GDP",'MoodysData(Raw)'!$D$2:$D$180,"="&amp;'Implied Productivity Ratios'!$C15)/SUMIFS('MoodysData(Raw)'!BE$2:BE$180,'MoodysData(Raw)'!$B$2:$B$180,"=EMP",'MoodysData(Raw)'!$D$2:$D$180,"="&amp;'Implied Productivity Ratios'!$C15)</f>
        <v>150.59605838801954</v>
      </c>
      <c r="BC15">
        <f>SUMIFS('MoodysData(Raw)'!BF$2:BF$180,'MoodysData(Raw)'!$B$2:$B$180,"=GDP",'MoodysData(Raw)'!$D$2:$D$180,"="&amp;'Implied Productivity Ratios'!$C15)/SUMIFS('MoodysData(Raw)'!BF$2:BF$180,'MoodysData(Raw)'!$B$2:$B$180,"=EMP",'MoodysData(Raw)'!$D$2:$D$180,"="&amp;'Implied Productivity Ratios'!$C15)</f>
        <v>153.99909938887103</v>
      </c>
      <c r="BD15" s="5">
        <f t="shared" ref="BD15:BH15" si="9">BC15+($BC15-$AX15)/5</f>
        <v>157.03047413575314</v>
      </c>
      <c r="BE15" s="5">
        <f t="shared" si="9"/>
        <v>160.06184888263525</v>
      </c>
      <c r="BF15" s="5">
        <f t="shared" si="9"/>
        <v>163.09322362951735</v>
      </c>
      <c r="BG15" s="5">
        <f t="shared" si="9"/>
        <v>166.12459837639946</v>
      </c>
      <c r="BH15" s="5">
        <f t="shared" si="9"/>
        <v>169.15597312328157</v>
      </c>
    </row>
    <row r="16" spans="3:60">
      <c r="C16">
        <v>314</v>
      </c>
      <c r="D16" t="s">
        <v>47</v>
      </c>
      <c r="E16">
        <f>SUMIFS('MoodysData(Raw)'!H$2:H$180,'MoodysData(Raw)'!$B$2:$B$180,"=GDP",'MoodysData(Raw)'!$D$2:$D$180,"="&amp;'Implied Productivity Ratios'!$C16)/SUMIFS('MoodysData(Raw)'!H$2:H$180,'MoodysData(Raw)'!$B$2:$B$180,"=EMP",'MoodysData(Raw)'!$D$2:$D$180,"="&amp;'Implied Productivity Ratios'!$C16)</f>
        <v>60.854368818673294</v>
      </c>
      <c r="F16">
        <f>SUMIFS('MoodysData(Raw)'!I$2:I$180,'MoodysData(Raw)'!$B$2:$B$180,"=GDP",'MoodysData(Raw)'!$D$2:$D$180,"="&amp;'Implied Productivity Ratios'!$C16)/SUMIFS('MoodysData(Raw)'!I$2:I$180,'MoodysData(Raw)'!$B$2:$B$180,"=EMP",'MoodysData(Raw)'!$D$2:$D$180,"="&amp;'Implied Productivity Ratios'!$C16)</f>
        <v>63.208927681718365</v>
      </c>
      <c r="G16">
        <f>SUMIFS('MoodysData(Raw)'!J$2:J$180,'MoodysData(Raw)'!$B$2:$B$180,"=GDP",'MoodysData(Raw)'!$D$2:$D$180,"="&amp;'Implied Productivity Ratios'!$C16)/SUMIFS('MoodysData(Raw)'!J$2:J$180,'MoodysData(Raw)'!$B$2:$B$180,"=EMP",'MoodysData(Raw)'!$D$2:$D$180,"="&amp;'Implied Productivity Ratios'!$C16)</f>
        <v>65.249477103822713</v>
      </c>
      <c r="H16">
        <f>SUMIFS('MoodysData(Raw)'!K$2:K$180,'MoodysData(Raw)'!$B$2:$B$180,"=GDP",'MoodysData(Raw)'!$D$2:$D$180,"="&amp;'Implied Productivity Ratios'!$C16)/SUMIFS('MoodysData(Raw)'!K$2:K$180,'MoodysData(Raw)'!$B$2:$B$180,"=EMP",'MoodysData(Raw)'!$D$2:$D$180,"="&amp;'Implied Productivity Ratios'!$C16)</f>
        <v>67.086038771658949</v>
      </c>
      <c r="I16">
        <f>SUMIFS('MoodysData(Raw)'!L$2:L$180,'MoodysData(Raw)'!$B$2:$B$180,"=GDP",'MoodysData(Raw)'!$D$2:$D$180,"="&amp;'Implied Productivity Ratios'!$C16)/SUMIFS('MoodysData(Raw)'!L$2:L$180,'MoodysData(Raw)'!$B$2:$B$180,"=EMP",'MoodysData(Raw)'!$D$2:$D$180,"="&amp;'Implied Productivity Ratios'!$C16)</f>
        <v>62.136738893596416</v>
      </c>
      <c r="J16">
        <f>SUMIFS('MoodysData(Raw)'!M$2:M$180,'MoodysData(Raw)'!$B$2:$B$180,"=GDP",'MoodysData(Raw)'!$D$2:$D$180,"="&amp;'Implied Productivity Ratios'!$C16)/SUMIFS('MoodysData(Raw)'!M$2:M$180,'MoodysData(Raw)'!$B$2:$B$180,"=EMP",'MoodysData(Raw)'!$D$2:$D$180,"="&amp;'Implied Productivity Ratios'!$C16)</f>
        <v>64.317255457704888</v>
      </c>
      <c r="K16">
        <f>SUMIFS('MoodysData(Raw)'!N$2:N$180,'MoodysData(Raw)'!$B$2:$B$180,"=GDP",'MoodysData(Raw)'!$D$2:$D$180,"="&amp;'Implied Productivity Ratios'!$C16)/SUMIFS('MoodysData(Raw)'!N$2:N$180,'MoodysData(Raw)'!$B$2:$B$180,"=EMP",'MoodysData(Raw)'!$D$2:$D$180,"="&amp;'Implied Productivity Ratios'!$C16)</f>
        <v>57.800285111867993</v>
      </c>
      <c r="L16">
        <f>SUMIFS('MoodysData(Raw)'!O$2:O$180,'MoodysData(Raw)'!$B$2:$B$180,"=GDP",'MoodysData(Raw)'!$D$2:$D$180,"="&amp;'Implied Productivity Ratios'!$C16)/SUMIFS('MoodysData(Raw)'!O$2:O$180,'MoodysData(Raw)'!$B$2:$B$180,"=EMP",'MoodysData(Raw)'!$D$2:$D$180,"="&amp;'Implied Productivity Ratios'!$C16)</f>
        <v>63.719108930424866</v>
      </c>
      <c r="M16">
        <f>SUMIFS('MoodysData(Raw)'!P$2:P$180,'MoodysData(Raw)'!$B$2:$B$180,"=GDP",'MoodysData(Raw)'!$D$2:$D$180,"="&amp;'Implied Productivity Ratios'!$C16)/SUMIFS('MoodysData(Raw)'!P$2:P$180,'MoodysData(Raw)'!$B$2:$B$180,"=EMP",'MoodysData(Raw)'!$D$2:$D$180,"="&amp;'Implied Productivity Ratios'!$C16)</f>
        <v>69.55697410705686</v>
      </c>
      <c r="N16">
        <f>SUMIFS('MoodysData(Raw)'!Q$2:Q$180,'MoodysData(Raw)'!$B$2:$B$180,"=GDP",'MoodysData(Raw)'!$D$2:$D$180,"="&amp;'Implied Productivity Ratios'!$C16)/SUMIFS('MoodysData(Raw)'!Q$2:Q$180,'MoodysData(Raw)'!$B$2:$B$180,"=EMP",'MoodysData(Raw)'!$D$2:$D$180,"="&amp;'Implied Productivity Ratios'!$C16)</f>
        <v>72.390909961435668</v>
      </c>
      <c r="O16">
        <f>SUMIFS('MoodysData(Raw)'!R$2:R$180,'MoodysData(Raw)'!$B$2:$B$180,"=GDP",'MoodysData(Raw)'!$D$2:$D$180,"="&amp;'Implied Productivity Ratios'!$C16)/SUMIFS('MoodysData(Raw)'!R$2:R$180,'MoodysData(Raw)'!$B$2:$B$180,"=EMP",'MoodysData(Raw)'!$D$2:$D$180,"="&amp;'Implied Productivity Ratios'!$C16)</f>
        <v>70.408444859425245</v>
      </c>
      <c r="P16">
        <f>SUMIFS('MoodysData(Raw)'!S$2:S$180,'MoodysData(Raw)'!$B$2:$B$180,"=GDP",'MoodysData(Raw)'!$D$2:$D$180,"="&amp;'Implied Productivity Ratios'!$C16)/SUMIFS('MoodysData(Raw)'!S$2:S$180,'MoodysData(Raw)'!$B$2:$B$180,"=EMP",'MoodysData(Raw)'!$D$2:$D$180,"="&amp;'Implied Productivity Ratios'!$C16)</f>
        <v>72.17862917096663</v>
      </c>
      <c r="Q16">
        <f>SUMIFS('MoodysData(Raw)'!T$2:T$180,'MoodysData(Raw)'!$B$2:$B$180,"=GDP",'MoodysData(Raw)'!$D$2:$D$180,"="&amp;'Implied Productivity Ratios'!$C16)/SUMIFS('MoodysData(Raw)'!T$2:T$180,'MoodysData(Raw)'!$B$2:$B$180,"=EMP",'MoodysData(Raw)'!$D$2:$D$180,"="&amp;'Implied Productivity Ratios'!$C16)</f>
        <v>71.358440166322325</v>
      </c>
      <c r="R16">
        <f>SUMIFS('MoodysData(Raw)'!U$2:U$180,'MoodysData(Raw)'!$B$2:$B$180,"=GDP",'MoodysData(Raw)'!$D$2:$D$180,"="&amp;'Implied Productivity Ratios'!$C16)/SUMIFS('MoodysData(Raw)'!U$2:U$180,'MoodysData(Raw)'!$B$2:$B$180,"=EMP",'MoodysData(Raw)'!$D$2:$D$180,"="&amp;'Implied Productivity Ratios'!$C16)</f>
        <v>67.380899533715308</v>
      </c>
      <c r="S16">
        <f>SUMIFS('MoodysData(Raw)'!V$2:V$180,'MoodysData(Raw)'!$B$2:$B$180,"=GDP",'MoodysData(Raw)'!$D$2:$D$180,"="&amp;'Implied Productivity Ratios'!$C16)/SUMIFS('MoodysData(Raw)'!V$2:V$180,'MoodysData(Raw)'!$B$2:$B$180,"=EMP",'MoodysData(Raw)'!$D$2:$D$180,"="&amp;'Implied Productivity Ratios'!$C16)</f>
        <v>68.700157737093022</v>
      </c>
      <c r="T16">
        <f>SUMIFS('MoodysData(Raw)'!W$2:W$180,'MoodysData(Raw)'!$B$2:$B$180,"=GDP",'MoodysData(Raw)'!$D$2:$D$180,"="&amp;'Implied Productivity Ratios'!$C16)/SUMIFS('MoodysData(Raw)'!W$2:W$180,'MoodysData(Raw)'!$B$2:$B$180,"=EMP",'MoodysData(Raw)'!$D$2:$D$180,"="&amp;'Implied Productivity Ratios'!$C16)</f>
        <v>72.118080341694423</v>
      </c>
      <c r="U16">
        <f>SUMIFS('MoodysData(Raw)'!X$2:X$180,'MoodysData(Raw)'!$B$2:$B$180,"=GDP",'MoodysData(Raw)'!$D$2:$D$180,"="&amp;'Implied Productivity Ratios'!$C16)/SUMIFS('MoodysData(Raw)'!X$2:X$180,'MoodysData(Raw)'!$B$2:$B$180,"=EMP",'MoodysData(Raw)'!$D$2:$D$180,"="&amp;'Implied Productivity Ratios'!$C16)</f>
        <v>75.111928276920125</v>
      </c>
      <c r="V16">
        <f>SUMIFS('MoodysData(Raw)'!Y$2:Y$180,'MoodysData(Raw)'!$B$2:$B$180,"=GDP",'MoodysData(Raw)'!$D$2:$D$180,"="&amp;'Implied Productivity Ratios'!$C16)/SUMIFS('MoodysData(Raw)'!Y$2:Y$180,'MoodysData(Raw)'!$B$2:$B$180,"=EMP",'MoodysData(Raw)'!$D$2:$D$180,"="&amp;'Implied Productivity Ratios'!$C16)</f>
        <v>69.917819914995832</v>
      </c>
      <c r="W16">
        <f>SUMIFS('MoodysData(Raw)'!Z$2:Z$180,'MoodysData(Raw)'!$B$2:$B$180,"=GDP",'MoodysData(Raw)'!$D$2:$D$180,"="&amp;'Implied Productivity Ratios'!$C16)/SUMIFS('MoodysData(Raw)'!Z$2:Z$180,'MoodysData(Raw)'!$B$2:$B$180,"=EMP",'MoodysData(Raw)'!$D$2:$D$180,"="&amp;'Implied Productivity Ratios'!$C16)</f>
        <v>67.097580924521765</v>
      </c>
      <c r="X16">
        <f>SUMIFS('MoodysData(Raw)'!AA$2:AA$180,'MoodysData(Raw)'!$B$2:$B$180,"=GDP",'MoodysData(Raw)'!$D$2:$D$180,"="&amp;'Implied Productivity Ratios'!$C16)/SUMIFS('MoodysData(Raw)'!AA$2:AA$180,'MoodysData(Raw)'!$B$2:$B$180,"=EMP",'MoodysData(Raw)'!$D$2:$D$180,"="&amp;'Implied Productivity Ratios'!$C16)</f>
        <v>69.408644688644685</v>
      </c>
      <c r="Y16">
        <f>SUMIFS('MoodysData(Raw)'!AB$2:AB$180,'MoodysData(Raw)'!$B$2:$B$180,"=GDP",'MoodysData(Raw)'!$D$2:$D$180,"="&amp;'Implied Productivity Ratios'!$C16)/SUMIFS('MoodysData(Raw)'!AB$2:AB$180,'MoodysData(Raw)'!$B$2:$B$180,"=EMP",'MoodysData(Raw)'!$D$2:$D$180,"="&amp;'Implied Productivity Ratios'!$C16)</f>
        <v>71.61314510392792</v>
      </c>
      <c r="Z16">
        <f>SUMIFS('MoodysData(Raw)'!AC$2:AC$180,'MoodysData(Raw)'!$B$2:$B$180,"=GDP",'MoodysData(Raw)'!$D$2:$D$180,"="&amp;'Implied Productivity Ratios'!$C16)/SUMIFS('MoodysData(Raw)'!AC$2:AC$180,'MoodysData(Raw)'!$B$2:$B$180,"=EMP",'MoodysData(Raw)'!$D$2:$D$180,"="&amp;'Implied Productivity Ratios'!$C16)</f>
        <v>73.331582055511433</v>
      </c>
      <c r="AA16">
        <f>SUMIFS('MoodysData(Raw)'!AD$2:AD$180,'MoodysData(Raw)'!$B$2:$B$180,"=GDP",'MoodysData(Raw)'!$D$2:$D$180,"="&amp;'Implied Productivity Ratios'!$C16)/SUMIFS('MoodysData(Raw)'!AD$2:AD$180,'MoodysData(Raw)'!$B$2:$B$180,"=EMP",'MoodysData(Raw)'!$D$2:$D$180,"="&amp;'Implied Productivity Ratios'!$C16)</f>
        <v>75.91611100061759</v>
      </c>
      <c r="AB16">
        <f>SUMIFS('MoodysData(Raw)'!AE$2:AE$180,'MoodysData(Raw)'!$B$2:$B$180,"=GDP",'MoodysData(Raw)'!$D$2:$D$180,"="&amp;'Implied Productivity Ratios'!$C16)/SUMIFS('MoodysData(Raw)'!AE$2:AE$180,'MoodysData(Raw)'!$B$2:$B$180,"=EMP",'MoodysData(Raw)'!$D$2:$D$180,"="&amp;'Implied Productivity Ratios'!$C16)</f>
        <v>79.343767078515626</v>
      </c>
      <c r="AC16">
        <f>SUMIFS('MoodysData(Raw)'!AF$2:AF$180,'MoodysData(Raw)'!$B$2:$B$180,"=GDP",'MoodysData(Raw)'!$D$2:$D$180,"="&amp;'Implied Productivity Ratios'!$C16)/SUMIFS('MoodysData(Raw)'!AF$2:AF$180,'MoodysData(Raw)'!$B$2:$B$180,"=EMP",'MoodysData(Raw)'!$D$2:$D$180,"="&amp;'Implied Productivity Ratios'!$C16)</f>
        <v>83.057090239410684</v>
      </c>
      <c r="AD16">
        <f>SUMIFS('MoodysData(Raw)'!AG$2:AG$180,'MoodysData(Raw)'!$B$2:$B$180,"=GDP",'MoodysData(Raw)'!$D$2:$D$180,"="&amp;'Implied Productivity Ratios'!$C16)/SUMIFS('MoodysData(Raw)'!AG$2:AG$180,'MoodysData(Raw)'!$B$2:$B$180,"=EMP",'MoodysData(Raw)'!$D$2:$D$180,"="&amp;'Implied Productivity Ratios'!$C16)</f>
        <v>86.980618718769293</v>
      </c>
      <c r="AE16">
        <f>SUMIFS('MoodysData(Raw)'!AH$2:AH$180,'MoodysData(Raw)'!$B$2:$B$180,"=GDP",'MoodysData(Raw)'!$D$2:$D$180,"="&amp;'Implied Productivity Ratios'!$C16)/SUMIFS('MoodysData(Raw)'!AH$2:AH$180,'MoodysData(Raw)'!$B$2:$B$180,"=EMP",'MoodysData(Raw)'!$D$2:$D$180,"="&amp;'Implied Productivity Ratios'!$C16)</f>
        <v>90.824160533578663</v>
      </c>
      <c r="AF16">
        <f>SUMIFS('MoodysData(Raw)'!AI$2:AI$180,'MoodysData(Raw)'!$B$2:$B$180,"=GDP",'MoodysData(Raw)'!$D$2:$D$180,"="&amp;'Implied Productivity Ratios'!$C16)/SUMIFS('MoodysData(Raw)'!AI$2:AI$180,'MoodysData(Raw)'!$B$2:$B$180,"=EMP",'MoodysData(Raw)'!$D$2:$D$180,"="&amp;'Implied Productivity Ratios'!$C16)</f>
        <v>94.832318584070791</v>
      </c>
      <c r="AG16">
        <f>SUMIFS('MoodysData(Raw)'!AJ$2:AJ$180,'MoodysData(Raw)'!$B$2:$B$180,"=GDP",'MoodysData(Raw)'!$D$2:$D$180,"="&amp;'Implied Productivity Ratios'!$C16)/SUMIFS('MoodysData(Raw)'!AJ$2:AJ$180,'MoodysData(Raw)'!$B$2:$B$180,"=EMP",'MoodysData(Raw)'!$D$2:$D$180,"="&amp;'Implied Productivity Ratios'!$C16)</f>
        <v>98.964538491370945</v>
      </c>
      <c r="AH16">
        <f>SUMIFS('MoodysData(Raw)'!AK$2:AK$180,'MoodysData(Raw)'!$B$2:$B$180,"=GDP",'MoodysData(Raw)'!$D$2:$D$180,"="&amp;'Implied Productivity Ratios'!$C16)/SUMIFS('MoodysData(Raw)'!AK$2:AK$180,'MoodysData(Raw)'!$B$2:$B$180,"=EMP",'MoodysData(Raw)'!$D$2:$D$180,"="&amp;'Implied Productivity Ratios'!$C16)</f>
        <v>102.9523471900888</v>
      </c>
      <c r="AI16">
        <f>SUMIFS('MoodysData(Raw)'!AL$2:AL$180,'MoodysData(Raw)'!$B$2:$B$180,"=GDP",'MoodysData(Raw)'!$D$2:$D$180,"="&amp;'Implied Productivity Ratios'!$C16)/SUMIFS('MoodysData(Raw)'!AL$2:AL$180,'MoodysData(Raw)'!$B$2:$B$180,"=EMP",'MoodysData(Raw)'!$D$2:$D$180,"="&amp;'Implied Productivity Ratios'!$C16)</f>
        <v>107.03108232408401</v>
      </c>
      <c r="AJ16">
        <f>SUMIFS('MoodysData(Raw)'!AM$2:AM$180,'MoodysData(Raw)'!$B$2:$B$180,"=GDP",'MoodysData(Raw)'!$D$2:$D$180,"="&amp;'Implied Productivity Ratios'!$C16)/SUMIFS('MoodysData(Raw)'!AM$2:AM$180,'MoodysData(Raw)'!$B$2:$B$180,"=EMP",'MoodysData(Raw)'!$D$2:$D$180,"="&amp;'Implied Productivity Ratios'!$C16)</f>
        <v>111.36991603253739</v>
      </c>
      <c r="AK16">
        <f>SUMIFS('MoodysData(Raw)'!AN$2:AN$180,'MoodysData(Raw)'!$B$2:$B$180,"=GDP",'MoodysData(Raw)'!$D$2:$D$180,"="&amp;'Implied Productivity Ratios'!$C16)/SUMIFS('MoodysData(Raw)'!AN$2:AN$180,'MoodysData(Raw)'!$B$2:$B$180,"=EMP",'MoodysData(Raw)'!$D$2:$D$180,"="&amp;'Implied Productivity Ratios'!$C16)</f>
        <v>115.94318059299191</v>
      </c>
      <c r="AL16">
        <f>SUMIFS('MoodysData(Raw)'!AO$2:AO$180,'MoodysData(Raw)'!$B$2:$B$180,"=GDP",'MoodysData(Raw)'!$D$2:$D$180,"="&amp;'Implied Productivity Ratios'!$C16)/SUMIFS('MoodysData(Raw)'!AO$2:AO$180,'MoodysData(Raw)'!$B$2:$B$180,"=EMP",'MoodysData(Raw)'!$D$2:$D$180,"="&amp;'Implied Productivity Ratios'!$C16)</f>
        <v>120.62705366164238</v>
      </c>
      <c r="AM16">
        <f>SUMIFS('MoodysData(Raw)'!AP$2:AP$180,'MoodysData(Raw)'!$B$2:$B$180,"=GDP",'MoodysData(Raw)'!$D$2:$D$180,"="&amp;'Implied Productivity Ratios'!$C16)/SUMIFS('MoodysData(Raw)'!AP$2:AP$180,'MoodysData(Raw)'!$B$2:$B$180,"=EMP",'MoodysData(Raw)'!$D$2:$D$180,"="&amp;'Implied Productivity Ratios'!$C16)</f>
        <v>125.5502231825548</v>
      </c>
      <c r="AN16">
        <f>SUMIFS('MoodysData(Raw)'!AQ$2:AQ$180,'MoodysData(Raw)'!$B$2:$B$180,"=GDP",'MoodysData(Raw)'!$D$2:$D$180,"="&amp;'Implied Productivity Ratios'!$C16)/SUMIFS('MoodysData(Raw)'!AQ$2:AQ$180,'MoodysData(Raw)'!$B$2:$B$180,"=EMP",'MoodysData(Raw)'!$D$2:$D$180,"="&amp;'Implied Productivity Ratios'!$C16)</f>
        <v>130.66557697640138</v>
      </c>
      <c r="AO16">
        <f>SUMIFS('MoodysData(Raw)'!AR$2:AR$180,'MoodysData(Raw)'!$B$2:$B$180,"=GDP",'MoodysData(Raw)'!$D$2:$D$180,"="&amp;'Implied Productivity Ratios'!$C16)/SUMIFS('MoodysData(Raw)'!AR$2:AR$180,'MoodysData(Raw)'!$B$2:$B$180,"=EMP",'MoodysData(Raw)'!$D$2:$D$180,"="&amp;'Implied Productivity Ratios'!$C16)</f>
        <v>135.68771022379025</v>
      </c>
      <c r="AP16">
        <f>SUMIFS('MoodysData(Raw)'!AS$2:AS$180,'MoodysData(Raw)'!$B$2:$B$180,"=GDP",'MoodysData(Raw)'!$D$2:$D$180,"="&amp;'Implied Productivity Ratios'!$C16)/SUMIFS('MoodysData(Raw)'!AS$2:AS$180,'MoodysData(Raw)'!$B$2:$B$180,"=EMP",'MoodysData(Raw)'!$D$2:$D$180,"="&amp;'Implied Productivity Ratios'!$C16)</f>
        <v>140.69359625504836</v>
      </c>
      <c r="AQ16">
        <f>SUMIFS('MoodysData(Raw)'!AT$2:AT$180,'MoodysData(Raw)'!$B$2:$B$180,"=GDP",'MoodysData(Raw)'!$D$2:$D$180,"="&amp;'Implied Productivity Ratios'!$C16)/SUMIFS('MoodysData(Raw)'!AT$2:AT$180,'MoodysData(Raw)'!$B$2:$B$180,"=EMP",'MoodysData(Raw)'!$D$2:$D$180,"="&amp;'Implied Productivity Ratios'!$C16)</f>
        <v>145.84350481559784</v>
      </c>
      <c r="AR16">
        <f>SUMIFS('MoodysData(Raw)'!AU$2:AU$180,'MoodysData(Raw)'!$B$2:$B$180,"=GDP",'MoodysData(Raw)'!$D$2:$D$180,"="&amp;'Implied Productivity Ratios'!$C16)/SUMIFS('MoodysData(Raw)'!AU$2:AU$180,'MoodysData(Raw)'!$B$2:$B$180,"=EMP",'MoodysData(Raw)'!$D$2:$D$180,"="&amp;'Implied Productivity Ratios'!$C16)</f>
        <v>150.98244041425895</v>
      </c>
      <c r="AS16">
        <f>SUMIFS('MoodysData(Raw)'!AV$2:AV$180,'MoodysData(Raw)'!$B$2:$B$180,"=GDP",'MoodysData(Raw)'!$D$2:$D$180,"="&amp;'Implied Productivity Ratios'!$C16)/SUMIFS('MoodysData(Raw)'!AV$2:AV$180,'MoodysData(Raw)'!$B$2:$B$180,"=EMP",'MoodysData(Raw)'!$D$2:$D$180,"="&amp;'Implied Productivity Ratios'!$C16)</f>
        <v>156.21415848217933</v>
      </c>
      <c r="AT16">
        <f>SUMIFS('MoodysData(Raw)'!AW$2:AW$180,'MoodysData(Raw)'!$B$2:$B$180,"=GDP",'MoodysData(Raw)'!$D$2:$D$180,"="&amp;'Implied Productivity Ratios'!$C16)/SUMIFS('MoodysData(Raw)'!AW$2:AW$180,'MoodysData(Raw)'!$B$2:$B$180,"=EMP",'MoodysData(Raw)'!$D$2:$D$180,"="&amp;'Implied Productivity Ratios'!$C16)</f>
        <v>161.67214345287741</v>
      </c>
      <c r="AU16">
        <f>SUMIFS('MoodysData(Raw)'!AX$2:AX$180,'MoodysData(Raw)'!$B$2:$B$180,"=GDP",'MoodysData(Raw)'!$D$2:$D$180,"="&amp;'Implied Productivity Ratios'!$C16)/SUMIFS('MoodysData(Raw)'!AX$2:AX$180,'MoodysData(Raw)'!$B$2:$B$180,"=EMP",'MoodysData(Raw)'!$D$2:$D$180,"="&amp;'Implied Productivity Ratios'!$C16)</f>
        <v>167.47658219224743</v>
      </c>
      <c r="AV16">
        <f>SUMIFS('MoodysData(Raw)'!AY$2:AY$180,'MoodysData(Raw)'!$B$2:$B$180,"=GDP",'MoodysData(Raw)'!$D$2:$D$180,"="&amp;'Implied Productivity Ratios'!$C16)/SUMIFS('MoodysData(Raw)'!AY$2:AY$180,'MoodysData(Raw)'!$B$2:$B$180,"=EMP",'MoodysData(Raw)'!$D$2:$D$180,"="&amp;'Implied Productivity Ratios'!$C16)</f>
        <v>173.63222328493174</v>
      </c>
      <c r="AW16">
        <f>SUMIFS('MoodysData(Raw)'!AZ$2:AZ$180,'MoodysData(Raw)'!$B$2:$B$180,"=GDP",'MoodysData(Raw)'!$D$2:$D$180,"="&amp;'Implied Productivity Ratios'!$C16)/SUMIFS('MoodysData(Raw)'!AZ$2:AZ$180,'MoodysData(Raw)'!$B$2:$B$180,"=EMP",'MoodysData(Raw)'!$D$2:$D$180,"="&amp;'Implied Productivity Ratios'!$C16)</f>
        <v>180.03218819351974</v>
      </c>
      <c r="AX16">
        <f>SUMIFS('MoodysData(Raw)'!BA$2:BA$180,'MoodysData(Raw)'!$B$2:$B$180,"=GDP",'MoodysData(Raw)'!$D$2:$D$180,"="&amp;'Implied Productivity Ratios'!$C16)/SUMIFS('MoodysData(Raw)'!BA$2:BA$180,'MoodysData(Raw)'!$B$2:$B$180,"=EMP",'MoodysData(Raw)'!$D$2:$D$180,"="&amp;'Implied Productivity Ratios'!$C16)</f>
        <v>186.67441818313637</v>
      </c>
      <c r="AY16">
        <f>SUMIFS('MoodysData(Raw)'!BB$2:BB$180,'MoodysData(Raw)'!$B$2:$B$180,"=GDP",'MoodysData(Raw)'!$D$2:$D$180,"="&amp;'Implied Productivity Ratios'!$C16)/SUMIFS('MoodysData(Raw)'!BB$2:BB$180,'MoodysData(Raw)'!$B$2:$B$180,"=EMP",'MoodysData(Raw)'!$D$2:$D$180,"="&amp;'Implied Productivity Ratios'!$C16)</f>
        <v>193.55392900766185</v>
      </c>
      <c r="AZ16">
        <f>SUMIFS('MoodysData(Raw)'!BC$2:BC$180,'MoodysData(Raw)'!$B$2:$B$180,"=GDP",'MoodysData(Raw)'!$D$2:$D$180,"="&amp;'Implied Productivity Ratios'!$C16)/SUMIFS('MoodysData(Raw)'!BC$2:BC$180,'MoodysData(Raw)'!$B$2:$B$180,"=EMP",'MoodysData(Raw)'!$D$2:$D$180,"="&amp;'Implied Productivity Ratios'!$C16)</f>
        <v>200.83554782740177</v>
      </c>
      <c r="BA16">
        <f>SUMIFS('MoodysData(Raw)'!BD$2:BD$180,'MoodysData(Raw)'!$B$2:$B$180,"=GDP",'MoodysData(Raw)'!$D$2:$D$180,"="&amp;'Implied Productivity Ratios'!$C16)/SUMIFS('MoodysData(Raw)'!BD$2:BD$180,'MoodysData(Raw)'!$B$2:$B$180,"=EMP",'MoodysData(Raw)'!$D$2:$D$180,"="&amp;'Implied Productivity Ratios'!$C16)</f>
        <v>208.55441434832136</v>
      </c>
      <c r="BB16">
        <f>SUMIFS('MoodysData(Raw)'!BE$2:BE$180,'MoodysData(Raw)'!$B$2:$B$180,"=GDP",'MoodysData(Raw)'!$D$2:$D$180,"="&amp;'Implied Productivity Ratios'!$C16)/SUMIFS('MoodysData(Raw)'!BE$2:BE$180,'MoodysData(Raw)'!$B$2:$B$180,"=EMP",'MoodysData(Raw)'!$D$2:$D$180,"="&amp;'Implied Productivity Ratios'!$C16)</f>
        <v>216.74177125266397</v>
      </c>
      <c r="BC16">
        <f>SUMIFS('MoodysData(Raw)'!BF$2:BF$180,'MoodysData(Raw)'!$B$2:$B$180,"=GDP",'MoodysData(Raw)'!$D$2:$D$180,"="&amp;'Implied Productivity Ratios'!$C16)/SUMIFS('MoodysData(Raw)'!BF$2:BF$180,'MoodysData(Raw)'!$B$2:$B$180,"=EMP",'MoodysData(Raw)'!$D$2:$D$180,"="&amp;'Implied Productivity Ratios'!$C16)</f>
        <v>225.41268463959963</v>
      </c>
      <c r="BD16" s="5">
        <f t="shared" ref="BD16:BH16" si="10">BC16+($BC16-$AX16)/5</f>
        <v>233.1603379308923</v>
      </c>
      <c r="BE16" s="5">
        <f t="shared" si="10"/>
        <v>240.90799122218496</v>
      </c>
      <c r="BF16" s="5">
        <f t="shared" si="10"/>
        <v>248.65564451347763</v>
      </c>
      <c r="BG16" s="5">
        <f t="shared" si="10"/>
        <v>256.40329780477026</v>
      </c>
      <c r="BH16" s="5">
        <f t="shared" si="10"/>
        <v>264.1509510960629</v>
      </c>
    </row>
    <row r="17" spans="3:60">
      <c r="C17">
        <v>315</v>
      </c>
      <c r="D17" t="s">
        <v>51</v>
      </c>
      <c r="E17">
        <f>SUMIFS('MoodysData(Raw)'!H$2:H$180,'MoodysData(Raw)'!$B$2:$B$180,"=GDP",'MoodysData(Raw)'!$D$2:$D$180,"="&amp;'Implied Productivity Ratios'!$C17)/SUMIFS('MoodysData(Raw)'!H$2:H$180,'MoodysData(Raw)'!$B$2:$B$180,"=EMP",'MoodysData(Raw)'!$D$2:$D$180,"="&amp;'Implied Productivity Ratios'!$C17)</f>
        <v>48.110493392666122</v>
      </c>
      <c r="F17">
        <f>SUMIFS('MoodysData(Raw)'!I$2:I$180,'MoodysData(Raw)'!$B$2:$B$180,"=GDP",'MoodysData(Raw)'!$D$2:$D$180,"="&amp;'Implied Productivity Ratios'!$C17)/SUMIFS('MoodysData(Raw)'!I$2:I$180,'MoodysData(Raw)'!$B$2:$B$180,"=EMP",'MoodysData(Raw)'!$D$2:$D$180,"="&amp;'Implied Productivity Ratios'!$C17)</f>
        <v>49.815587152502239</v>
      </c>
      <c r="G17">
        <f>SUMIFS('MoodysData(Raw)'!J$2:J$180,'MoodysData(Raw)'!$B$2:$B$180,"=GDP",'MoodysData(Raw)'!$D$2:$D$180,"="&amp;'Implied Productivity Ratios'!$C17)/SUMIFS('MoodysData(Raw)'!J$2:J$180,'MoodysData(Raw)'!$B$2:$B$180,"=EMP",'MoodysData(Raw)'!$D$2:$D$180,"="&amp;'Implied Productivity Ratios'!$C17)</f>
        <v>50.640114346053778</v>
      </c>
      <c r="H17">
        <f>SUMIFS('MoodysData(Raw)'!K$2:K$180,'MoodysData(Raw)'!$B$2:$B$180,"=GDP",'MoodysData(Raw)'!$D$2:$D$180,"="&amp;'Implied Productivity Ratios'!$C17)/SUMIFS('MoodysData(Raw)'!K$2:K$180,'MoodysData(Raw)'!$B$2:$B$180,"=EMP",'MoodysData(Raw)'!$D$2:$D$180,"="&amp;'Implied Productivity Ratios'!$C17)</f>
        <v>53.478956301895636</v>
      </c>
      <c r="I17">
        <f>SUMIFS('MoodysData(Raw)'!L$2:L$180,'MoodysData(Raw)'!$B$2:$B$180,"=GDP",'MoodysData(Raw)'!$D$2:$D$180,"="&amp;'Implied Productivity Ratios'!$C17)/SUMIFS('MoodysData(Raw)'!L$2:L$180,'MoodysData(Raw)'!$B$2:$B$180,"=EMP",'MoodysData(Raw)'!$D$2:$D$180,"="&amp;'Implied Productivity Ratios'!$C17)</f>
        <v>52.05794535333569</v>
      </c>
      <c r="J17">
        <f>SUMIFS('MoodysData(Raw)'!M$2:M$180,'MoodysData(Raw)'!$B$2:$B$180,"=GDP",'MoodysData(Raw)'!$D$2:$D$180,"="&amp;'Implied Productivity Ratios'!$C17)/SUMIFS('MoodysData(Raw)'!M$2:M$180,'MoodysData(Raw)'!$B$2:$B$180,"=EMP",'MoodysData(Raw)'!$D$2:$D$180,"="&amp;'Implied Productivity Ratios'!$C17)</f>
        <v>60.915869770571568</v>
      </c>
      <c r="K17">
        <f>SUMIFS('MoodysData(Raw)'!N$2:N$180,'MoodysData(Raw)'!$B$2:$B$180,"=GDP",'MoodysData(Raw)'!$D$2:$D$180,"="&amp;'Implied Productivity Ratios'!$C17)/SUMIFS('MoodysData(Raw)'!N$2:N$180,'MoodysData(Raw)'!$B$2:$B$180,"=EMP",'MoodysData(Raw)'!$D$2:$D$180,"="&amp;'Implied Productivity Ratios'!$C17)</f>
        <v>61.005191429764196</v>
      </c>
      <c r="L17">
        <f>SUMIFS('MoodysData(Raw)'!O$2:O$180,'MoodysData(Raw)'!$B$2:$B$180,"=GDP",'MoodysData(Raw)'!$D$2:$D$180,"="&amp;'Implied Productivity Ratios'!$C17)/SUMIFS('MoodysData(Raw)'!O$2:O$180,'MoodysData(Raw)'!$B$2:$B$180,"=EMP",'MoodysData(Raw)'!$D$2:$D$180,"="&amp;'Implied Productivity Ratios'!$C17)</f>
        <v>58.468215348689668</v>
      </c>
      <c r="M17">
        <f>SUMIFS('MoodysData(Raw)'!P$2:P$180,'MoodysData(Raw)'!$B$2:$B$180,"=GDP",'MoodysData(Raw)'!$D$2:$D$180,"="&amp;'Implied Productivity Ratios'!$C17)/SUMIFS('MoodysData(Raw)'!P$2:P$180,'MoodysData(Raw)'!$B$2:$B$180,"=EMP",'MoodysData(Raw)'!$D$2:$D$180,"="&amp;'Implied Productivity Ratios'!$C17)</f>
        <v>59.744075763086471</v>
      </c>
      <c r="N17">
        <f>SUMIFS('MoodysData(Raw)'!Q$2:Q$180,'MoodysData(Raw)'!$B$2:$B$180,"=GDP",'MoodysData(Raw)'!$D$2:$D$180,"="&amp;'Implied Productivity Ratios'!$C17)/SUMIFS('MoodysData(Raw)'!Q$2:Q$180,'MoodysData(Raw)'!$B$2:$B$180,"=EMP",'MoodysData(Raw)'!$D$2:$D$180,"="&amp;'Implied Productivity Ratios'!$C17)</f>
        <v>59.16551124648884</v>
      </c>
      <c r="O17">
        <f>SUMIFS('MoodysData(Raw)'!R$2:R$180,'MoodysData(Raw)'!$B$2:$B$180,"=GDP",'MoodysData(Raw)'!$D$2:$D$180,"="&amp;'Implied Productivity Ratios'!$C17)/SUMIFS('MoodysData(Raw)'!R$2:R$180,'MoodysData(Raw)'!$B$2:$B$180,"=EMP",'MoodysData(Raw)'!$D$2:$D$180,"="&amp;'Implied Productivity Ratios'!$C17)</f>
        <v>57.411143011078067</v>
      </c>
      <c r="P17">
        <f>SUMIFS('MoodysData(Raw)'!S$2:S$180,'MoodysData(Raw)'!$B$2:$B$180,"=GDP",'MoodysData(Raw)'!$D$2:$D$180,"="&amp;'Implied Productivity Ratios'!$C17)/SUMIFS('MoodysData(Raw)'!S$2:S$180,'MoodysData(Raw)'!$B$2:$B$180,"=EMP",'MoodysData(Raw)'!$D$2:$D$180,"="&amp;'Implied Productivity Ratios'!$C17)</f>
        <v>59.820931145723449</v>
      </c>
      <c r="Q17">
        <f>SUMIFS('MoodysData(Raw)'!T$2:T$180,'MoodysData(Raw)'!$B$2:$B$180,"=GDP",'MoodysData(Raw)'!$D$2:$D$180,"="&amp;'Implied Productivity Ratios'!$C17)/SUMIFS('MoodysData(Raw)'!T$2:T$180,'MoodysData(Raw)'!$B$2:$B$180,"=EMP",'MoodysData(Raw)'!$D$2:$D$180,"="&amp;'Implied Productivity Ratios'!$C17)</f>
        <v>62.885577871536206</v>
      </c>
      <c r="R17">
        <f>SUMIFS('MoodysData(Raw)'!U$2:U$180,'MoodysData(Raw)'!$B$2:$B$180,"=GDP",'MoodysData(Raw)'!$D$2:$D$180,"="&amp;'Implied Productivity Ratios'!$C17)/SUMIFS('MoodysData(Raw)'!U$2:U$180,'MoodysData(Raw)'!$B$2:$B$180,"=EMP",'MoodysData(Raw)'!$D$2:$D$180,"="&amp;'Implied Productivity Ratios'!$C17)</f>
        <v>66.128355660393964</v>
      </c>
      <c r="S17">
        <f>SUMIFS('MoodysData(Raw)'!V$2:V$180,'MoodysData(Raw)'!$B$2:$B$180,"=GDP",'MoodysData(Raw)'!$D$2:$D$180,"="&amp;'Implied Productivity Ratios'!$C17)/SUMIFS('MoodysData(Raw)'!V$2:V$180,'MoodysData(Raw)'!$B$2:$B$180,"=EMP",'MoodysData(Raw)'!$D$2:$D$180,"="&amp;'Implied Productivity Ratios'!$C17)</f>
        <v>71.214480936754441</v>
      </c>
      <c r="T17">
        <f>SUMIFS('MoodysData(Raw)'!W$2:W$180,'MoodysData(Raw)'!$B$2:$B$180,"=GDP",'MoodysData(Raw)'!$D$2:$D$180,"="&amp;'Implied Productivity Ratios'!$C17)/SUMIFS('MoodysData(Raw)'!W$2:W$180,'MoodysData(Raw)'!$B$2:$B$180,"=EMP",'MoodysData(Raw)'!$D$2:$D$180,"="&amp;'Implied Productivity Ratios'!$C17)</f>
        <v>85.424039917026406</v>
      </c>
      <c r="U17">
        <f>SUMIFS('MoodysData(Raw)'!X$2:X$180,'MoodysData(Raw)'!$B$2:$B$180,"=GDP",'MoodysData(Raw)'!$D$2:$D$180,"="&amp;'Implied Productivity Ratios'!$C17)/SUMIFS('MoodysData(Raw)'!X$2:X$180,'MoodysData(Raw)'!$B$2:$B$180,"=EMP",'MoodysData(Raw)'!$D$2:$D$180,"="&amp;'Implied Productivity Ratios'!$C17)</f>
        <v>94.290365185234094</v>
      </c>
      <c r="V17">
        <f>SUMIFS('MoodysData(Raw)'!Y$2:Y$180,'MoodysData(Raw)'!$B$2:$B$180,"=GDP",'MoodysData(Raw)'!$D$2:$D$180,"="&amp;'Implied Productivity Ratios'!$C17)/SUMIFS('MoodysData(Raw)'!Y$2:Y$180,'MoodysData(Raw)'!$B$2:$B$180,"=EMP",'MoodysData(Raw)'!$D$2:$D$180,"="&amp;'Implied Productivity Ratios'!$C17)</f>
        <v>100.91567746311684</v>
      </c>
      <c r="W17">
        <f>SUMIFS('MoodysData(Raw)'!Z$2:Z$180,'MoodysData(Raw)'!$B$2:$B$180,"=GDP",'MoodysData(Raw)'!$D$2:$D$180,"="&amp;'Implied Productivity Ratios'!$C17)/SUMIFS('MoodysData(Raw)'!Z$2:Z$180,'MoodysData(Raw)'!$B$2:$B$180,"=EMP",'MoodysData(Raw)'!$D$2:$D$180,"="&amp;'Implied Productivity Ratios'!$C17)</f>
        <v>101.14046734228023</v>
      </c>
      <c r="X17">
        <f>SUMIFS('MoodysData(Raw)'!AA$2:AA$180,'MoodysData(Raw)'!$B$2:$B$180,"=GDP",'MoodysData(Raw)'!$D$2:$D$180,"="&amp;'Implied Productivity Ratios'!$C17)/SUMIFS('MoodysData(Raw)'!AA$2:AA$180,'MoodysData(Raw)'!$B$2:$B$180,"=EMP",'MoodysData(Raw)'!$D$2:$D$180,"="&amp;'Implied Productivity Ratios'!$C17)</f>
        <v>100.64595835606475</v>
      </c>
      <c r="Y17">
        <f>SUMIFS('MoodysData(Raw)'!AB$2:AB$180,'MoodysData(Raw)'!$B$2:$B$180,"=GDP",'MoodysData(Raw)'!$D$2:$D$180,"="&amp;'Implied Productivity Ratios'!$C17)/SUMIFS('MoodysData(Raw)'!AB$2:AB$180,'MoodysData(Raw)'!$B$2:$B$180,"=EMP",'MoodysData(Raw)'!$D$2:$D$180,"="&amp;'Implied Productivity Ratios'!$C17)</f>
        <v>104.69416426942955</v>
      </c>
      <c r="Z17">
        <f>SUMIFS('MoodysData(Raw)'!AC$2:AC$180,'MoodysData(Raw)'!$B$2:$B$180,"=GDP",'MoodysData(Raw)'!$D$2:$D$180,"="&amp;'Implied Productivity Ratios'!$C17)/SUMIFS('MoodysData(Raw)'!AC$2:AC$180,'MoodysData(Raw)'!$B$2:$B$180,"=EMP",'MoodysData(Raw)'!$D$2:$D$180,"="&amp;'Implied Productivity Ratios'!$C17)</f>
        <v>108.66278022354449</v>
      </c>
      <c r="AA17">
        <f>SUMIFS('MoodysData(Raw)'!AD$2:AD$180,'MoodysData(Raw)'!$B$2:$B$180,"=GDP",'MoodysData(Raw)'!$D$2:$D$180,"="&amp;'Implied Productivity Ratios'!$C17)/SUMIFS('MoodysData(Raw)'!AD$2:AD$180,'MoodysData(Raw)'!$B$2:$B$180,"=EMP",'MoodysData(Raw)'!$D$2:$D$180,"="&amp;'Implied Productivity Ratios'!$C17)</f>
        <v>112.53052953292142</v>
      </c>
      <c r="AB17">
        <f>SUMIFS('MoodysData(Raw)'!AE$2:AE$180,'MoodysData(Raw)'!$B$2:$B$180,"=GDP",'MoodysData(Raw)'!$D$2:$D$180,"="&amp;'Implied Productivity Ratios'!$C17)/SUMIFS('MoodysData(Raw)'!AE$2:AE$180,'MoodysData(Raw)'!$B$2:$B$180,"=EMP",'MoodysData(Raw)'!$D$2:$D$180,"="&amp;'Implied Productivity Ratios'!$C17)</f>
        <v>116.70865391256302</v>
      </c>
      <c r="AC17">
        <f>SUMIFS('MoodysData(Raw)'!AF$2:AF$180,'MoodysData(Raw)'!$B$2:$B$180,"=GDP",'MoodysData(Raw)'!$D$2:$D$180,"="&amp;'Implied Productivity Ratios'!$C17)/SUMIFS('MoodysData(Raw)'!AF$2:AF$180,'MoodysData(Raw)'!$B$2:$B$180,"=EMP",'MoodysData(Raw)'!$D$2:$D$180,"="&amp;'Implied Productivity Ratios'!$C17)</f>
        <v>121.44289761695886</v>
      </c>
      <c r="AD17">
        <f>SUMIFS('MoodysData(Raw)'!AG$2:AG$180,'MoodysData(Raw)'!$B$2:$B$180,"=GDP",'MoodysData(Raw)'!$D$2:$D$180,"="&amp;'Implied Productivity Ratios'!$C17)/SUMIFS('MoodysData(Raw)'!AG$2:AG$180,'MoodysData(Raw)'!$B$2:$B$180,"=EMP",'MoodysData(Raw)'!$D$2:$D$180,"="&amp;'Implied Productivity Ratios'!$C17)</f>
        <v>126.56384718076409</v>
      </c>
      <c r="AE17">
        <f>SUMIFS('MoodysData(Raw)'!AH$2:AH$180,'MoodysData(Raw)'!$B$2:$B$180,"=GDP",'MoodysData(Raw)'!$D$2:$D$180,"="&amp;'Implied Productivity Ratios'!$C17)/SUMIFS('MoodysData(Raw)'!AH$2:AH$180,'MoodysData(Raw)'!$B$2:$B$180,"=EMP",'MoodysData(Raw)'!$D$2:$D$180,"="&amp;'Implied Productivity Ratios'!$C17)</f>
        <v>132.00720969233421</v>
      </c>
      <c r="AF17">
        <f>SUMIFS('MoodysData(Raw)'!AI$2:AI$180,'MoodysData(Raw)'!$B$2:$B$180,"=GDP",'MoodysData(Raw)'!$D$2:$D$180,"="&amp;'Implied Productivity Ratios'!$C17)/SUMIFS('MoodysData(Raw)'!AI$2:AI$180,'MoodysData(Raw)'!$B$2:$B$180,"=EMP",'MoodysData(Raw)'!$D$2:$D$180,"="&amp;'Implied Productivity Ratios'!$C17)</f>
        <v>137.86189921399384</v>
      </c>
      <c r="AG17">
        <f>SUMIFS('MoodysData(Raw)'!AJ$2:AJ$180,'MoodysData(Raw)'!$B$2:$B$180,"=GDP",'MoodysData(Raw)'!$D$2:$D$180,"="&amp;'Implied Productivity Ratios'!$C17)/SUMIFS('MoodysData(Raw)'!AJ$2:AJ$180,'MoodysData(Raw)'!$B$2:$B$180,"=EMP",'MoodysData(Raw)'!$D$2:$D$180,"="&amp;'Implied Productivity Ratios'!$C17)</f>
        <v>144.23344234079173</v>
      </c>
      <c r="AH17">
        <f>SUMIFS('MoodysData(Raw)'!AK$2:AK$180,'MoodysData(Raw)'!$B$2:$B$180,"=GDP",'MoodysData(Raw)'!$D$2:$D$180,"="&amp;'Implied Productivity Ratios'!$C17)/SUMIFS('MoodysData(Raw)'!AK$2:AK$180,'MoodysData(Raw)'!$B$2:$B$180,"=EMP",'MoodysData(Raw)'!$D$2:$D$180,"="&amp;'Implied Productivity Ratios'!$C17)</f>
        <v>150.9615856962254</v>
      </c>
      <c r="AI17">
        <f>SUMIFS('MoodysData(Raw)'!AL$2:AL$180,'MoodysData(Raw)'!$B$2:$B$180,"=GDP",'MoodysData(Raw)'!$D$2:$D$180,"="&amp;'Implied Productivity Ratios'!$C17)/SUMIFS('MoodysData(Raw)'!AL$2:AL$180,'MoodysData(Raw)'!$B$2:$B$180,"=EMP",'MoodysData(Raw)'!$D$2:$D$180,"="&amp;'Implied Productivity Ratios'!$C17)</f>
        <v>157.78715186398318</v>
      </c>
      <c r="AJ17">
        <f>SUMIFS('MoodysData(Raw)'!AM$2:AM$180,'MoodysData(Raw)'!$B$2:$B$180,"=GDP",'MoodysData(Raw)'!$D$2:$D$180,"="&amp;'Implied Productivity Ratios'!$C17)/SUMIFS('MoodysData(Raw)'!AM$2:AM$180,'MoodysData(Raw)'!$B$2:$B$180,"=EMP",'MoodysData(Raw)'!$D$2:$D$180,"="&amp;'Implied Productivity Ratios'!$C17)</f>
        <v>164.86074191628646</v>
      </c>
      <c r="AK17">
        <f>SUMIFS('MoodysData(Raw)'!AN$2:AN$180,'MoodysData(Raw)'!$B$2:$B$180,"=GDP",'MoodysData(Raw)'!$D$2:$D$180,"="&amp;'Implied Productivity Ratios'!$C17)/SUMIFS('MoodysData(Raw)'!AN$2:AN$180,'MoodysData(Raw)'!$B$2:$B$180,"=EMP",'MoodysData(Raw)'!$D$2:$D$180,"="&amp;'Implied Productivity Ratios'!$C17)</f>
        <v>172.20346940895396</v>
      </c>
      <c r="AL17">
        <f>SUMIFS('MoodysData(Raw)'!AO$2:AO$180,'MoodysData(Raw)'!$B$2:$B$180,"=GDP",'MoodysData(Raw)'!$D$2:$D$180,"="&amp;'Implied Productivity Ratios'!$C17)/SUMIFS('MoodysData(Raw)'!AO$2:AO$180,'MoodysData(Raw)'!$B$2:$B$180,"=EMP",'MoodysData(Raw)'!$D$2:$D$180,"="&amp;'Implied Productivity Ratios'!$C17)</f>
        <v>179.75168544212954</v>
      </c>
      <c r="AM17">
        <f>SUMIFS('MoodysData(Raw)'!AP$2:AP$180,'MoodysData(Raw)'!$B$2:$B$180,"=GDP",'MoodysData(Raw)'!$D$2:$D$180,"="&amp;'Implied Productivity Ratios'!$C17)/SUMIFS('MoodysData(Raw)'!AP$2:AP$180,'MoodysData(Raw)'!$B$2:$B$180,"=EMP",'MoodysData(Raw)'!$D$2:$D$180,"="&amp;'Implied Productivity Ratios'!$C17)</f>
        <v>187.38004593936915</v>
      </c>
      <c r="AN17">
        <f>SUMIFS('MoodysData(Raw)'!AQ$2:AQ$180,'MoodysData(Raw)'!$B$2:$B$180,"=GDP",'MoodysData(Raw)'!$D$2:$D$180,"="&amp;'Implied Productivity Ratios'!$C17)/SUMIFS('MoodysData(Raw)'!AQ$2:AQ$180,'MoodysData(Raw)'!$B$2:$B$180,"=EMP",'MoodysData(Raw)'!$D$2:$D$180,"="&amp;'Implied Productivity Ratios'!$C17)</f>
        <v>195.03871090317526</v>
      </c>
      <c r="AO17">
        <f>SUMIFS('MoodysData(Raw)'!AR$2:AR$180,'MoodysData(Raw)'!$B$2:$B$180,"=GDP",'MoodysData(Raw)'!$D$2:$D$180,"="&amp;'Implied Productivity Ratios'!$C17)/SUMIFS('MoodysData(Raw)'!AR$2:AR$180,'MoodysData(Raw)'!$B$2:$B$180,"=EMP",'MoodysData(Raw)'!$D$2:$D$180,"="&amp;'Implied Productivity Ratios'!$C17)</f>
        <v>202.69915359105084</v>
      </c>
      <c r="AP17">
        <f>SUMIFS('MoodysData(Raw)'!AS$2:AS$180,'MoodysData(Raw)'!$B$2:$B$180,"=GDP",'MoodysData(Raw)'!$D$2:$D$180,"="&amp;'Implied Productivity Ratios'!$C17)/SUMIFS('MoodysData(Raw)'!AS$2:AS$180,'MoodysData(Raw)'!$B$2:$B$180,"=EMP",'MoodysData(Raw)'!$D$2:$D$180,"="&amp;'Implied Productivity Ratios'!$C17)</f>
        <v>210.50886369492397</v>
      </c>
      <c r="AQ17">
        <f>SUMIFS('MoodysData(Raw)'!AT$2:AT$180,'MoodysData(Raw)'!$B$2:$B$180,"=GDP",'MoodysData(Raw)'!$D$2:$D$180,"="&amp;'Implied Productivity Ratios'!$C17)/SUMIFS('MoodysData(Raw)'!AT$2:AT$180,'MoodysData(Raw)'!$B$2:$B$180,"=EMP",'MoodysData(Raw)'!$D$2:$D$180,"="&amp;'Implied Productivity Ratios'!$C17)</f>
        <v>218.02097883385511</v>
      </c>
      <c r="AR17">
        <f>SUMIFS('MoodysData(Raw)'!AU$2:AU$180,'MoodysData(Raw)'!$B$2:$B$180,"=GDP",'MoodysData(Raw)'!$D$2:$D$180,"="&amp;'Implied Productivity Ratios'!$C17)/SUMIFS('MoodysData(Raw)'!AU$2:AU$180,'MoodysData(Raw)'!$B$2:$B$180,"=EMP",'MoodysData(Raw)'!$D$2:$D$180,"="&amp;'Implied Productivity Ratios'!$C17)</f>
        <v>225.16889307688044</v>
      </c>
      <c r="AS17">
        <f>SUMIFS('MoodysData(Raw)'!AV$2:AV$180,'MoodysData(Raw)'!$B$2:$B$180,"=GDP",'MoodysData(Raw)'!$D$2:$D$180,"="&amp;'Implied Productivity Ratios'!$C17)/SUMIFS('MoodysData(Raw)'!AV$2:AV$180,'MoodysData(Raw)'!$B$2:$B$180,"=EMP",'MoodysData(Raw)'!$D$2:$D$180,"="&amp;'Implied Productivity Ratios'!$C17)</f>
        <v>232.53665327210101</v>
      </c>
      <c r="AT17">
        <f>SUMIFS('MoodysData(Raw)'!AW$2:AW$180,'MoodysData(Raw)'!$B$2:$B$180,"=GDP",'MoodysData(Raw)'!$D$2:$D$180,"="&amp;'Implied Productivity Ratios'!$C17)/SUMIFS('MoodysData(Raw)'!AW$2:AW$180,'MoodysData(Raw)'!$B$2:$B$180,"=EMP",'MoodysData(Raw)'!$D$2:$D$180,"="&amp;'Implied Productivity Ratios'!$C17)</f>
        <v>240.25273516470446</v>
      </c>
      <c r="AU17">
        <f>SUMIFS('MoodysData(Raw)'!AX$2:AX$180,'MoodysData(Raw)'!$B$2:$B$180,"=GDP",'MoodysData(Raw)'!$D$2:$D$180,"="&amp;'Implied Productivity Ratios'!$C17)/SUMIFS('MoodysData(Raw)'!AX$2:AX$180,'MoodysData(Raw)'!$B$2:$B$180,"=EMP",'MoodysData(Raw)'!$D$2:$D$180,"="&amp;'Implied Productivity Ratios'!$C17)</f>
        <v>248.51804036358035</v>
      </c>
      <c r="AV17">
        <f>SUMIFS('MoodysData(Raw)'!AY$2:AY$180,'MoodysData(Raw)'!$B$2:$B$180,"=GDP",'MoodysData(Raw)'!$D$2:$D$180,"="&amp;'Implied Productivity Ratios'!$C17)/SUMIFS('MoodysData(Raw)'!AY$2:AY$180,'MoodysData(Raw)'!$B$2:$B$180,"=EMP",'MoodysData(Raw)'!$D$2:$D$180,"="&amp;'Implied Productivity Ratios'!$C17)</f>
        <v>257.32755095521054</v>
      </c>
      <c r="AW17">
        <f>SUMIFS('MoodysData(Raw)'!AZ$2:AZ$180,'MoodysData(Raw)'!$B$2:$B$180,"=GDP",'MoodysData(Raw)'!$D$2:$D$180,"="&amp;'Implied Productivity Ratios'!$C17)/SUMIFS('MoodysData(Raw)'!AZ$2:AZ$180,'MoodysData(Raw)'!$B$2:$B$180,"=EMP",'MoodysData(Raw)'!$D$2:$D$180,"="&amp;'Implied Productivity Ratios'!$C17)</f>
        <v>266.53850995461619</v>
      </c>
      <c r="AX17">
        <f>SUMIFS('MoodysData(Raw)'!BA$2:BA$180,'MoodysData(Raw)'!$B$2:$B$180,"=GDP",'MoodysData(Raw)'!$D$2:$D$180,"="&amp;'Implied Productivity Ratios'!$C17)/SUMIFS('MoodysData(Raw)'!BA$2:BA$180,'MoodysData(Raw)'!$B$2:$B$180,"=EMP",'MoodysData(Raw)'!$D$2:$D$180,"="&amp;'Implied Productivity Ratios'!$C17)</f>
        <v>276.15034004259121</v>
      </c>
      <c r="AY17">
        <f>SUMIFS('MoodysData(Raw)'!BB$2:BB$180,'MoodysData(Raw)'!$B$2:$B$180,"=GDP",'MoodysData(Raw)'!$D$2:$D$180,"="&amp;'Implied Productivity Ratios'!$C17)/SUMIFS('MoodysData(Raw)'!BB$2:BB$180,'MoodysData(Raw)'!$B$2:$B$180,"=EMP",'MoodysData(Raw)'!$D$2:$D$180,"="&amp;'Implied Productivity Ratios'!$C17)</f>
        <v>286.19657997862487</v>
      </c>
      <c r="AZ17">
        <f>SUMIFS('MoodysData(Raw)'!BC$2:BC$180,'MoodysData(Raw)'!$B$2:$B$180,"=GDP",'MoodysData(Raw)'!$D$2:$D$180,"="&amp;'Implied Productivity Ratios'!$C17)/SUMIFS('MoodysData(Raw)'!BC$2:BC$180,'MoodysData(Raw)'!$B$2:$B$180,"=EMP",'MoodysData(Raw)'!$D$2:$D$180,"="&amp;'Implied Productivity Ratios'!$C17)</f>
        <v>296.8424184190103</v>
      </c>
      <c r="BA17">
        <f>SUMIFS('MoodysData(Raw)'!BD$2:BD$180,'MoodysData(Raw)'!$B$2:$B$180,"=GDP",'MoodysData(Raw)'!$D$2:$D$180,"="&amp;'Implied Productivity Ratios'!$C17)/SUMIFS('MoodysData(Raw)'!BD$2:BD$180,'MoodysData(Raw)'!$B$2:$B$180,"=EMP",'MoodysData(Raw)'!$D$2:$D$180,"="&amp;'Implied Productivity Ratios'!$C17)</f>
        <v>308.17994937485616</v>
      </c>
      <c r="BB17">
        <f>SUMIFS('MoodysData(Raw)'!BE$2:BE$180,'MoodysData(Raw)'!$B$2:$B$180,"=GDP",'MoodysData(Raw)'!$D$2:$D$180,"="&amp;'Implied Productivity Ratios'!$C17)/SUMIFS('MoodysData(Raw)'!BE$2:BE$180,'MoodysData(Raw)'!$B$2:$B$180,"=EMP",'MoodysData(Raw)'!$D$2:$D$180,"="&amp;'Implied Productivity Ratios'!$C17)</f>
        <v>320.27966540529775</v>
      </c>
      <c r="BC17">
        <f>SUMIFS('MoodysData(Raw)'!BF$2:BF$180,'MoodysData(Raw)'!$B$2:$B$180,"=GDP",'MoodysData(Raw)'!$D$2:$D$180,"="&amp;'Implied Productivity Ratios'!$C17)/SUMIFS('MoodysData(Raw)'!BF$2:BF$180,'MoodysData(Raw)'!$B$2:$B$180,"=EMP",'MoodysData(Raw)'!$D$2:$D$180,"="&amp;'Implied Productivity Ratios'!$C17)</f>
        <v>333.13435430463574</v>
      </c>
      <c r="BD17" s="5">
        <f t="shared" ref="BD17:BH17" si="11">BC17+($BC17-$AX17)/5</f>
        <v>344.53115715704462</v>
      </c>
      <c r="BE17" s="5">
        <f t="shared" si="11"/>
        <v>355.9279600094535</v>
      </c>
      <c r="BF17" s="5">
        <f t="shared" si="11"/>
        <v>367.32476286186238</v>
      </c>
      <c r="BG17" s="5">
        <f t="shared" si="11"/>
        <v>378.72156571427126</v>
      </c>
      <c r="BH17" s="5">
        <f t="shared" si="11"/>
        <v>390.11836856668015</v>
      </c>
    </row>
    <row r="18" spans="3:60">
      <c r="C18">
        <v>316</v>
      </c>
      <c r="D18" t="s">
        <v>55</v>
      </c>
      <c r="E18">
        <f>SUMIFS('MoodysData(Raw)'!H$2:H$180,'MoodysData(Raw)'!$B$2:$B$180,"=GDP",'MoodysData(Raw)'!$D$2:$D$180,"="&amp;'Implied Productivity Ratios'!$C18)/SUMIFS('MoodysData(Raw)'!H$2:H$180,'MoodysData(Raw)'!$B$2:$B$180,"=EMP",'MoodysData(Raw)'!$D$2:$D$180,"="&amp;'Implied Productivity Ratios'!$C18)</f>
        <v>57.042627459276488</v>
      </c>
      <c r="F18">
        <f>SUMIFS('MoodysData(Raw)'!I$2:I$180,'MoodysData(Raw)'!$B$2:$B$180,"=GDP",'MoodysData(Raw)'!$D$2:$D$180,"="&amp;'Implied Productivity Ratios'!$C18)/SUMIFS('MoodysData(Raw)'!I$2:I$180,'MoodysData(Raw)'!$B$2:$B$180,"=EMP",'MoodysData(Raw)'!$D$2:$D$180,"="&amp;'Implied Productivity Ratios'!$C18)</f>
        <v>56.80332719254173</v>
      </c>
      <c r="G18">
        <f>SUMIFS('MoodysData(Raw)'!J$2:J$180,'MoodysData(Raw)'!$B$2:$B$180,"=GDP",'MoodysData(Raw)'!$D$2:$D$180,"="&amp;'Implied Productivity Ratios'!$C18)/SUMIFS('MoodysData(Raw)'!J$2:J$180,'MoodysData(Raw)'!$B$2:$B$180,"=EMP",'MoodysData(Raw)'!$D$2:$D$180,"="&amp;'Implied Productivity Ratios'!$C18)</f>
        <v>55.74518176234902</v>
      </c>
      <c r="H18">
        <f>SUMIFS('MoodysData(Raw)'!K$2:K$180,'MoodysData(Raw)'!$B$2:$B$180,"=GDP",'MoodysData(Raw)'!$D$2:$D$180,"="&amp;'Implied Productivity Ratios'!$C18)/SUMIFS('MoodysData(Raw)'!K$2:K$180,'MoodysData(Raw)'!$B$2:$B$180,"=EMP",'MoodysData(Raw)'!$D$2:$D$180,"="&amp;'Implied Productivity Ratios'!$C18)</f>
        <v>57.344450186969873</v>
      </c>
      <c r="I18">
        <f>SUMIFS('MoodysData(Raw)'!L$2:L$180,'MoodysData(Raw)'!$B$2:$B$180,"=GDP",'MoodysData(Raw)'!$D$2:$D$180,"="&amp;'Implied Productivity Ratios'!$C18)/SUMIFS('MoodysData(Raw)'!L$2:L$180,'MoodysData(Raw)'!$B$2:$B$180,"=EMP",'MoodysData(Raw)'!$D$2:$D$180,"="&amp;'Implied Productivity Ratios'!$C18)</f>
        <v>54.593521600384314</v>
      </c>
      <c r="J18">
        <f>SUMIFS('MoodysData(Raw)'!M$2:M$180,'MoodysData(Raw)'!$B$2:$B$180,"=GDP",'MoodysData(Raw)'!$D$2:$D$180,"="&amp;'Implied Productivity Ratios'!$C18)/SUMIFS('MoodysData(Raw)'!M$2:M$180,'MoodysData(Raw)'!$B$2:$B$180,"=EMP",'MoodysData(Raw)'!$D$2:$D$180,"="&amp;'Implied Productivity Ratios'!$C18)</f>
        <v>60.263657874591132</v>
      </c>
      <c r="K18">
        <f>SUMIFS('MoodysData(Raw)'!N$2:N$180,'MoodysData(Raw)'!$B$2:$B$180,"=GDP",'MoodysData(Raw)'!$D$2:$D$180,"="&amp;'Implied Productivity Ratios'!$C18)/SUMIFS('MoodysData(Raw)'!N$2:N$180,'MoodysData(Raw)'!$B$2:$B$180,"=EMP",'MoodysData(Raw)'!$D$2:$D$180,"="&amp;'Implied Productivity Ratios'!$C18)</f>
        <v>60.888370204992896</v>
      </c>
      <c r="L18">
        <f>SUMIFS('MoodysData(Raw)'!O$2:O$180,'MoodysData(Raw)'!$B$2:$B$180,"=GDP",'MoodysData(Raw)'!$D$2:$D$180,"="&amp;'Implied Productivity Ratios'!$C18)/SUMIFS('MoodysData(Raw)'!O$2:O$180,'MoodysData(Raw)'!$B$2:$B$180,"=EMP",'MoodysData(Raw)'!$D$2:$D$180,"="&amp;'Implied Productivity Ratios'!$C18)</f>
        <v>59.669439822518029</v>
      </c>
      <c r="M18">
        <f>SUMIFS('MoodysData(Raw)'!P$2:P$180,'MoodysData(Raw)'!$B$2:$B$180,"=GDP",'MoodysData(Raw)'!$D$2:$D$180,"="&amp;'Implied Productivity Ratios'!$C18)/SUMIFS('MoodysData(Raw)'!P$2:P$180,'MoodysData(Raw)'!$B$2:$B$180,"=EMP",'MoodysData(Raw)'!$D$2:$D$180,"="&amp;'Implied Productivity Ratios'!$C18)</f>
        <v>66.919604514131635</v>
      </c>
      <c r="N18">
        <f>SUMIFS('MoodysData(Raw)'!Q$2:Q$180,'MoodysData(Raw)'!$B$2:$B$180,"=GDP",'MoodysData(Raw)'!$D$2:$D$180,"="&amp;'Implied Productivity Ratios'!$C18)/SUMIFS('MoodysData(Raw)'!Q$2:Q$180,'MoodysData(Raw)'!$B$2:$B$180,"=EMP",'MoodysData(Raw)'!$D$2:$D$180,"="&amp;'Implied Productivity Ratios'!$C18)</f>
        <v>63.225519693654263</v>
      </c>
      <c r="O18">
        <f>SUMIFS('MoodysData(Raw)'!R$2:R$180,'MoodysData(Raw)'!$B$2:$B$180,"=GDP",'MoodysData(Raw)'!$D$2:$D$180,"="&amp;'Implied Productivity Ratios'!$C18)/SUMIFS('MoodysData(Raw)'!R$2:R$180,'MoodysData(Raw)'!$B$2:$B$180,"=EMP",'MoodysData(Raw)'!$D$2:$D$180,"="&amp;'Implied Productivity Ratios'!$C18)</f>
        <v>65.225167152408702</v>
      </c>
      <c r="P18">
        <f>SUMIFS('MoodysData(Raw)'!S$2:S$180,'MoodysData(Raw)'!$B$2:$B$180,"=GDP",'MoodysData(Raw)'!$D$2:$D$180,"="&amp;'Implied Productivity Ratios'!$C18)/SUMIFS('MoodysData(Raw)'!S$2:S$180,'MoodysData(Raw)'!$B$2:$B$180,"=EMP",'MoodysData(Raw)'!$D$2:$D$180,"="&amp;'Implied Productivity Ratios'!$C18)</f>
        <v>65.752800362913078</v>
      </c>
      <c r="Q18">
        <f>SUMIFS('MoodysData(Raw)'!T$2:T$180,'MoodysData(Raw)'!$B$2:$B$180,"=GDP",'MoodysData(Raw)'!$D$2:$D$180,"="&amp;'Implied Productivity Ratios'!$C18)/SUMIFS('MoodysData(Raw)'!T$2:T$180,'MoodysData(Raw)'!$B$2:$B$180,"=EMP",'MoodysData(Raw)'!$D$2:$D$180,"="&amp;'Implied Productivity Ratios'!$C18)</f>
        <v>66.232388606379573</v>
      </c>
      <c r="R18">
        <f>SUMIFS('MoodysData(Raw)'!U$2:U$180,'MoodysData(Raw)'!$B$2:$B$180,"=GDP",'MoodysData(Raw)'!$D$2:$D$180,"="&amp;'Implied Productivity Ratios'!$C18)/SUMIFS('MoodysData(Raw)'!U$2:U$180,'MoodysData(Raw)'!$B$2:$B$180,"=EMP",'MoodysData(Raw)'!$D$2:$D$180,"="&amp;'Implied Productivity Ratios'!$C18)</f>
        <v>67.885149378498213</v>
      </c>
      <c r="S18">
        <f>SUMIFS('MoodysData(Raw)'!V$2:V$180,'MoodysData(Raw)'!$B$2:$B$180,"=GDP",'MoodysData(Raw)'!$D$2:$D$180,"="&amp;'Implied Productivity Ratios'!$C18)/SUMIFS('MoodysData(Raw)'!V$2:V$180,'MoodysData(Raw)'!$B$2:$B$180,"=EMP",'MoodysData(Raw)'!$D$2:$D$180,"="&amp;'Implied Productivity Ratios'!$C18)</f>
        <v>72.515171601119462</v>
      </c>
      <c r="T18">
        <f>SUMIFS('MoodysData(Raw)'!W$2:W$180,'MoodysData(Raw)'!$B$2:$B$180,"=GDP",'MoodysData(Raw)'!$D$2:$D$180,"="&amp;'Implied Productivity Ratios'!$C18)/SUMIFS('MoodysData(Raw)'!W$2:W$180,'MoodysData(Raw)'!$B$2:$B$180,"=EMP",'MoodysData(Raw)'!$D$2:$D$180,"="&amp;'Implied Productivity Ratios'!$C18)</f>
        <v>89.394849428868127</v>
      </c>
      <c r="U18">
        <f>SUMIFS('MoodysData(Raw)'!X$2:X$180,'MoodysData(Raw)'!$B$2:$B$180,"=GDP",'MoodysData(Raw)'!$D$2:$D$180,"="&amp;'Implied Productivity Ratios'!$C18)/SUMIFS('MoodysData(Raw)'!X$2:X$180,'MoodysData(Raw)'!$B$2:$B$180,"=EMP",'MoodysData(Raw)'!$D$2:$D$180,"="&amp;'Implied Productivity Ratios'!$C18)</f>
        <v>94.017778285366234</v>
      </c>
      <c r="V18">
        <f>SUMIFS('MoodysData(Raw)'!Y$2:Y$180,'MoodysData(Raw)'!$B$2:$B$180,"=GDP",'MoodysData(Raw)'!$D$2:$D$180,"="&amp;'Implied Productivity Ratios'!$C18)/SUMIFS('MoodysData(Raw)'!Y$2:Y$180,'MoodysData(Raw)'!$B$2:$B$180,"=EMP",'MoodysData(Raw)'!$D$2:$D$180,"="&amp;'Implied Productivity Ratios'!$C18)</f>
        <v>103.28537831183625</v>
      </c>
      <c r="W18">
        <f>SUMIFS('MoodysData(Raw)'!Z$2:Z$180,'MoodysData(Raw)'!$B$2:$B$180,"=GDP",'MoodysData(Raw)'!$D$2:$D$180,"="&amp;'Implied Productivity Ratios'!$C18)/SUMIFS('MoodysData(Raw)'!Z$2:Z$180,'MoodysData(Raw)'!$B$2:$B$180,"=EMP",'MoodysData(Raw)'!$D$2:$D$180,"="&amp;'Implied Productivity Ratios'!$C18)</f>
        <v>106.56780275562001</v>
      </c>
      <c r="X18">
        <f>SUMIFS('MoodysData(Raw)'!AA$2:AA$180,'MoodysData(Raw)'!$B$2:$B$180,"=GDP",'MoodysData(Raw)'!$D$2:$D$180,"="&amp;'Implied Productivity Ratios'!$C18)/SUMIFS('MoodysData(Raw)'!AA$2:AA$180,'MoodysData(Raw)'!$B$2:$B$180,"=EMP",'MoodysData(Raw)'!$D$2:$D$180,"="&amp;'Implied Productivity Ratios'!$C18)</f>
        <v>109.01152947485349</v>
      </c>
      <c r="Y18">
        <f>SUMIFS('MoodysData(Raw)'!AB$2:AB$180,'MoodysData(Raw)'!$B$2:$B$180,"=GDP",'MoodysData(Raw)'!$D$2:$D$180,"="&amp;'Implied Productivity Ratios'!$C18)/SUMIFS('MoodysData(Raw)'!AB$2:AB$180,'MoodysData(Raw)'!$B$2:$B$180,"=EMP",'MoodysData(Raw)'!$D$2:$D$180,"="&amp;'Implied Productivity Ratios'!$C18)</f>
        <v>112.47445517681808</v>
      </c>
      <c r="Z18">
        <f>SUMIFS('MoodysData(Raw)'!AC$2:AC$180,'MoodysData(Raw)'!$B$2:$B$180,"=GDP",'MoodysData(Raw)'!$D$2:$D$180,"="&amp;'Implied Productivity Ratios'!$C18)/SUMIFS('MoodysData(Raw)'!AC$2:AC$180,'MoodysData(Raw)'!$B$2:$B$180,"=EMP",'MoodysData(Raw)'!$D$2:$D$180,"="&amp;'Implied Productivity Ratios'!$C18)</f>
        <v>114.43562178316455</v>
      </c>
      <c r="AA18">
        <f>SUMIFS('MoodysData(Raw)'!AD$2:AD$180,'MoodysData(Raw)'!$B$2:$B$180,"=GDP",'MoodysData(Raw)'!$D$2:$D$180,"="&amp;'Implied Productivity Ratios'!$C18)/SUMIFS('MoodysData(Raw)'!AD$2:AD$180,'MoodysData(Raw)'!$B$2:$B$180,"=EMP",'MoodysData(Raw)'!$D$2:$D$180,"="&amp;'Implied Productivity Ratios'!$C18)</f>
        <v>115.34259885096316</v>
      </c>
      <c r="AB18">
        <f>SUMIFS('MoodysData(Raw)'!AE$2:AE$180,'MoodysData(Raw)'!$B$2:$B$180,"=GDP",'MoodysData(Raw)'!$D$2:$D$180,"="&amp;'Implied Productivity Ratios'!$C18)/SUMIFS('MoodysData(Raw)'!AE$2:AE$180,'MoodysData(Raw)'!$B$2:$B$180,"=EMP",'MoodysData(Raw)'!$D$2:$D$180,"="&amp;'Implied Productivity Ratios'!$C18)</f>
        <v>115.53037106065739</v>
      </c>
      <c r="AC18">
        <f>SUMIFS('MoodysData(Raw)'!AF$2:AF$180,'MoodysData(Raw)'!$B$2:$B$180,"=GDP",'MoodysData(Raw)'!$D$2:$D$180,"="&amp;'Implied Productivity Ratios'!$C18)/SUMIFS('MoodysData(Raw)'!AF$2:AF$180,'MoodysData(Raw)'!$B$2:$B$180,"=EMP",'MoodysData(Raw)'!$D$2:$D$180,"="&amp;'Implied Productivity Ratios'!$C18)</f>
        <v>115.96013430235028</v>
      </c>
      <c r="AD18">
        <f>SUMIFS('MoodysData(Raw)'!AG$2:AG$180,'MoodysData(Raw)'!$B$2:$B$180,"=GDP",'MoodysData(Raw)'!$D$2:$D$180,"="&amp;'Implied Productivity Ratios'!$C18)/SUMIFS('MoodysData(Raw)'!AG$2:AG$180,'MoodysData(Raw)'!$B$2:$B$180,"=EMP",'MoodysData(Raw)'!$D$2:$D$180,"="&amp;'Implied Productivity Ratios'!$C18)</f>
        <v>116.56207279562543</v>
      </c>
      <c r="AE18">
        <f>SUMIFS('MoodysData(Raw)'!AH$2:AH$180,'MoodysData(Raw)'!$B$2:$B$180,"=GDP",'MoodysData(Raw)'!$D$2:$D$180,"="&amp;'Implied Productivity Ratios'!$C18)/SUMIFS('MoodysData(Raw)'!AH$2:AH$180,'MoodysData(Raw)'!$B$2:$B$180,"=EMP",'MoodysData(Raw)'!$D$2:$D$180,"="&amp;'Implied Productivity Ratios'!$C18)</f>
        <v>117.20583935328517</v>
      </c>
      <c r="AF18">
        <f>SUMIFS('MoodysData(Raw)'!AI$2:AI$180,'MoodysData(Raw)'!$B$2:$B$180,"=GDP",'MoodysData(Raw)'!$D$2:$D$180,"="&amp;'Implied Productivity Ratios'!$C18)/SUMIFS('MoodysData(Raw)'!AI$2:AI$180,'MoodysData(Raw)'!$B$2:$B$180,"=EMP",'MoodysData(Raw)'!$D$2:$D$180,"="&amp;'Implied Productivity Ratios'!$C18)</f>
        <v>117.97164535009755</v>
      </c>
      <c r="AG18">
        <f>SUMIFS('MoodysData(Raw)'!AJ$2:AJ$180,'MoodysData(Raw)'!$B$2:$B$180,"=GDP",'MoodysData(Raw)'!$D$2:$D$180,"="&amp;'Implied Productivity Ratios'!$C18)/SUMIFS('MoodysData(Raw)'!AJ$2:AJ$180,'MoodysData(Raw)'!$B$2:$B$180,"=EMP",'MoodysData(Raw)'!$D$2:$D$180,"="&amp;'Implied Productivity Ratios'!$C18)</f>
        <v>118.70036274638346</v>
      </c>
      <c r="AH18">
        <f>SUMIFS('MoodysData(Raw)'!AK$2:AK$180,'MoodysData(Raw)'!$B$2:$B$180,"=GDP",'MoodysData(Raw)'!$D$2:$D$180,"="&amp;'Implied Productivity Ratios'!$C18)/SUMIFS('MoodysData(Raw)'!AK$2:AK$180,'MoodysData(Raw)'!$B$2:$B$180,"=EMP",'MoodysData(Raw)'!$D$2:$D$180,"="&amp;'Implied Productivity Ratios'!$C18)</f>
        <v>119.22142574431594</v>
      </c>
      <c r="AI18">
        <f>SUMIFS('MoodysData(Raw)'!AL$2:AL$180,'MoodysData(Raw)'!$B$2:$B$180,"=GDP",'MoodysData(Raw)'!$D$2:$D$180,"="&amp;'Implied Productivity Ratios'!$C18)/SUMIFS('MoodysData(Raw)'!AL$2:AL$180,'MoodysData(Raw)'!$B$2:$B$180,"=EMP",'MoodysData(Raw)'!$D$2:$D$180,"="&amp;'Implied Productivity Ratios'!$C18)</f>
        <v>120.01508630252475</v>
      </c>
      <c r="AJ18">
        <f>SUMIFS('MoodysData(Raw)'!AM$2:AM$180,'MoodysData(Raw)'!$B$2:$B$180,"=GDP",'MoodysData(Raw)'!$D$2:$D$180,"="&amp;'Implied Productivity Ratios'!$C18)/SUMIFS('MoodysData(Raw)'!AM$2:AM$180,'MoodysData(Raw)'!$B$2:$B$180,"=EMP",'MoodysData(Raw)'!$D$2:$D$180,"="&amp;'Implied Productivity Ratios'!$C18)</f>
        <v>120.56982042347896</v>
      </c>
      <c r="AK18">
        <f>SUMIFS('MoodysData(Raw)'!AN$2:AN$180,'MoodysData(Raw)'!$B$2:$B$180,"=GDP",'MoodysData(Raw)'!$D$2:$D$180,"="&amp;'Implied Productivity Ratios'!$C18)/SUMIFS('MoodysData(Raw)'!AN$2:AN$180,'MoodysData(Raw)'!$B$2:$B$180,"=EMP",'MoodysData(Raw)'!$D$2:$D$180,"="&amp;'Implied Productivity Ratios'!$C18)</f>
        <v>121.31689633432407</v>
      </c>
      <c r="AL18">
        <f>SUMIFS('MoodysData(Raw)'!AO$2:AO$180,'MoodysData(Raw)'!$B$2:$B$180,"=GDP",'MoodysData(Raw)'!$D$2:$D$180,"="&amp;'Implied Productivity Ratios'!$C18)/SUMIFS('MoodysData(Raw)'!AO$2:AO$180,'MoodysData(Raw)'!$B$2:$B$180,"=EMP",'MoodysData(Raw)'!$D$2:$D$180,"="&amp;'Implied Productivity Ratios'!$C18)</f>
        <v>121.65340754819441</v>
      </c>
      <c r="AM18">
        <f>SUMIFS('MoodysData(Raw)'!AP$2:AP$180,'MoodysData(Raw)'!$B$2:$B$180,"=GDP",'MoodysData(Raw)'!$D$2:$D$180,"="&amp;'Implied Productivity Ratios'!$C18)/SUMIFS('MoodysData(Raw)'!AP$2:AP$180,'MoodysData(Raw)'!$B$2:$B$180,"=EMP",'MoodysData(Raw)'!$D$2:$D$180,"="&amp;'Implied Productivity Ratios'!$C18)</f>
        <v>121.35434389140271</v>
      </c>
      <c r="AN18">
        <f>SUMIFS('MoodysData(Raw)'!AQ$2:AQ$180,'MoodysData(Raw)'!$B$2:$B$180,"=GDP",'MoodysData(Raw)'!$D$2:$D$180,"="&amp;'Implied Productivity Ratios'!$C18)/SUMIFS('MoodysData(Raw)'!AQ$2:AQ$180,'MoodysData(Raw)'!$B$2:$B$180,"=EMP",'MoodysData(Raw)'!$D$2:$D$180,"="&amp;'Implied Productivity Ratios'!$C18)</f>
        <v>120.85107055741258</v>
      </c>
      <c r="AO18">
        <f>SUMIFS('MoodysData(Raw)'!AR$2:AR$180,'MoodysData(Raw)'!$B$2:$B$180,"=GDP",'MoodysData(Raw)'!$D$2:$D$180,"="&amp;'Implied Productivity Ratios'!$C18)/SUMIFS('MoodysData(Raw)'!AR$2:AR$180,'MoodysData(Raw)'!$B$2:$B$180,"=EMP",'MoodysData(Raw)'!$D$2:$D$180,"="&amp;'Implied Productivity Ratios'!$C18)</f>
        <v>120.09129339809317</v>
      </c>
      <c r="AP18">
        <f>SUMIFS('MoodysData(Raw)'!AS$2:AS$180,'MoodysData(Raw)'!$B$2:$B$180,"=GDP",'MoodysData(Raw)'!$D$2:$D$180,"="&amp;'Implied Productivity Ratios'!$C18)/SUMIFS('MoodysData(Raw)'!AS$2:AS$180,'MoodysData(Raw)'!$B$2:$B$180,"=EMP",'MoodysData(Raw)'!$D$2:$D$180,"="&amp;'Implied Productivity Ratios'!$C18)</f>
        <v>118.90232371437493</v>
      </c>
      <c r="AQ18">
        <f>SUMIFS('MoodysData(Raw)'!AT$2:AT$180,'MoodysData(Raw)'!$B$2:$B$180,"=GDP",'MoodysData(Raw)'!$D$2:$D$180,"="&amp;'Implied Productivity Ratios'!$C18)/SUMIFS('MoodysData(Raw)'!AT$2:AT$180,'MoodysData(Raw)'!$B$2:$B$180,"=EMP",'MoodysData(Raw)'!$D$2:$D$180,"="&amp;'Implied Productivity Ratios'!$C18)</f>
        <v>117.28318935119887</v>
      </c>
      <c r="AR18">
        <f>SUMIFS('MoodysData(Raw)'!AU$2:AU$180,'MoodysData(Raw)'!$B$2:$B$180,"=GDP",'MoodysData(Raw)'!$D$2:$D$180,"="&amp;'Implied Productivity Ratios'!$C18)/SUMIFS('MoodysData(Raw)'!AU$2:AU$180,'MoodysData(Raw)'!$B$2:$B$180,"=EMP",'MoodysData(Raw)'!$D$2:$D$180,"="&amp;'Implied Productivity Ratios'!$C18)</f>
        <v>115.34752204317422</v>
      </c>
      <c r="AS18">
        <f>SUMIFS('MoodysData(Raw)'!AV$2:AV$180,'MoodysData(Raw)'!$B$2:$B$180,"=GDP",'MoodysData(Raw)'!$D$2:$D$180,"="&amp;'Implied Productivity Ratios'!$C18)/SUMIFS('MoodysData(Raw)'!AV$2:AV$180,'MoodysData(Raw)'!$B$2:$B$180,"=EMP",'MoodysData(Raw)'!$D$2:$D$180,"="&amp;'Implied Productivity Ratios'!$C18)</f>
        <v>113.42344231427593</v>
      </c>
      <c r="AT18">
        <f>SUMIFS('MoodysData(Raw)'!AW$2:AW$180,'MoodysData(Raw)'!$B$2:$B$180,"=GDP",'MoodysData(Raw)'!$D$2:$D$180,"="&amp;'Implied Productivity Ratios'!$C18)/SUMIFS('MoodysData(Raw)'!AW$2:AW$180,'MoodysData(Raw)'!$B$2:$B$180,"=EMP",'MoodysData(Raw)'!$D$2:$D$180,"="&amp;'Implied Productivity Ratios'!$C18)</f>
        <v>111.56406256587546</v>
      </c>
      <c r="AU18">
        <f>SUMIFS('MoodysData(Raw)'!AX$2:AX$180,'MoodysData(Raw)'!$B$2:$B$180,"=GDP",'MoodysData(Raw)'!$D$2:$D$180,"="&amp;'Implied Productivity Ratios'!$C18)/SUMIFS('MoodysData(Raw)'!AX$2:AX$180,'MoodysData(Raw)'!$B$2:$B$180,"=EMP",'MoodysData(Raw)'!$D$2:$D$180,"="&amp;'Implied Productivity Ratios'!$C18)</f>
        <v>109.87509871565734</v>
      </c>
      <c r="AV18">
        <f>SUMIFS('MoodysData(Raw)'!AY$2:AY$180,'MoodysData(Raw)'!$B$2:$B$180,"=GDP",'MoodysData(Raw)'!$D$2:$D$180,"="&amp;'Implied Productivity Ratios'!$C18)/SUMIFS('MoodysData(Raw)'!AY$2:AY$180,'MoodysData(Raw)'!$B$2:$B$180,"=EMP",'MoodysData(Raw)'!$D$2:$D$180,"="&amp;'Implied Productivity Ratios'!$C18)</f>
        <v>108.28568501290931</v>
      </c>
      <c r="AW18">
        <f>SUMIFS('MoodysData(Raw)'!AZ$2:AZ$180,'MoodysData(Raw)'!$B$2:$B$180,"=GDP",'MoodysData(Raw)'!$D$2:$D$180,"="&amp;'Implied Productivity Ratios'!$C18)/SUMIFS('MoodysData(Raw)'!AZ$2:AZ$180,'MoodysData(Raw)'!$B$2:$B$180,"=EMP",'MoodysData(Raw)'!$D$2:$D$180,"="&amp;'Implied Productivity Ratios'!$C18)</f>
        <v>106.73071795078987</v>
      </c>
      <c r="AX18">
        <f>SUMIFS('MoodysData(Raw)'!BA$2:BA$180,'MoodysData(Raw)'!$B$2:$B$180,"=GDP",'MoodysData(Raw)'!$D$2:$D$180,"="&amp;'Implied Productivity Ratios'!$C18)/SUMIFS('MoodysData(Raw)'!BA$2:BA$180,'MoodysData(Raw)'!$B$2:$B$180,"=EMP",'MoodysData(Raw)'!$D$2:$D$180,"="&amp;'Implied Productivity Ratios'!$C18)</f>
        <v>105.24039993626513</v>
      </c>
      <c r="AY18">
        <f>SUMIFS('MoodysData(Raw)'!BB$2:BB$180,'MoodysData(Raw)'!$B$2:$B$180,"=GDP",'MoodysData(Raw)'!$D$2:$D$180,"="&amp;'Implied Productivity Ratios'!$C18)/SUMIFS('MoodysData(Raw)'!BB$2:BB$180,'MoodysData(Raw)'!$B$2:$B$180,"=EMP",'MoodysData(Raw)'!$D$2:$D$180,"="&amp;'Implied Productivity Ratios'!$C18)</f>
        <v>103.80979883702655</v>
      </c>
      <c r="AZ18">
        <f>SUMIFS('MoodysData(Raw)'!BC$2:BC$180,'MoodysData(Raw)'!$B$2:$B$180,"=GDP",'MoodysData(Raw)'!$D$2:$D$180,"="&amp;'Implied Productivity Ratios'!$C18)/SUMIFS('MoodysData(Raw)'!BC$2:BC$180,'MoodysData(Raw)'!$B$2:$B$180,"=EMP",'MoodysData(Raw)'!$D$2:$D$180,"="&amp;'Implied Productivity Ratios'!$C18)</f>
        <v>102.49468909908514</v>
      </c>
      <c r="BA18">
        <f>SUMIFS('MoodysData(Raw)'!BD$2:BD$180,'MoodysData(Raw)'!$B$2:$B$180,"=GDP",'MoodysData(Raw)'!$D$2:$D$180,"="&amp;'Implied Productivity Ratios'!$C18)/SUMIFS('MoodysData(Raw)'!BD$2:BD$180,'MoodysData(Raw)'!$B$2:$B$180,"=EMP",'MoodysData(Raw)'!$D$2:$D$180,"="&amp;'Implied Productivity Ratios'!$C18)</f>
        <v>101.26111238619846</v>
      </c>
      <c r="BB18">
        <f>SUMIFS('MoodysData(Raw)'!BE$2:BE$180,'MoodysData(Raw)'!$B$2:$B$180,"=GDP",'MoodysData(Raw)'!$D$2:$D$180,"="&amp;'Implied Productivity Ratios'!$C18)/SUMIFS('MoodysData(Raw)'!BE$2:BE$180,'MoodysData(Raw)'!$B$2:$B$180,"=EMP",'MoodysData(Raw)'!$D$2:$D$180,"="&amp;'Implied Productivity Ratios'!$C18)</f>
        <v>100.11238670694864</v>
      </c>
      <c r="BC18">
        <f>SUMIFS('MoodysData(Raw)'!BF$2:BF$180,'MoodysData(Raw)'!$B$2:$B$180,"=GDP",'MoodysData(Raw)'!$D$2:$D$180,"="&amp;'Implied Productivity Ratios'!$C18)/SUMIFS('MoodysData(Raw)'!BF$2:BF$180,'MoodysData(Raw)'!$B$2:$B$180,"=EMP",'MoodysData(Raw)'!$D$2:$D$180,"="&amp;'Implied Productivity Ratios'!$C18)</f>
        <v>99.041435124752923</v>
      </c>
      <c r="BD18" s="5">
        <f t="shared" ref="BD18:BH18" si="12">BC18+($BC18-$AX18)/5</f>
        <v>97.801642162450477</v>
      </c>
      <c r="BE18" s="5">
        <f t="shared" si="12"/>
        <v>96.561849200148032</v>
      </c>
      <c r="BF18" s="5">
        <f t="shared" si="12"/>
        <v>95.322056237845587</v>
      </c>
      <c r="BG18" s="5">
        <f t="shared" si="12"/>
        <v>94.082263275543141</v>
      </c>
      <c r="BH18" s="5">
        <f t="shared" si="12"/>
        <v>92.842470313240696</v>
      </c>
    </row>
    <row r="19" spans="3:60">
      <c r="C19">
        <v>321</v>
      </c>
      <c r="D19" t="s">
        <v>59</v>
      </c>
      <c r="E19">
        <f>SUMIFS('MoodysData(Raw)'!H$2:H$180,'MoodysData(Raw)'!$B$2:$B$180,"=GDP",'MoodysData(Raw)'!$D$2:$D$180,"="&amp;'Implied Productivity Ratios'!$C19)/SUMIFS('MoodysData(Raw)'!H$2:H$180,'MoodysData(Raw)'!$B$2:$B$180,"=EMP",'MoodysData(Raw)'!$D$2:$D$180,"="&amp;'Implied Productivity Ratios'!$C19)</f>
        <v>58.878255869261189</v>
      </c>
      <c r="F19">
        <f>SUMIFS('MoodysData(Raw)'!I$2:I$180,'MoodysData(Raw)'!$B$2:$B$180,"=GDP",'MoodysData(Raw)'!$D$2:$D$180,"="&amp;'Implied Productivity Ratios'!$C19)/SUMIFS('MoodysData(Raw)'!I$2:I$180,'MoodysData(Raw)'!$B$2:$B$180,"=EMP",'MoodysData(Raw)'!$D$2:$D$180,"="&amp;'Implied Productivity Ratios'!$C19)</f>
        <v>58.45027248565183</v>
      </c>
      <c r="G19">
        <f>SUMIFS('MoodysData(Raw)'!J$2:J$180,'MoodysData(Raw)'!$B$2:$B$180,"=GDP",'MoodysData(Raw)'!$D$2:$D$180,"="&amp;'Implied Productivity Ratios'!$C19)/SUMIFS('MoodysData(Raw)'!J$2:J$180,'MoodysData(Raw)'!$B$2:$B$180,"=EMP",'MoodysData(Raw)'!$D$2:$D$180,"="&amp;'Implied Productivity Ratios'!$C19)</f>
        <v>66.891991041087422</v>
      </c>
      <c r="H19">
        <f>SUMIFS('MoodysData(Raw)'!K$2:K$180,'MoodysData(Raw)'!$B$2:$B$180,"=GDP",'MoodysData(Raw)'!$D$2:$D$180,"="&amp;'Implied Productivity Ratios'!$C19)/SUMIFS('MoodysData(Raw)'!K$2:K$180,'MoodysData(Raw)'!$B$2:$B$180,"=EMP",'MoodysData(Raw)'!$D$2:$D$180,"="&amp;'Implied Productivity Ratios'!$C19)</f>
        <v>70.946269420197652</v>
      </c>
      <c r="I19">
        <f>SUMIFS('MoodysData(Raw)'!L$2:L$180,'MoodysData(Raw)'!$B$2:$B$180,"=GDP",'MoodysData(Raw)'!$D$2:$D$180,"="&amp;'Implied Productivity Ratios'!$C19)/SUMIFS('MoodysData(Raw)'!L$2:L$180,'MoodysData(Raw)'!$B$2:$B$180,"=EMP",'MoodysData(Raw)'!$D$2:$D$180,"="&amp;'Implied Productivity Ratios'!$C19)</f>
        <v>76.353554668094986</v>
      </c>
      <c r="J19">
        <f>SUMIFS('MoodysData(Raw)'!M$2:M$180,'MoodysData(Raw)'!$B$2:$B$180,"=GDP",'MoodysData(Raw)'!$D$2:$D$180,"="&amp;'Implied Productivity Ratios'!$C19)/SUMIFS('MoodysData(Raw)'!M$2:M$180,'MoodysData(Raw)'!$B$2:$B$180,"=EMP",'MoodysData(Raw)'!$D$2:$D$180,"="&amp;'Implied Productivity Ratios'!$C19)</f>
        <v>86.433040935672508</v>
      </c>
      <c r="K19">
        <f>SUMIFS('MoodysData(Raw)'!N$2:N$180,'MoodysData(Raw)'!$B$2:$B$180,"=GDP",'MoodysData(Raw)'!$D$2:$D$180,"="&amp;'Implied Productivity Ratios'!$C19)/SUMIFS('MoodysData(Raw)'!N$2:N$180,'MoodysData(Raw)'!$B$2:$B$180,"=EMP",'MoodysData(Raw)'!$D$2:$D$180,"="&amp;'Implied Productivity Ratios'!$C19)</f>
        <v>96.93400199179051</v>
      </c>
      <c r="L19">
        <f>SUMIFS('MoodysData(Raw)'!O$2:O$180,'MoodysData(Raw)'!$B$2:$B$180,"=GDP",'MoodysData(Raw)'!$D$2:$D$180,"="&amp;'Implied Productivity Ratios'!$C19)/SUMIFS('MoodysData(Raw)'!O$2:O$180,'MoodysData(Raw)'!$B$2:$B$180,"=EMP",'MoodysData(Raw)'!$D$2:$D$180,"="&amp;'Implied Productivity Ratios'!$C19)</f>
        <v>97.917050421765126</v>
      </c>
      <c r="M19">
        <f>SUMIFS('MoodysData(Raw)'!P$2:P$180,'MoodysData(Raw)'!$B$2:$B$180,"=GDP",'MoodysData(Raw)'!$D$2:$D$180,"="&amp;'Implied Productivity Ratios'!$C19)/SUMIFS('MoodysData(Raw)'!P$2:P$180,'MoodysData(Raw)'!$B$2:$B$180,"=EMP",'MoodysData(Raw)'!$D$2:$D$180,"="&amp;'Implied Productivity Ratios'!$C19)</f>
        <v>96.094926184751586</v>
      </c>
      <c r="N19">
        <f>SUMIFS('MoodysData(Raw)'!Q$2:Q$180,'MoodysData(Raw)'!$B$2:$B$180,"=GDP",'MoodysData(Raw)'!$D$2:$D$180,"="&amp;'Implied Productivity Ratios'!$C19)/SUMIFS('MoodysData(Raw)'!Q$2:Q$180,'MoodysData(Raw)'!$B$2:$B$180,"=EMP",'MoodysData(Raw)'!$D$2:$D$180,"="&amp;'Implied Productivity Ratios'!$C19)</f>
        <v>82.819846423293441</v>
      </c>
      <c r="O19">
        <f>SUMIFS('MoodysData(Raw)'!R$2:R$180,'MoodysData(Raw)'!$B$2:$B$180,"=GDP",'MoodysData(Raw)'!$D$2:$D$180,"="&amp;'Implied Productivity Ratios'!$C19)/SUMIFS('MoodysData(Raw)'!R$2:R$180,'MoodysData(Raw)'!$B$2:$B$180,"=EMP",'MoodysData(Raw)'!$D$2:$D$180,"="&amp;'Implied Productivity Ratios'!$C19)</f>
        <v>87.622619659312306</v>
      </c>
      <c r="P19">
        <f>SUMIFS('MoodysData(Raw)'!S$2:S$180,'MoodysData(Raw)'!$B$2:$B$180,"=GDP",'MoodysData(Raw)'!$D$2:$D$180,"="&amp;'Implied Productivity Ratios'!$C19)/SUMIFS('MoodysData(Raw)'!S$2:S$180,'MoodysData(Raw)'!$B$2:$B$180,"=EMP",'MoodysData(Raw)'!$D$2:$D$180,"="&amp;'Implied Productivity Ratios'!$C19)</f>
        <v>89.373422254278012</v>
      </c>
      <c r="Q19">
        <f>SUMIFS('MoodysData(Raw)'!T$2:T$180,'MoodysData(Raw)'!$B$2:$B$180,"=GDP",'MoodysData(Raw)'!$D$2:$D$180,"="&amp;'Implied Productivity Ratios'!$C19)/SUMIFS('MoodysData(Raw)'!T$2:T$180,'MoodysData(Raw)'!$B$2:$B$180,"=EMP",'MoodysData(Raw)'!$D$2:$D$180,"="&amp;'Implied Productivity Ratios'!$C19)</f>
        <v>89.419906391252482</v>
      </c>
      <c r="R19">
        <f>SUMIFS('MoodysData(Raw)'!U$2:U$180,'MoodysData(Raw)'!$B$2:$B$180,"=GDP",'MoodysData(Raw)'!$D$2:$D$180,"="&amp;'Implied Productivity Ratios'!$C19)/SUMIFS('MoodysData(Raw)'!U$2:U$180,'MoodysData(Raw)'!$B$2:$B$180,"=EMP",'MoodysData(Raw)'!$D$2:$D$180,"="&amp;'Implied Productivity Ratios'!$C19)</f>
        <v>83.105534888742753</v>
      </c>
      <c r="S19">
        <f>SUMIFS('MoodysData(Raw)'!V$2:V$180,'MoodysData(Raw)'!$B$2:$B$180,"=GDP",'MoodysData(Raw)'!$D$2:$D$180,"="&amp;'Implied Productivity Ratios'!$C19)/SUMIFS('MoodysData(Raw)'!V$2:V$180,'MoodysData(Raw)'!$B$2:$B$180,"=EMP",'MoodysData(Raw)'!$D$2:$D$180,"="&amp;'Implied Productivity Ratios'!$C19)</f>
        <v>86.16125858926334</v>
      </c>
      <c r="T19">
        <f>SUMIFS('MoodysData(Raw)'!W$2:W$180,'MoodysData(Raw)'!$B$2:$B$180,"=GDP",'MoodysData(Raw)'!$D$2:$D$180,"="&amp;'Implied Productivity Ratios'!$C19)/SUMIFS('MoodysData(Raw)'!W$2:W$180,'MoodysData(Raw)'!$B$2:$B$180,"=EMP",'MoodysData(Raw)'!$D$2:$D$180,"="&amp;'Implied Productivity Ratios'!$C19)</f>
        <v>93.590892067251716</v>
      </c>
      <c r="U19">
        <f>SUMIFS('MoodysData(Raw)'!X$2:X$180,'MoodysData(Raw)'!$B$2:$B$180,"=GDP",'MoodysData(Raw)'!$D$2:$D$180,"="&amp;'Implied Productivity Ratios'!$C19)/SUMIFS('MoodysData(Raw)'!X$2:X$180,'MoodysData(Raw)'!$B$2:$B$180,"=EMP",'MoodysData(Raw)'!$D$2:$D$180,"="&amp;'Implied Productivity Ratios'!$C19)</f>
        <v>85.203678346543825</v>
      </c>
      <c r="V19">
        <f>SUMIFS('MoodysData(Raw)'!Y$2:Y$180,'MoodysData(Raw)'!$B$2:$B$180,"=GDP",'MoodysData(Raw)'!$D$2:$D$180,"="&amp;'Implied Productivity Ratios'!$C19)/SUMIFS('MoodysData(Raw)'!Y$2:Y$180,'MoodysData(Raw)'!$B$2:$B$180,"=EMP",'MoodysData(Raw)'!$D$2:$D$180,"="&amp;'Implied Productivity Ratios'!$C19)</f>
        <v>81.569611975852112</v>
      </c>
      <c r="W19">
        <f>SUMIFS('MoodysData(Raw)'!Z$2:Z$180,'MoodysData(Raw)'!$B$2:$B$180,"=GDP",'MoodysData(Raw)'!$D$2:$D$180,"="&amp;'Implied Productivity Ratios'!$C19)/SUMIFS('MoodysData(Raw)'!Z$2:Z$180,'MoodysData(Raw)'!$B$2:$B$180,"=EMP",'MoodysData(Raw)'!$D$2:$D$180,"="&amp;'Implied Productivity Ratios'!$C19)</f>
        <v>91.511896277486997</v>
      </c>
      <c r="X19">
        <f>SUMIFS('MoodysData(Raw)'!AA$2:AA$180,'MoodysData(Raw)'!$B$2:$B$180,"=GDP",'MoodysData(Raw)'!$D$2:$D$180,"="&amp;'Implied Productivity Ratios'!$C19)/SUMIFS('MoodysData(Raw)'!AA$2:AA$180,'MoodysData(Raw)'!$B$2:$B$180,"=EMP",'MoodysData(Raw)'!$D$2:$D$180,"="&amp;'Implied Productivity Ratios'!$C19)</f>
        <v>84.325053111707291</v>
      </c>
      <c r="Y19">
        <f>SUMIFS('MoodysData(Raw)'!AB$2:AB$180,'MoodysData(Raw)'!$B$2:$B$180,"=GDP",'MoodysData(Raw)'!$D$2:$D$180,"="&amp;'Implied Productivity Ratios'!$C19)/SUMIFS('MoodysData(Raw)'!AB$2:AB$180,'MoodysData(Raw)'!$B$2:$B$180,"=EMP",'MoodysData(Raw)'!$D$2:$D$180,"="&amp;'Implied Productivity Ratios'!$C19)</f>
        <v>82.58547641424353</v>
      </c>
      <c r="Z19">
        <f>SUMIFS('MoodysData(Raw)'!AC$2:AC$180,'MoodysData(Raw)'!$B$2:$B$180,"=GDP",'MoodysData(Raw)'!$D$2:$D$180,"="&amp;'Implied Productivity Ratios'!$C19)/SUMIFS('MoodysData(Raw)'!AC$2:AC$180,'MoodysData(Raw)'!$B$2:$B$180,"=EMP",'MoodysData(Raw)'!$D$2:$D$180,"="&amp;'Implied Productivity Ratios'!$C19)</f>
        <v>82.688490397826314</v>
      </c>
      <c r="AA19">
        <f>SUMIFS('MoodysData(Raw)'!AD$2:AD$180,'MoodysData(Raw)'!$B$2:$B$180,"=GDP",'MoodysData(Raw)'!$D$2:$D$180,"="&amp;'Implied Productivity Ratios'!$C19)/SUMIFS('MoodysData(Raw)'!AD$2:AD$180,'MoodysData(Raw)'!$B$2:$B$180,"=EMP",'MoodysData(Raw)'!$D$2:$D$180,"="&amp;'Implied Productivity Ratios'!$C19)</f>
        <v>82.727771238400493</v>
      </c>
      <c r="AB19">
        <f>SUMIFS('MoodysData(Raw)'!AE$2:AE$180,'MoodysData(Raw)'!$B$2:$B$180,"=GDP",'MoodysData(Raw)'!$D$2:$D$180,"="&amp;'Implied Productivity Ratios'!$C19)/SUMIFS('MoodysData(Raw)'!AE$2:AE$180,'MoodysData(Raw)'!$B$2:$B$180,"=EMP",'MoodysData(Raw)'!$D$2:$D$180,"="&amp;'Implied Productivity Ratios'!$C19)</f>
        <v>82.953499088981985</v>
      </c>
      <c r="AC19">
        <f>SUMIFS('MoodysData(Raw)'!AF$2:AF$180,'MoodysData(Raw)'!$B$2:$B$180,"=GDP",'MoodysData(Raw)'!$D$2:$D$180,"="&amp;'Implied Productivity Ratios'!$C19)/SUMIFS('MoodysData(Raw)'!AF$2:AF$180,'MoodysData(Raw)'!$B$2:$B$180,"=EMP",'MoodysData(Raw)'!$D$2:$D$180,"="&amp;'Implied Productivity Ratios'!$C19)</f>
        <v>83.50169178714242</v>
      </c>
      <c r="AD19">
        <f>SUMIFS('MoodysData(Raw)'!AG$2:AG$180,'MoodysData(Raw)'!$B$2:$B$180,"=GDP",'MoodysData(Raw)'!$D$2:$D$180,"="&amp;'Implied Productivity Ratios'!$C19)/SUMIFS('MoodysData(Raw)'!AG$2:AG$180,'MoodysData(Raw)'!$B$2:$B$180,"=EMP",'MoodysData(Raw)'!$D$2:$D$180,"="&amp;'Implied Productivity Ratios'!$C19)</f>
        <v>84.269462982124722</v>
      </c>
      <c r="AE19">
        <f>SUMIFS('MoodysData(Raw)'!AH$2:AH$180,'MoodysData(Raw)'!$B$2:$B$180,"=GDP",'MoodysData(Raw)'!$D$2:$D$180,"="&amp;'Implied Productivity Ratios'!$C19)/SUMIFS('MoodysData(Raw)'!AH$2:AH$180,'MoodysData(Raw)'!$B$2:$B$180,"=EMP",'MoodysData(Raw)'!$D$2:$D$180,"="&amp;'Implied Productivity Ratios'!$C19)</f>
        <v>84.906412763129993</v>
      </c>
      <c r="AF19">
        <f>SUMIFS('MoodysData(Raw)'!AI$2:AI$180,'MoodysData(Raw)'!$B$2:$B$180,"=GDP",'MoodysData(Raw)'!$D$2:$D$180,"="&amp;'Implied Productivity Ratios'!$C19)/SUMIFS('MoodysData(Raw)'!AI$2:AI$180,'MoodysData(Raw)'!$B$2:$B$180,"=EMP",'MoodysData(Raw)'!$D$2:$D$180,"="&amp;'Implied Productivity Ratios'!$C19)</f>
        <v>85.622884972636442</v>
      </c>
      <c r="AG19">
        <f>SUMIFS('MoodysData(Raw)'!AJ$2:AJ$180,'MoodysData(Raw)'!$B$2:$B$180,"=GDP",'MoodysData(Raw)'!$D$2:$D$180,"="&amp;'Implied Productivity Ratios'!$C19)/SUMIFS('MoodysData(Raw)'!AJ$2:AJ$180,'MoodysData(Raw)'!$B$2:$B$180,"=EMP",'MoodysData(Raw)'!$D$2:$D$180,"="&amp;'Implied Productivity Ratios'!$C19)</f>
        <v>86.369971047059323</v>
      </c>
      <c r="AH19">
        <f>SUMIFS('MoodysData(Raw)'!AK$2:AK$180,'MoodysData(Raw)'!$B$2:$B$180,"=GDP",'MoodysData(Raw)'!$D$2:$D$180,"="&amp;'Implied Productivity Ratios'!$C19)/SUMIFS('MoodysData(Raw)'!AK$2:AK$180,'MoodysData(Raw)'!$B$2:$B$180,"=EMP",'MoodysData(Raw)'!$D$2:$D$180,"="&amp;'Implied Productivity Ratios'!$C19)</f>
        <v>87.092517377609056</v>
      </c>
      <c r="AI19">
        <f>SUMIFS('MoodysData(Raw)'!AL$2:AL$180,'MoodysData(Raw)'!$B$2:$B$180,"=GDP",'MoodysData(Raw)'!$D$2:$D$180,"="&amp;'Implied Productivity Ratios'!$C19)/SUMIFS('MoodysData(Raw)'!AL$2:AL$180,'MoodysData(Raw)'!$B$2:$B$180,"=EMP",'MoodysData(Raw)'!$D$2:$D$180,"="&amp;'Implied Productivity Ratios'!$C19)</f>
        <v>87.872986098993778</v>
      </c>
      <c r="AJ19">
        <f>SUMIFS('MoodysData(Raw)'!AM$2:AM$180,'MoodysData(Raw)'!$B$2:$B$180,"=GDP",'MoodysData(Raw)'!$D$2:$D$180,"="&amp;'Implied Productivity Ratios'!$C19)/SUMIFS('MoodysData(Raw)'!AM$2:AM$180,'MoodysData(Raw)'!$B$2:$B$180,"=EMP",'MoodysData(Raw)'!$D$2:$D$180,"="&amp;'Implied Productivity Ratios'!$C19)</f>
        <v>88.872839455029734</v>
      </c>
      <c r="AK19">
        <f>SUMIFS('MoodysData(Raw)'!AN$2:AN$180,'MoodysData(Raw)'!$B$2:$B$180,"=GDP",'MoodysData(Raw)'!$D$2:$D$180,"="&amp;'Implied Productivity Ratios'!$C19)/SUMIFS('MoodysData(Raw)'!AN$2:AN$180,'MoodysData(Raw)'!$B$2:$B$180,"=EMP",'MoodysData(Raw)'!$D$2:$D$180,"="&amp;'Implied Productivity Ratios'!$C19)</f>
        <v>90.006994138852789</v>
      </c>
      <c r="AL19">
        <f>SUMIFS('MoodysData(Raw)'!AO$2:AO$180,'MoodysData(Raw)'!$B$2:$B$180,"=GDP",'MoodysData(Raw)'!$D$2:$D$180,"="&amp;'Implied Productivity Ratios'!$C19)/SUMIFS('MoodysData(Raw)'!AO$2:AO$180,'MoodysData(Raw)'!$B$2:$B$180,"=EMP",'MoodysData(Raw)'!$D$2:$D$180,"="&amp;'Implied Productivity Ratios'!$C19)</f>
        <v>91.15543052668481</v>
      </c>
      <c r="AM19">
        <f>SUMIFS('MoodysData(Raw)'!AP$2:AP$180,'MoodysData(Raw)'!$B$2:$B$180,"=GDP",'MoodysData(Raw)'!$D$2:$D$180,"="&amp;'Implied Productivity Ratios'!$C19)/SUMIFS('MoodysData(Raw)'!AP$2:AP$180,'MoodysData(Raw)'!$B$2:$B$180,"=EMP",'MoodysData(Raw)'!$D$2:$D$180,"="&amp;'Implied Productivity Ratios'!$C19)</f>
        <v>92.35231094837566</v>
      </c>
      <c r="AN19">
        <f>SUMIFS('MoodysData(Raw)'!AQ$2:AQ$180,'MoodysData(Raw)'!$B$2:$B$180,"=GDP",'MoodysData(Raw)'!$D$2:$D$180,"="&amp;'Implied Productivity Ratios'!$C19)/SUMIFS('MoodysData(Raw)'!AQ$2:AQ$180,'MoodysData(Raw)'!$B$2:$B$180,"=EMP",'MoodysData(Raw)'!$D$2:$D$180,"="&amp;'Implied Productivity Ratios'!$C19)</f>
        <v>93.551745425552923</v>
      </c>
      <c r="AO19">
        <f>SUMIFS('MoodysData(Raw)'!AR$2:AR$180,'MoodysData(Raw)'!$B$2:$B$180,"=GDP",'MoodysData(Raw)'!$D$2:$D$180,"="&amp;'Implied Productivity Ratios'!$C19)/SUMIFS('MoodysData(Raw)'!AR$2:AR$180,'MoodysData(Raw)'!$B$2:$B$180,"=EMP",'MoodysData(Raw)'!$D$2:$D$180,"="&amp;'Implied Productivity Ratios'!$C19)</f>
        <v>94.736672072004126</v>
      </c>
      <c r="AP19">
        <f>SUMIFS('MoodysData(Raw)'!AS$2:AS$180,'MoodysData(Raw)'!$B$2:$B$180,"=GDP",'MoodysData(Raw)'!$D$2:$D$180,"="&amp;'Implied Productivity Ratios'!$C19)/SUMIFS('MoodysData(Raw)'!AS$2:AS$180,'MoodysData(Raw)'!$B$2:$B$180,"=EMP",'MoodysData(Raw)'!$D$2:$D$180,"="&amp;'Implied Productivity Ratios'!$C19)</f>
        <v>95.937457175004113</v>
      </c>
      <c r="AQ19">
        <f>SUMIFS('MoodysData(Raw)'!AT$2:AT$180,'MoodysData(Raw)'!$B$2:$B$180,"=GDP",'MoodysData(Raw)'!$D$2:$D$180,"="&amp;'Implied Productivity Ratios'!$C19)/SUMIFS('MoodysData(Raw)'!AT$2:AT$180,'MoodysData(Raw)'!$B$2:$B$180,"=EMP",'MoodysData(Raw)'!$D$2:$D$180,"="&amp;'Implied Productivity Ratios'!$C19)</f>
        <v>97.151914830846863</v>
      </c>
      <c r="AR19">
        <f>SUMIFS('MoodysData(Raw)'!AU$2:AU$180,'MoodysData(Raw)'!$B$2:$B$180,"=GDP",'MoodysData(Raw)'!$D$2:$D$180,"="&amp;'Implied Productivity Ratios'!$C19)/SUMIFS('MoodysData(Raw)'!AU$2:AU$180,'MoodysData(Raw)'!$B$2:$B$180,"=EMP",'MoodysData(Raw)'!$D$2:$D$180,"="&amp;'Implied Productivity Ratios'!$C19)</f>
        <v>98.398427267518002</v>
      </c>
      <c r="AS19">
        <f>SUMIFS('MoodysData(Raw)'!AV$2:AV$180,'MoodysData(Raw)'!$B$2:$B$180,"=GDP",'MoodysData(Raw)'!$D$2:$D$180,"="&amp;'Implied Productivity Ratios'!$C19)/SUMIFS('MoodysData(Raw)'!AV$2:AV$180,'MoodysData(Raw)'!$B$2:$B$180,"=EMP",'MoodysData(Raw)'!$D$2:$D$180,"="&amp;'Implied Productivity Ratios'!$C19)</f>
        <v>99.677634118597751</v>
      </c>
      <c r="AT19">
        <f>SUMIFS('MoodysData(Raw)'!AW$2:AW$180,'MoodysData(Raw)'!$B$2:$B$180,"=GDP",'MoodysData(Raw)'!$D$2:$D$180,"="&amp;'Implied Productivity Ratios'!$C19)/SUMIFS('MoodysData(Raw)'!AW$2:AW$180,'MoodysData(Raw)'!$B$2:$B$180,"=EMP",'MoodysData(Raw)'!$D$2:$D$180,"="&amp;'Implied Productivity Ratios'!$C19)</f>
        <v>100.96063332599718</v>
      </c>
      <c r="AU19">
        <f>SUMIFS('MoodysData(Raw)'!AX$2:AX$180,'MoodysData(Raw)'!$B$2:$B$180,"=GDP",'MoodysData(Raw)'!$D$2:$D$180,"="&amp;'Implied Productivity Ratios'!$C19)/SUMIFS('MoodysData(Raw)'!AX$2:AX$180,'MoodysData(Raw)'!$B$2:$B$180,"=EMP",'MoodysData(Raw)'!$D$2:$D$180,"="&amp;'Implied Productivity Ratios'!$C19)</f>
        <v>102.30016542704928</v>
      </c>
      <c r="AV19">
        <f>SUMIFS('MoodysData(Raw)'!AY$2:AY$180,'MoodysData(Raw)'!$B$2:$B$180,"=GDP",'MoodysData(Raw)'!$D$2:$D$180,"="&amp;'Implied Productivity Ratios'!$C19)/SUMIFS('MoodysData(Raw)'!AY$2:AY$180,'MoodysData(Raw)'!$B$2:$B$180,"=EMP",'MoodysData(Raw)'!$D$2:$D$180,"="&amp;'Implied Productivity Ratios'!$C19)</f>
        <v>103.72501710483891</v>
      </c>
      <c r="AW19">
        <f>SUMIFS('MoodysData(Raw)'!AZ$2:AZ$180,'MoodysData(Raw)'!$B$2:$B$180,"=GDP",'MoodysData(Raw)'!$D$2:$D$180,"="&amp;'Implied Productivity Ratios'!$C19)/SUMIFS('MoodysData(Raw)'!AZ$2:AZ$180,'MoodysData(Raw)'!$B$2:$B$180,"=EMP",'MoodysData(Raw)'!$D$2:$D$180,"="&amp;'Implied Productivity Ratios'!$C19)</f>
        <v>105.19252618919518</v>
      </c>
      <c r="AX19">
        <f>SUMIFS('MoodysData(Raw)'!BA$2:BA$180,'MoodysData(Raw)'!$B$2:$B$180,"=GDP",'MoodysData(Raw)'!$D$2:$D$180,"="&amp;'Implied Productivity Ratios'!$C19)/SUMIFS('MoodysData(Raw)'!BA$2:BA$180,'MoodysData(Raw)'!$B$2:$B$180,"=EMP",'MoodysData(Raw)'!$D$2:$D$180,"="&amp;'Implied Productivity Ratios'!$C19)</f>
        <v>106.76578316833523</v>
      </c>
      <c r="AY19">
        <f>SUMIFS('MoodysData(Raw)'!BB$2:BB$180,'MoodysData(Raw)'!$B$2:$B$180,"=GDP",'MoodysData(Raw)'!$D$2:$D$180,"="&amp;'Implied Productivity Ratios'!$C19)/SUMIFS('MoodysData(Raw)'!BB$2:BB$180,'MoodysData(Raw)'!$B$2:$B$180,"=EMP",'MoodysData(Raw)'!$D$2:$D$180,"="&amp;'Implied Productivity Ratios'!$C19)</f>
        <v>108.36605412504605</v>
      </c>
      <c r="AZ19">
        <f>SUMIFS('MoodysData(Raw)'!BC$2:BC$180,'MoodysData(Raw)'!$B$2:$B$180,"=GDP",'MoodysData(Raw)'!$D$2:$D$180,"="&amp;'Implied Productivity Ratios'!$C19)/SUMIFS('MoodysData(Raw)'!BC$2:BC$180,'MoodysData(Raw)'!$B$2:$B$180,"=EMP",'MoodysData(Raw)'!$D$2:$D$180,"="&amp;'Implied Productivity Ratios'!$C19)</f>
        <v>109.98940567018198</v>
      </c>
      <c r="BA19">
        <f>SUMIFS('MoodysData(Raw)'!BD$2:BD$180,'MoodysData(Raw)'!$B$2:$B$180,"=GDP",'MoodysData(Raw)'!$D$2:$D$180,"="&amp;'Implied Productivity Ratios'!$C19)/SUMIFS('MoodysData(Raw)'!BD$2:BD$180,'MoodysData(Raw)'!$B$2:$B$180,"=EMP",'MoodysData(Raw)'!$D$2:$D$180,"="&amp;'Implied Productivity Ratios'!$C19)</f>
        <v>111.63984478654096</v>
      </c>
      <c r="BB19">
        <f>SUMIFS('MoodysData(Raw)'!BE$2:BE$180,'MoodysData(Raw)'!$B$2:$B$180,"=GDP",'MoodysData(Raw)'!$D$2:$D$180,"="&amp;'Implied Productivity Ratios'!$C19)/SUMIFS('MoodysData(Raw)'!BE$2:BE$180,'MoodysData(Raw)'!$B$2:$B$180,"=EMP",'MoodysData(Raw)'!$D$2:$D$180,"="&amp;'Implied Productivity Ratios'!$C19)</f>
        <v>113.36880131005555</v>
      </c>
      <c r="BC19">
        <f>SUMIFS('MoodysData(Raw)'!BF$2:BF$180,'MoodysData(Raw)'!$B$2:$B$180,"=GDP",'MoodysData(Raw)'!$D$2:$D$180,"="&amp;'Implied Productivity Ratios'!$C19)/SUMIFS('MoodysData(Raw)'!BF$2:BF$180,'MoodysData(Raw)'!$B$2:$B$180,"=EMP",'MoodysData(Raw)'!$D$2:$D$180,"="&amp;'Implied Productivity Ratios'!$C19)</f>
        <v>115.16732870182666</v>
      </c>
      <c r="BD19" s="5">
        <f t="shared" ref="BD19:BH19" si="13">BC19+($BC19-$AX19)/5</f>
        <v>116.84763780852495</v>
      </c>
      <c r="BE19" s="5">
        <f t="shared" si="13"/>
        <v>118.52794691522324</v>
      </c>
      <c r="BF19" s="5">
        <f t="shared" si="13"/>
        <v>120.20825602192153</v>
      </c>
      <c r="BG19" s="5">
        <f t="shared" si="13"/>
        <v>121.88856512861982</v>
      </c>
      <c r="BH19" s="5">
        <f t="shared" si="13"/>
        <v>123.56887423531811</v>
      </c>
    </row>
    <row r="20" spans="3:60">
      <c r="C20">
        <v>322</v>
      </c>
      <c r="D20" t="s">
        <v>63</v>
      </c>
      <c r="E20">
        <f>SUMIFS('MoodysData(Raw)'!H$2:H$180,'MoodysData(Raw)'!$B$2:$B$180,"=GDP",'MoodysData(Raw)'!$D$2:$D$180,"="&amp;'Implied Productivity Ratios'!$C20)/SUMIFS('MoodysData(Raw)'!H$2:H$180,'MoodysData(Raw)'!$B$2:$B$180,"=EMP",'MoodysData(Raw)'!$D$2:$D$180,"="&amp;'Implied Productivity Ratios'!$C20)</f>
        <v>145.70479295362884</v>
      </c>
      <c r="F20">
        <f>SUMIFS('MoodysData(Raw)'!I$2:I$180,'MoodysData(Raw)'!$B$2:$B$180,"=GDP",'MoodysData(Raw)'!$D$2:$D$180,"="&amp;'Implied Productivity Ratios'!$C20)/SUMIFS('MoodysData(Raw)'!I$2:I$180,'MoodysData(Raw)'!$B$2:$B$180,"=EMP",'MoodysData(Raw)'!$D$2:$D$180,"="&amp;'Implied Productivity Ratios'!$C20)</f>
        <v>160.12186560002061</v>
      </c>
      <c r="G20">
        <f>SUMIFS('MoodysData(Raw)'!J$2:J$180,'MoodysData(Raw)'!$B$2:$B$180,"=GDP",'MoodysData(Raw)'!$D$2:$D$180,"="&amp;'Implied Productivity Ratios'!$C20)/SUMIFS('MoodysData(Raw)'!J$2:J$180,'MoodysData(Raw)'!$B$2:$B$180,"=EMP",'MoodysData(Raw)'!$D$2:$D$180,"="&amp;'Implied Productivity Ratios'!$C20)</f>
        <v>155.61578443018578</v>
      </c>
      <c r="H20">
        <f>SUMIFS('MoodysData(Raw)'!K$2:K$180,'MoodysData(Raw)'!$B$2:$B$180,"=GDP",'MoodysData(Raw)'!$D$2:$D$180,"="&amp;'Implied Productivity Ratios'!$C20)/SUMIFS('MoodysData(Raw)'!K$2:K$180,'MoodysData(Raw)'!$B$2:$B$180,"=EMP",'MoodysData(Raw)'!$D$2:$D$180,"="&amp;'Implied Productivity Ratios'!$C20)</f>
        <v>143.28282586219882</v>
      </c>
      <c r="I20">
        <f>SUMIFS('MoodysData(Raw)'!L$2:L$180,'MoodysData(Raw)'!$B$2:$B$180,"=GDP",'MoodysData(Raw)'!$D$2:$D$180,"="&amp;'Implied Productivity Ratios'!$C20)/SUMIFS('MoodysData(Raw)'!L$2:L$180,'MoodysData(Raw)'!$B$2:$B$180,"=EMP",'MoodysData(Raw)'!$D$2:$D$180,"="&amp;'Implied Productivity Ratios'!$C20)</f>
        <v>163.49121025702283</v>
      </c>
      <c r="J20">
        <f>SUMIFS('MoodysData(Raw)'!M$2:M$180,'MoodysData(Raw)'!$B$2:$B$180,"=GDP",'MoodysData(Raw)'!$D$2:$D$180,"="&amp;'Implied Productivity Ratios'!$C20)/SUMIFS('MoodysData(Raw)'!M$2:M$180,'MoodysData(Raw)'!$B$2:$B$180,"=EMP",'MoodysData(Raw)'!$D$2:$D$180,"="&amp;'Implied Productivity Ratios'!$C20)</f>
        <v>157.36561303836186</v>
      </c>
      <c r="K20">
        <f>SUMIFS('MoodysData(Raw)'!N$2:N$180,'MoodysData(Raw)'!$B$2:$B$180,"=GDP",'MoodysData(Raw)'!$D$2:$D$180,"="&amp;'Implied Productivity Ratios'!$C20)/SUMIFS('MoodysData(Raw)'!N$2:N$180,'MoodysData(Raw)'!$B$2:$B$180,"=EMP",'MoodysData(Raw)'!$D$2:$D$180,"="&amp;'Implied Productivity Ratios'!$C20)</f>
        <v>153.35195020898354</v>
      </c>
      <c r="L20">
        <f>SUMIFS('MoodysData(Raw)'!O$2:O$180,'MoodysData(Raw)'!$B$2:$B$180,"=GDP",'MoodysData(Raw)'!$D$2:$D$180,"="&amp;'Implied Productivity Ratios'!$C20)/SUMIFS('MoodysData(Raw)'!O$2:O$180,'MoodysData(Raw)'!$B$2:$B$180,"=EMP",'MoodysData(Raw)'!$D$2:$D$180,"="&amp;'Implied Productivity Ratios'!$C20)</f>
        <v>154.3956682207708</v>
      </c>
      <c r="M20">
        <f>SUMIFS('MoodysData(Raw)'!P$2:P$180,'MoodysData(Raw)'!$B$2:$B$180,"=GDP",'MoodysData(Raw)'!$D$2:$D$180,"="&amp;'Implied Productivity Ratios'!$C20)/SUMIFS('MoodysData(Raw)'!P$2:P$180,'MoodysData(Raw)'!$B$2:$B$180,"=EMP",'MoodysData(Raw)'!$D$2:$D$180,"="&amp;'Implied Productivity Ratios'!$C20)</f>
        <v>160.69958186772888</v>
      </c>
      <c r="N20">
        <f>SUMIFS('MoodysData(Raw)'!Q$2:Q$180,'MoodysData(Raw)'!$B$2:$B$180,"=GDP",'MoodysData(Raw)'!$D$2:$D$180,"="&amp;'Implied Productivity Ratios'!$C20)/SUMIFS('MoodysData(Raw)'!Q$2:Q$180,'MoodysData(Raw)'!$B$2:$B$180,"=EMP",'MoodysData(Raw)'!$D$2:$D$180,"="&amp;'Implied Productivity Ratios'!$C20)</f>
        <v>164.38036925649703</v>
      </c>
      <c r="O20">
        <f>SUMIFS('MoodysData(Raw)'!R$2:R$180,'MoodysData(Raw)'!$B$2:$B$180,"=GDP",'MoodysData(Raw)'!$D$2:$D$180,"="&amp;'Implied Productivity Ratios'!$C20)/SUMIFS('MoodysData(Raw)'!R$2:R$180,'MoodysData(Raw)'!$B$2:$B$180,"=EMP",'MoodysData(Raw)'!$D$2:$D$180,"="&amp;'Implied Productivity Ratios'!$C20)</f>
        <v>168.42799919779284</v>
      </c>
      <c r="P20">
        <f>SUMIFS('MoodysData(Raw)'!S$2:S$180,'MoodysData(Raw)'!$B$2:$B$180,"=GDP",'MoodysData(Raw)'!$D$2:$D$180,"="&amp;'Implied Productivity Ratios'!$C20)/SUMIFS('MoodysData(Raw)'!S$2:S$180,'MoodysData(Raw)'!$B$2:$B$180,"=EMP",'MoodysData(Raw)'!$D$2:$D$180,"="&amp;'Implied Productivity Ratios'!$C20)</f>
        <v>164.8372667562729</v>
      </c>
      <c r="Q20">
        <f>SUMIFS('MoodysData(Raw)'!T$2:T$180,'MoodysData(Raw)'!$B$2:$B$180,"=GDP",'MoodysData(Raw)'!$D$2:$D$180,"="&amp;'Implied Productivity Ratios'!$C20)/SUMIFS('MoodysData(Raw)'!T$2:T$180,'MoodysData(Raw)'!$B$2:$B$180,"=EMP",'MoodysData(Raw)'!$D$2:$D$180,"="&amp;'Implied Productivity Ratios'!$C20)</f>
        <v>152.85749835241614</v>
      </c>
      <c r="R20">
        <f>SUMIFS('MoodysData(Raw)'!U$2:U$180,'MoodysData(Raw)'!$B$2:$B$180,"=GDP",'MoodysData(Raw)'!$D$2:$D$180,"="&amp;'Implied Productivity Ratios'!$C20)/SUMIFS('MoodysData(Raw)'!U$2:U$180,'MoodysData(Raw)'!$B$2:$B$180,"=EMP",'MoodysData(Raw)'!$D$2:$D$180,"="&amp;'Implied Productivity Ratios'!$C20)</f>
        <v>163.28595505926401</v>
      </c>
      <c r="S20">
        <f>SUMIFS('MoodysData(Raw)'!V$2:V$180,'MoodysData(Raw)'!$B$2:$B$180,"=GDP",'MoodysData(Raw)'!$D$2:$D$180,"="&amp;'Implied Productivity Ratios'!$C20)/SUMIFS('MoodysData(Raw)'!V$2:V$180,'MoodysData(Raw)'!$B$2:$B$180,"=EMP",'MoodysData(Raw)'!$D$2:$D$180,"="&amp;'Implied Productivity Ratios'!$C20)</f>
        <v>171.90571792171318</v>
      </c>
      <c r="T20">
        <f>SUMIFS('MoodysData(Raw)'!W$2:W$180,'MoodysData(Raw)'!$B$2:$B$180,"=GDP",'MoodysData(Raw)'!$D$2:$D$180,"="&amp;'Implied Productivity Ratios'!$C20)/SUMIFS('MoodysData(Raw)'!W$2:W$180,'MoodysData(Raw)'!$B$2:$B$180,"=EMP",'MoodysData(Raw)'!$D$2:$D$180,"="&amp;'Implied Productivity Ratios'!$C20)</f>
        <v>190.92661528068672</v>
      </c>
      <c r="U20">
        <f>SUMIFS('MoodysData(Raw)'!X$2:X$180,'MoodysData(Raw)'!$B$2:$B$180,"=GDP",'MoodysData(Raw)'!$D$2:$D$180,"="&amp;'Implied Productivity Ratios'!$C20)/SUMIFS('MoodysData(Raw)'!X$2:X$180,'MoodysData(Raw)'!$B$2:$B$180,"=EMP",'MoodysData(Raw)'!$D$2:$D$180,"="&amp;'Implied Productivity Ratios'!$C20)</f>
        <v>182.43757487324774</v>
      </c>
      <c r="V20">
        <f>SUMIFS('MoodysData(Raw)'!Y$2:Y$180,'MoodysData(Raw)'!$B$2:$B$180,"=GDP",'MoodysData(Raw)'!$D$2:$D$180,"="&amp;'Implied Productivity Ratios'!$C20)/SUMIFS('MoodysData(Raw)'!Y$2:Y$180,'MoodysData(Raw)'!$B$2:$B$180,"=EMP",'MoodysData(Raw)'!$D$2:$D$180,"="&amp;'Implied Productivity Ratios'!$C20)</f>
        <v>168.70166449734165</v>
      </c>
      <c r="W20">
        <f>SUMIFS('MoodysData(Raw)'!Z$2:Z$180,'MoodysData(Raw)'!$B$2:$B$180,"=GDP",'MoodysData(Raw)'!$D$2:$D$180,"="&amp;'Implied Productivity Ratios'!$C20)/SUMIFS('MoodysData(Raw)'!Z$2:Z$180,'MoodysData(Raw)'!$B$2:$B$180,"=EMP",'MoodysData(Raw)'!$D$2:$D$180,"="&amp;'Implied Productivity Ratios'!$C20)</f>
        <v>157.62061139185917</v>
      </c>
      <c r="X20">
        <f>SUMIFS('MoodysData(Raw)'!AA$2:AA$180,'MoodysData(Raw)'!$B$2:$B$180,"=GDP",'MoodysData(Raw)'!$D$2:$D$180,"="&amp;'Implied Productivity Ratios'!$C20)/SUMIFS('MoodysData(Raw)'!AA$2:AA$180,'MoodysData(Raw)'!$B$2:$B$180,"=EMP",'MoodysData(Raw)'!$D$2:$D$180,"="&amp;'Implied Productivity Ratios'!$C20)</f>
        <v>154.18286708331362</v>
      </c>
      <c r="Y20">
        <f>SUMIFS('MoodysData(Raw)'!AB$2:AB$180,'MoodysData(Raw)'!$B$2:$B$180,"=GDP",'MoodysData(Raw)'!$D$2:$D$180,"="&amp;'Implied Productivity Ratios'!$C20)/SUMIFS('MoodysData(Raw)'!AB$2:AB$180,'MoodysData(Raw)'!$B$2:$B$180,"=EMP",'MoodysData(Raw)'!$D$2:$D$180,"="&amp;'Implied Productivity Ratios'!$C20)</f>
        <v>156.41172185076525</v>
      </c>
      <c r="Z20">
        <f>SUMIFS('MoodysData(Raw)'!AC$2:AC$180,'MoodysData(Raw)'!$B$2:$B$180,"=GDP",'MoodysData(Raw)'!$D$2:$D$180,"="&amp;'Implied Productivity Ratios'!$C20)/SUMIFS('MoodysData(Raw)'!AC$2:AC$180,'MoodysData(Raw)'!$B$2:$B$180,"=EMP",'MoodysData(Raw)'!$D$2:$D$180,"="&amp;'Implied Productivity Ratios'!$C20)</f>
        <v>158.73278540901359</v>
      </c>
      <c r="AA20">
        <f>SUMIFS('MoodysData(Raw)'!AD$2:AD$180,'MoodysData(Raw)'!$B$2:$B$180,"=GDP",'MoodysData(Raw)'!$D$2:$D$180,"="&amp;'Implied Productivity Ratios'!$C20)/SUMIFS('MoodysData(Raw)'!AD$2:AD$180,'MoodysData(Raw)'!$B$2:$B$180,"=EMP",'MoodysData(Raw)'!$D$2:$D$180,"="&amp;'Implied Productivity Ratios'!$C20)</f>
        <v>161.30285391813783</v>
      </c>
      <c r="AB20">
        <f>SUMIFS('MoodysData(Raw)'!AE$2:AE$180,'MoodysData(Raw)'!$B$2:$B$180,"=GDP",'MoodysData(Raw)'!$D$2:$D$180,"="&amp;'Implied Productivity Ratios'!$C20)/SUMIFS('MoodysData(Raw)'!AE$2:AE$180,'MoodysData(Raw)'!$B$2:$B$180,"=EMP",'MoodysData(Raw)'!$D$2:$D$180,"="&amp;'Implied Productivity Ratios'!$C20)</f>
        <v>164.60540048777452</v>
      </c>
      <c r="AC20">
        <f>SUMIFS('MoodysData(Raw)'!AF$2:AF$180,'MoodysData(Raw)'!$B$2:$B$180,"=GDP",'MoodysData(Raw)'!$D$2:$D$180,"="&amp;'Implied Productivity Ratios'!$C20)/SUMIFS('MoodysData(Raw)'!AF$2:AF$180,'MoodysData(Raw)'!$B$2:$B$180,"=EMP",'MoodysData(Raw)'!$D$2:$D$180,"="&amp;'Implied Productivity Ratios'!$C20)</f>
        <v>168.50970203587173</v>
      </c>
      <c r="AD20">
        <f>SUMIFS('MoodysData(Raw)'!AG$2:AG$180,'MoodysData(Raw)'!$B$2:$B$180,"=GDP",'MoodysData(Raw)'!$D$2:$D$180,"="&amp;'Implied Productivity Ratios'!$C20)/SUMIFS('MoodysData(Raw)'!AG$2:AG$180,'MoodysData(Raw)'!$B$2:$B$180,"=EMP",'MoodysData(Raw)'!$D$2:$D$180,"="&amp;'Implied Productivity Ratios'!$C20)</f>
        <v>172.84921004075323</v>
      </c>
      <c r="AE20">
        <f>SUMIFS('MoodysData(Raw)'!AH$2:AH$180,'MoodysData(Raw)'!$B$2:$B$180,"=GDP",'MoodysData(Raw)'!$D$2:$D$180,"="&amp;'Implied Productivity Ratios'!$C20)/SUMIFS('MoodysData(Raw)'!AH$2:AH$180,'MoodysData(Raw)'!$B$2:$B$180,"=EMP",'MoodysData(Raw)'!$D$2:$D$180,"="&amp;'Implied Productivity Ratios'!$C20)</f>
        <v>177.23726500338847</v>
      </c>
      <c r="AF20">
        <f>SUMIFS('MoodysData(Raw)'!AI$2:AI$180,'MoodysData(Raw)'!$B$2:$B$180,"=GDP",'MoodysData(Raw)'!$D$2:$D$180,"="&amp;'Implied Productivity Ratios'!$C20)/SUMIFS('MoodysData(Raw)'!AI$2:AI$180,'MoodysData(Raw)'!$B$2:$B$180,"=EMP",'MoodysData(Raw)'!$D$2:$D$180,"="&amp;'Implied Productivity Ratios'!$C20)</f>
        <v>181.78346042891965</v>
      </c>
      <c r="AG20">
        <f>SUMIFS('MoodysData(Raw)'!AJ$2:AJ$180,'MoodysData(Raw)'!$B$2:$B$180,"=GDP",'MoodysData(Raw)'!$D$2:$D$180,"="&amp;'Implied Productivity Ratios'!$C20)/SUMIFS('MoodysData(Raw)'!AJ$2:AJ$180,'MoodysData(Raw)'!$B$2:$B$180,"=EMP",'MoodysData(Raw)'!$D$2:$D$180,"="&amp;'Implied Productivity Ratios'!$C20)</f>
        <v>186.57843653844901</v>
      </c>
      <c r="AH20">
        <f>SUMIFS('MoodysData(Raw)'!AK$2:AK$180,'MoodysData(Raw)'!$B$2:$B$180,"=GDP",'MoodysData(Raw)'!$D$2:$D$180,"="&amp;'Implied Productivity Ratios'!$C20)/SUMIFS('MoodysData(Raw)'!AK$2:AK$180,'MoodysData(Raw)'!$B$2:$B$180,"=EMP",'MoodysData(Raw)'!$D$2:$D$180,"="&amp;'Implied Productivity Ratios'!$C20)</f>
        <v>191.48673778671926</v>
      </c>
      <c r="AI20">
        <f>SUMIFS('MoodysData(Raw)'!AL$2:AL$180,'MoodysData(Raw)'!$B$2:$B$180,"=GDP",'MoodysData(Raw)'!$D$2:$D$180,"="&amp;'Implied Productivity Ratios'!$C20)/SUMIFS('MoodysData(Raw)'!AL$2:AL$180,'MoodysData(Raw)'!$B$2:$B$180,"=EMP",'MoodysData(Raw)'!$D$2:$D$180,"="&amp;'Implied Productivity Ratios'!$C20)</f>
        <v>196.58584076754755</v>
      </c>
      <c r="AJ20">
        <f>SUMIFS('MoodysData(Raw)'!AM$2:AM$180,'MoodysData(Raw)'!$B$2:$B$180,"=GDP",'MoodysData(Raw)'!$D$2:$D$180,"="&amp;'Implied Productivity Ratios'!$C20)/SUMIFS('MoodysData(Raw)'!AM$2:AM$180,'MoodysData(Raw)'!$B$2:$B$180,"=EMP",'MoodysData(Raw)'!$D$2:$D$180,"="&amp;'Implied Productivity Ratios'!$C20)</f>
        <v>202.15021259086546</v>
      </c>
      <c r="AK20">
        <f>SUMIFS('MoodysData(Raw)'!AN$2:AN$180,'MoodysData(Raw)'!$B$2:$B$180,"=GDP",'MoodysData(Raw)'!$D$2:$D$180,"="&amp;'Implied Productivity Ratios'!$C20)/SUMIFS('MoodysData(Raw)'!AN$2:AN$180,'MoodysData(Raw)'!$B$2:$B$180,"=EMP",'MoodysData(Raw)'!$D$2:$D$180,"="&amp;'Implied Productivity Ratios'!$C20)</f>
        <v>208.12115628682011</v>
      </c>
      <c r="AL20">
        <f>SUMIFS('MoodysData(Raw)'!AO$2:AO$180,'MoodysData(Raw)'!$B$2:$B$180,"=GDP",'MoodysData(Raw)'!$D$2:$D$180,"="&amp;'Implied Productivity Ratios'!$C20)/SUMIFS('MoodysData(Raw)'!AO$2:AO$180,'MoodysData(Raw)'!$B$2:$B$180,"=EMP",'MoodysData(Raw)'!$D$2:$D$180,"="&amp;'Implied Productivity Ratios'!$C20)</f>
        <v>214.26024118731786</v>
      </c>
      <c r="AM20">
        <f>SUMIFS('MoodysData(Raw)'!AP$2:AP$180,'MoodysData(Raw)'!$B$2:$B$180,"=GDP",'MoodysData(Raw)'!$D$2:$D$180,"="&amp;'Implied Productivity Ratios'!$C20)/SUMIFS('MoodysData(Raw)'!AP$2:AP$180,'MoodysData(Raw)'!$B$2:$B$180,"=EMP",'MoodysData(Raw)'!$D$2:$D$180,"="&amp;'Implied Productivity Ratios'!$C20)</f>
        <v>220.46216705700945</v>
      </c>
      <c r="AN20">
        <f>SUMIFS('MoodysData(Raw)'!AQ$2:AQ$180,'MoodysData(Raw)'!$B$2:$B$180,"=GDP",'MoodysData(Raw)'!$D$2:$D$180,"="&amp;'Implied Productivity Ratios'!$C20)/SUMIFS('MoodysData(Raw)'!AQ$2:AQ$180,'MoodysData(Raw)'!$B$2:$B$180,"=EMP",'MoodysData(Raw)'!$D$2:$D$180,"="&amp;'Implied Productivity Ratios'!$C20)</f>
        <v>226.8563524848521</v>
      </c>
      <c r="AO20">
        <f>SUMIFS('MoodysData(Raw)'!AR$2:AR$180,'MoodysData(Raw)'!$B$2:$B$180,"=GDP",'MoodysData(Raw)'!$D$2:$D$180,"="&amp;'Implied Productivity Ratios'!$C20)/SUMIFS('MoodysData(Raw)'!AR$2:AR$180,'MoodysData(Raw)'!$B$2:$B$180,"=EMP",'MoodysData(Raw)'!$D$2:$D$180,"="&amp;'Implied Productivity Ratios'!$C20)</f>
        <v>233.46393510815309</v>
      </c>
      <c r="AP20">
        <f>SUMIFS('MoodysData(Raw)'!AS$2:AS$180,'MoodysData(Raw)'!$B$2:$B$180,"=GDP",'MoodysData(Raw)'!$D$2:$D$180,"="&amp;'Implied Productivity Ratios'!$C20)/SUMIFS('MoodysData(Raw)'!AS$2:AS$180,'MoodysData(Raw)'!$B$2:$B$180,"=EMP",'MoodysData(Raw)'!$D$2:$D$180,"="&amp;'Implied Productivity Ratios'!$C20)</f>
        <v>240.4402641461372</v>
      </c>
      <c r="AQ20">
        <f>SUMIFS('MoodysData(Raw)'!AT$2:AT$180,'MoodysData(Raw)'!$B$2:$B$180,"=GDP",'MoodysData(Raw)'!$D$2:$D$180,"="&amp;'Implied Productivity Ratios'!$C20)/SUMIFS('MoodysData(Raw)'!AT$2:AT$180,'MoodysData(Raw)'!$B$2:$B$180,"=EMP",'MoodysData(Raw)'!$D$2:$D$180,"="&amp;'Implied Productivity Ratios'!$C20)</f>
        <v>247.9749749473302</v>
      </c>
      <c r="AR20">
        <f>SUMIFS('MoodysData(Raw)'!AU$2:AU$180,'MoodysData(Raw)'!$B$2:$B$180,"=GDP",'MoodysData(Raw)'!$D$2:$D$180,"="&amp;'Implied Productivity Ratios'!$C20)/SUMIFS('MoodysData(Raw)'!AU$2:AU$180,'MoodysData(Raw)'!$B$2:$B$180,"=EMP",'MoodysData(Raw)'!$D$2:$D$180,"="&amp;'Implied Productivity Ratios'!$C20)</f>
        <v>256.00890665374675</v>
      </c>
      <c r="AS20">
        <f>SUMIFS('MoodysData(Raw)'!AV$2:AV$180,'MoodysData(Raw)'!$B$2:$B$180,"=GDP",'MoodysData(Raw)'!$D$2:$D$180,"="&amp;'Implied Productivity Ratios'!$C20)/SUMIFS('MoodysData(Raw)'!AV$2:AV$180,'MoodysData(Raw)'!$B$2:$B$180,"=EMP",'MoodysData(Raw)'!$D$2:$D$180,"="&amp;'Implied Productivity Ratios'!$C20)</f>
        <v>264.31687382235299</v>
      </c>
      <c r="AT20">
        <f>SUMIFS('MoodysData(Raw)'!AW$2:AW$180,'MoodysData(Raw)'!$B$2:$B$180,"=GDP",'MoodysData(Raw)'!$D$2:$D$180,"="&amp;'Implied Productivity Ratios'!$C20)/SUMIFS('MoodysData(Raw)'!AW$2:AW$180,'MoodysData(Raw)'!$B$2:$B$180,"=EMP",'MoodysData(Raw)'!$D$2:$D$180,"="&amp;'Implied Productivity Ratios'!$C20)</f>
        <v>272.94029067898413</v>
      </c>
      <c r="AU20">
        <f>SUMIFS('MoodysData(Raw)'!AX$2:AX$180,'MoodysData(Raw)'!$B$2:$B$180,"=GDP",'MoodysData(Raw)'!$D$2:$D$180,"="&amp;'Implied Productivity Ratios'!$C20)/SUMIFS('MoodysData(Raw)'!AX$2:AX$180,'MoodysData(Raw)'!$B$2:$B$180,"=EMP",'MoodysData(Raw)'!$D$2:$D$180,"="&amp;'Implied Productivity Ratios'!$C20)</f>
        <v>282.07034662045061</v>
      </c>
      <c r="AV20">
        <f>SUMIFS('MoodysData(Raw)'!AY$2:AY$180,'MoodysData(Raw)'!$B$2:$B$180,"=GDP",'MoodysData(Raw)'!$D$2:$D$180,"="&amp;'Implied Productivity Ratios'!$C20)/SUMIFS('MoodysData(Raw)'!AY$2:AY$180,'MoodysData(Raw)'!$B$2:$B$180,"=EMP",'MoodysData(Raw)'!$D$2:$D$180,"="&amp;'Implied Productivity Ratios'!$C20)</f>
        <v>291.71588916169765</v>
      </c>
      <c r="AW20">
        <f>SUMIFS('MoodysData(Raw)'!AZ$2:AZ$180,'MoodysData(Raw)'!$B$2:$B$180,"=GDP",'MoodysData(Raw)'!$D$2:$D$180,"="&amp;'Implied Productivity Ratios'!$C20)/SUMIFS('MoodysData(Raw)'!AZ$2:AZ$180,'MoodysData(Raw)'!$B$2:$B$180,"=EMP",'MoodysData(Raw)'!$D$2:$D$180,"="&amp;'Implied Productivity Ratios'!$C20)</f>
        <v>301.77236386470878</v>
      </c>
      <c r="AX20">
        <f>SUMIFS('MoodysData(Raw)'!BA$2:BA$180,'MoodysData(Raw)'!$B$2:$B$180,"=GDP",'MoodysData(Raw)'!$D$2:$D$180,"="&amp;'Implied Productivity Ratios'!$C20)/SUMIFS('MoodysData(Raw)'!BA$2:BA$180,'MoodysData(Raw)'!$B$2:$B$180,"=EMP",'MoodysData(Raw)'!$D$2:$D$180,"="&amp;'Implied Productivity Ratios'!$C20)</f>
        <v>312.29165325683903</v>
      </c>
      <c r="AY20">
        <f>SUMIFS('MoodysData(Raw)'!BB$2:BB$180,'MoodysData(Raw)'!$B$2:$B$180,"=GDP",'MoodysData(Raw)'!$D$2:$D$180,"="&amp;'Implied Productivity Ratios'!$C20)/SUMIFS('MoodysData(Raw)'!BB$2:BB$180,'MoodysData(Raw)'!$B$2:$B$180,"=EMP",'MoodysData(Raw)'!$D$2:$D$180,"="&amp;'Implied Productivity Ratios'!$C20)</f>
        <v>323.2479654582142</v>
      </c>
      <c r="AZ20">
        <f>SUMIFS('MoodysData(Raw)'!BC$2:BC$180,'MoodysData(Raw)'!$B$2:$B$180,"=GDP",'MoodysData(Raw)'!$D$2:$D$180,"="&amp;'Implied Productivity Ratios'!$C20)/SUMIFS('MoodysData(Raw)'!BC$2:BC$180,'MoodysData(Raw)'!$B$2:$B$180,"=EMP",'MoodysData(Raw)'!$D$2:$D$180,"="&amp;'Implied Productivity Ratios'!$C20)</f>
        <v>334.76668742430411</v>
      </c>
      <c r="BA20">
        <f>SUMIFS('MoodysData(Raw)'!BD$2:BD$180,'MoodysData(Raw)'!$B$2:$B$180,"=GDP",'MoodysData(Raw)'!$D$2:$D$180,"="&amp;'Implied Productivity Ratios'!$C20)/SUMIFS('MoodysData(Raw)'!BD$2:BD$180,'MoodysData(Raw)'!$B$2:$B$180,"=EMP",'MoodysData(Raw)'!$D$2:$D$180,"="&amp;'Implied Productivity Ratios'!$C20)</f>
        <v>346.87986256784831</v>
      </c>
      <c r="BB20">
        <f>SUMIFS('MoodysData(Raw)'!BE$2:BE$180,'MoodysData(Raw)'!$B$2:$B$180,"=GDP",'MoodysData(Raw)'!$D$2:$D$180,"="&amp;'Implied Productivity Ratios'!$C20)/SUMIFS('MoodysData(Raw)'!BE$2:BE$180,'MoodysData(Raw)'!$B$2:$B$180,"=EMP",'MoodysData(Raw)'!$D$2:$D$180,"="&amp;'Implied Productivity Ratios'!$C20)</f>
        <v>359.68889244657447</v>
      </c>
      <c r="BC20">
        <f>SUMIFS('MoodysData(Raw)'!BF$2:BF$180,'MoodysData(Raw)'!$B$2:$B$180,"=GDP",'MoodysData(Raw)'!$D$2:$D$180,"="&amp;'Implied Productivity Ratios'!$C20)/SUMIFS('MoodysData(Raw)'!BF$2:BF$180,'MoodysData(Raw)'!$B$2:$B$180,"=EMP",'MoodysData(Raw)'!$D$2:$D$180,"="&amp;'Implied Productivity Ratios'!$C20)</f>
        <v>373.16674712344894</v>
      </c>
      <c r="BD20" s="5">
        <f t="shared" ref="BD20:BH20" si="14">BC20+($BC20-$AX20)/5</f>
        <v>385.34176589677094</v>
      </c>
      <c r="BE20" s="5">
        <f t="shared" si="14"/>
        <v>397.51678467009293</v>
      </c>
      <c r="BF20" s="5">
        <f t="shared" si="14"/>
        <v>409.69180344341493</v>
      </c>
      <c r="BG20" s="5">
        <f t="shared" si="14"/>
        <v>421.86682221673692</v>
      </c>
      <c r="BH20" s="5">
        <f t="shared" si="14"/>
        <v>434.04184099005892</v>
      </c>
    </row>
    <row r="21" spans="3:60">
      <c r="C21">
        <v>323</v>
      </c>
      <c r="D21" t="s">
        <v>67</v>
      </c>
      <c r="E21">
        <f>SUMIFS('MoodysData(Raw)'!H$2:H$180,'MoodysData(Raw)'!$B$2:$B$180,"=GDP",'MoodysData(Raw)'!$D$2:$D$180,"="&amp;'Implied Productivity Ratios'!$C21)/SUMIFS('MoodysData(Raw)'!H$2:H$180,'MoodysData(Raw)'!$B$2:$B$180,"=EMP",'MoodysData(Raw)'!$D$2:$D$180,"="&amp;'Implied Productivity Ratios'!$C21)</f>
        <v>65.898044149569955</v>
      </c>
      <c r="F21">
        <f>SUMIFS('MoodysData(Raw)'!I$2:I$180,'MoodysData(Raw)'!$B$2:$B$180,"=GDP",'MoodysData(Raw)'!$D$2:$D$180,"="&amp;'Implied Productivity Ratios'!$C21)/SUMIFS('MoodysData(Raw)'!I$2:I$180,'MoodysData(Raw)'!$B$2:$B$180,"=EMP",'MoodysData(Raw)'!$D$2:$D$180,"="&amp;'Implied Productivity Ratios'!$C21)</f>
        <v>68.175692821263695</v>
      </c>
      <c r="G21">
        <f>SUMIFS('MoodysData(Raw)'!J$2:J$180,'MoodysData(Raw)'!$B$2:$B$180,"=GDP",'MoodysData(Raw)'!$D$2:$D$180,"="&amp;'Implied Productivity Ratios'!$C21)/SUMIFS('MoodysData(Raw)'!J$2:J$180,'MoodysData(Raw)'!$B$2:$B$180,"=EMP",'MoodysData(Raw)'!$D$2:$D$180,"="&amp;'Implied Productivity Ratios'!$C21)</f>
        <v>71.107305074043666</v>
      </c>
      <c r="H21">
        <f>SUMIFS('MoodysData(Raw)'!K$2:K$180,'MoodysData(Raw)'!$B$2:$B$180,"=GDP",'MoodysData(Raw)'!$D$2:$D$180,"="&amp;'Implied Productivity Ratios'!$C21)/SUMIFS('MoodysData(Raw)'!K$2:K$180,'MoodysData(Raw)'!$B$2:$B$180,"=EMP",'MoodysData(Raw)'!$D$2:$D$180,"="&amp;'Implied Productivity Ratios'!$C21)</f>
        <v>73.099222781315703</v>
      </c>
      <c r="I21">
        <f>SUMIFS('MoodysData(Raw)'!L$2:L$180,'MoodysData(Raw)'!$B$2:$B$180,"=GDP",'MoodysData(Raw)'!$D$2:$D$180,"="&amp;'Implied Productivity Ratios'!$C21)/SUMIFS('MoodysData(Raw)'!L$2:L$180,'MoodysData(Raw)'!$B$2:$B$180,"=EMP",'MoodysData(Raw)'!$D$2:$D$180,"="&amp;'Implied Productivity Ratios'!$C21)</f>
        <v>72.780124711770185</v>
      </c>
      <c r="J21">
        <f>SUMIFS('MoodysData(Raw)'!M$2:M$180,'MoodysData(Raw)'!$B$2:$B$180,"=GDP",'MoodysData(Raw)'!$D$2:$D$180,"="&amp;'Implied Productivity Ratios'!$C21)/SUMIFS('MoodysData(Raw)'!M$2:M$180,'MoodysData(Raw)'!$B$2:$B$180,"=EMP",'MoodysData(Raw)'!$D$2:$D$180,"="&amp;'Implied Productivity Ratios'!$C21)</f>
        <v>79.10426866175581</v>
      </c>
      <c r="K21">
        <f>SUMIFS('MoodysData(Raw)'!N$2:N$180,'MoodysData(Raw)'!$B$2:$B$180,"=GDP",'MoodysData(Raw)'!$D$2:$D$180,"="&amp;'Implied Productivity Ratios'!$C21)/SUMIFS('MoodysData(Raw)'!N$2:N$180,'MoodysData(Raw)'!$B$2:$B$180,"=EMP",'MoodysData(Raw)'!$D$2:$D$180,"="&amp;'Implied Productivity Ratios'!$C21)</f>
        <v>82.190317408064217</v>
      </c>
      <c r="L21">
        <f>SUMIFS('MoodysData(Raw)'!O$2:O$180,'MoodysData(Raw)'!$B$2:$B$180,"=GDP",'MoodysData(Raw)'!$D$2:$D$180,"="&amp;'Implied Productivity Ratios'!$C21)/SUMIFS('MoodysData(Raw)'!O$2:O$180,'MoodysData(Raw)'!$B$2:$B$180,"=EMP",'MoodysData(Raw)'!$D$2:$D$180,"="&amp;'Implied Productivity Ratios'!$C21)</f>
        <v>84.466249505363805</v>
      </c>
      <c r="M21">
        <f>SUMIFS('MoodysData(Raw)'!P$2:P$180,'MoodysData(Raw)'!$B$2:$B$180,"=GDP",'MoodysData(Raw)'!$D$2:$D$180,"="&amp;'Implied Productivity Ratios'!$C21)/SUMIFS('MoodysData(Raw)'!P$2:P$180,'MoodysData(Raw)'!$B$2:$B$180,"=EMP",'MoodysData(Raw)'!$D$2:$D$180,"="&amp;'Implied Productivity Ratios'!$C21)</f>
        <v>87.831654182930677</v>
      </c>
      <c r="N21">
        <f>SUMIFS('MoodysData(Raw)'!Q$2:Q$180,'MoodysData(Raw)'!$B$2:$B$180,"=GDP",'MoodysData(Raw)'!$D$2:$D$180,"="&amp;'Implied Productivity Ratios'!$C21)/SUMIFS('MoodysData(Raw)'!Q$2:Q$180,'MoodysData(Raw)'!$B$2:$B$180,"=EMP",'MoodysData(Raw)'!$D$2:$D$180,"="&amp;'Implied Productivity Ratios'!$C21)</f>
        <v>88.221818277847206</v>
      </c>
      <c r="O21">
        <f>SUMIFS('MoodysData(Raw)'!R$2:R$180,'MoodysData(Raw)'!$B$2:$B$180,"=GDP",'MoodysData(Raw)'!$D$2:$D$180,"="&amp;'Implied Productivity Ratios'!$C21)/SUMIFS('MoodysData(Raw)'!R$2:R$180,'MoodysData(Raw)'!$B$2:$B$180,"=EMP",'MoodysData(Raw)'!$D$2:$D$180,"="&amp;'Implied Productivity Ratios'!$C21)</f>
        <v>88.974855360734324</v>
      </c>
      <c r="P21">
        <f>SUMIFS('MoodysData(Raw)'!S$2:S$180,'MoodysData(Raw)'!$B$2:$B$180,"=GDP",'MoodysData(Raw)'!$D$2:$D$180,"="&amp;'Implied Productivity Ratios'!$C21)/SUMIFS('MoodysData(Raw)'!S$2:S$180,'MoodysData(Raw)'!$B$2:$B$180,"=EMP",'MoodysData(Raw)'!$D$2:$D$180,"="&amp;'Implied Productivity Ratios'!$C21)</f>
        <v>91.222635458655319</v>
      </c>
      <c r="Q21">
        <f>SUMIFS('MoodysData(Raw)'!T$2:T$180,'MoodysData(Raw)'!$B$2:$B$180,"=GDP",'MoodysData(Raw)'!$D$2:$D$180,"="&amp;'Implied Productivity Ratios'!$C21)/SUMIFS('MoodysData(Raw)'!T$2:T$180,'MoodysData(Raw)'!$B$2:$B$180,"=EMP",'MoodysData(Raw)'!$D$2:$D$180,"="&amp;'Implied Productivity Ratios'!$C21)</f>
        <v>91.896797144971458</v>
      </c>
      <c r="R21">
        <f>SUMIFS('MoodysData(Raw)'!U$2:U$180,'MoodysData(Raw)'!$B$2:$B$180,"=GDP",'MoodysData(Raw)'!$D$2:$D$180,"="&amp;'Implied Productivity Ratios'!$C21)/SUMIFS('MoodysData(Raw)'!U$2:U$180,'MoodysData(Raw)'!$B$2:$B$180,"=EMP",'MoodysData(Raw)'!$D$2:$D$180,"="&amp;'Implied Productivity Ratios'!$C21)</f>
        <v>96.990135797419924</v>
      </c>
      <c r="S21">
        <f>SUMIFS('MoodysData(Raw)'!V$2:V$180,'MoodysData(Raw)'!$B$2:$B$180,"=GDP",'MoodysData(Raw)'!$D$2:$D$180,"="&amp;'Implied Productivity Ratios'!$C21)/SUMIFS('MoodysData(Raw)'!V$2:V$180,'MoodysData(Raw)'!$B$2:$B$180,"=EMP",'MoodysData(Raw)'!$D$2:$D$180,"="&amp;'Implied Productivity Ratios'!$C21)</f>
        <v>95.494300372148729</v>
      </c>
      <c r="T21">
        <f>SUMIFS('MoodysData(Raw)'!W$2:W$180,'MoodysData(Raw)'!$B$2:$B$180,"=GDP",'MoodysData(Raw)'!$D$2:$D$180,"="&amp;'Implied Productivity Ratios'!$C21)/SUMIFS('MoodysData(Raw)'!W$2:W$180,'MoodysData(Raw)'!$B$2:$B$180,"=EMP",'MoodysData(Raw)'!$D$2:$D$180,"="&amp;'Implied Productivity Ratios'!$C21)</f>
        <v>93.309118715350778</v>
      </c>
      <c r="U21">
        <f>SUMIFS('MoodysData(Raw)'!X$2:X$180,'MoodysData(Raw)'!$B$2:$B$180,"=GDP",'MoodysData(Raw)'!$D$2:$D$180,"="&amp;'Implied Productivity Ratios'!$C21)/SUMIFS('MoodysData(Raw)'!X$2:X$180,'MoodysData(Raw)'!$B$2:$B$180,"=EMP",'MoodysData(Raw)'!$D$2:$D$180,"="&amp;'Implied Productivity Ratios'!$C21)</f>
        <v>101.56369627499411</v>
      </c>
      <c r="V21">
        <f>SUMIFS('MoodysData(Raw)'!Y$2:Y$180,'MoodysData(Raw)'!$B$2:$B$180,"=GDP",'MoodysData(Raw)'!$D$2:$D$180,"="&amp;'Implied Productivity Ratios'!$C21)/SUMIFS('MoodysData(Raw)'!Y$2:Y$180,'MoodysData(Raw)'!$B$2:$B$180,"=EMP",'MoodysData(Raw)'!$D$2:$D$180,"="&amp;'Implied Productivity Ratios'!$C21)</f>
        <v>90.393874750400798</v>
      </c>
      <c r="W21">
        <f>SUMIFS('MoodysData(Raw)'!Z$2:Z$180,'MoodysData(Raw)'!$B$2:$B$180,"=GDP",'MoodysData(Raw)'!$D$2:$D$180,"="&amp;'Implied Productivity Ratios'!$C21)/SUMIFS('MoodysData(Raw)'!Z$2:Z$180,'MoodysData(Raw)'!$B$2:$B$180,"=EMP",'MoodysData(Raw)'!$D$2:$D$180,"="&amp;'Implied Productivity Ratios'!$C21)</f>
        <v>82.904852508748348</v>
      </c>
      <c r="X21">
        <f>SUMIFS('MoodysData(Raw)'!AA$2:AA$180,'MoodysData(Raw)'!$B$2:$B$180,"=GDP",'MoodysData(Raw)'!$D$2:$D$180,"="&amp;'Implied Productivity Ratios'!$C21)/SUMIFS('MoodysData(Raw)'!AA$2:AA$180,'MoodysData(Raw)'!$B$2:$B$180,"=EMP",'MoodysData(Raw)'!$D$2:$D$180,"="&amp;'Implied Productivity Ratios'!$C21)</f>
        <v>81.302616082425331</v>
      </c>
      <c r="Y21">
        <f>SUMIFS('MoodysData(Raw)'!AB$2:AB$180,'MoodysData(Raw)'!$B$2:$B$180,"=GDP",'MoodysData(Raw)'!$D$2:$D$180,"="&amp;'Implied Productivity Ratios'!$C21)/SUMIFS('MoodysData(Raw)'!AB$2:AB$180,'MoodysData(Raw)'!$B$2:$B$180,"=EMP",'MoodysData(Raw)'!$D$2:$D$180,"="&amp;'Implied Productivity Ratios'!$C21)</f>
        <v>81.473657402641024</v>
      </c>
      <c r="Z21">
        <f>SUMIFS('MoodysData(Raw)'!AC$2:AC$180,'MoodysData(Raw)'!$B$2:$B$180,"=GDP",'MoodysData(Raw)'!$D$2:$D$180,"="&amp;'Implied Productivity Ratios'!$C21)/SUMIFS('MoodysData(Raw)'!AC$2:AC$180,'MoodysData(Raw)'!$B$2:$B$180,"=EMP",'MoodysData(Raw)'!$D$2:$D$180,"="&amp;'Implied Productivity Ratios'!$C21)</f>
        <v>80.472657388416295</v>
      </c>
      <c r="AA21">
        <f>SUMIFS('MoodysData(Raw)'!AD$2:AD$180,'MoodysData(Raw)'!$B$2:$B$180,"=GDP",'MoodysData(Raw)'!$D$2:$D$180,"="&amp;'Implied Productivity Ratios'!$C21)/SUMIFS('MoodysData(Raw)'!AD$2:AD$180,'MoodysData(Raw)'!$B$2:$B$180,"=EMP",'MoodysData(Raw)'!$D$2:$D$180,"="&amp;'Implied Productivity Ratios'!$C21)</f>
        <v>79.848283888902841</v>
      </c>
      <c r="AB21">
        <f>SUMIFS('MoodysData(Raw)'!AE$2:AE$180,'MoodysData(Raw)'!$B$2:$B$180,"=GDP",'MoodysData(Raw)'!$D$2:$D$180,"="&amp;'Implied Productivity Ratios'!$C21)/SUMIFS('MoodysData(Raw)'!AE$2:AE$180,'MoodysData(Raw)'!$B$2:$B$180,"=EMP",'MoodysData(Raw)'!$D$2:$D$180,"="&amp;'Implied Productivity Ratios'!$C21)</f>
        <v>79.909439600509529</v>
      </c>
      <c r="AC21">
        <f>SUMIFS('MoodysData(Raw)'!AF$2:AF$180,'MoodysData(Raw)'!$B$2:$B$180,"=GDP",'MoodysData(Raw)'!$D$2:$D$180,"="&amp;'Implied Productivity Ratios'!$C21)/SUMIFS('MoodysData(Raw)'!AF$2:AF$180,'MoodysData(Raw)'!$B$2:$B$180,"=EMP",'MoodysData(Raw)'!$D$2:$D$180,"="&amp;'Implied Productivity Ratios'!$C21)</f>
        <v>80.413573610227829</v>
      </c>
      <c r="AD21">
        <f>SUMIFS('MoodysData(Raw)'!AG$2:AG$180,'MoodysData(Raw)'!$B$2:$B$180,"=GDP",'MoodysData(Raw)'!$D$2:$D$180,"="&amp;'Implied Productivity Ratios'!$C21)/SUMIFS('MoodysData(Raw)'!AG$2:AG$180,'MoodysData(Raw)'!$B$2:$B$180,"=EMP",'MoodysData(Raw)'!$D$2:$D$180,"="&amp;'Implied Productivity Ratios'!$C21)</f>
        <v>81.284510699050699</v>
      </c>
      <c r="AE21">
        <f>SUMIFS('MoodysData(Raw)'!AH$2:AH$180,'MoodysData(Raw)'!$B$2:$B$180,"=GDP",'MoodysData(Raw)'!$D$2:$D$180,"="&amp;'Implied Productivity Ratios'!$C21)/SUMIFS('MoodysData(Raw)'!AH$2:AH$180,'MoodysData(Raw)'!$B$2:$B$180,"=EMP",'MoodysData(Raw)'!$D$2:$D$180,"="&amp;'Implied Productivity Ratios'!$C21)</f>
        <v>82.205649353289303</v>
      </c>
      <c r="AF21">
        <f>SUMIFS('MoodysData(Raw)'!AI$2:AI$180,'MoodysData(Raw)'!$B$2:$B$180,"=GDP",'MoodysData(Raw)'!$D$2:$D$180,"="&amp;'Implied Productivity Ratios'!$C21)/SUMIFS('MoodysData(Raw)'!AI$2:AI$180,'MoodysData(Raw)'!$B$2:$B$180,"=EMP",'MoodysData(Raw)'!$D$2:$D$180,"="&amp;'Implied Productivity Ratios'!$C21)</f>
        <v>83.181403301921392</v>
      </c>
      <c r="AG21">
        <f>SUMIFS('MoodysData(Raw)'!AJ$2:AJ$180,'MoodysData(Raw)'!$B$2:$B$180,"=GDP",'MoodysData(Raw)'!$D$2:$D$180,"="&amp;'Implied Productivity Ratios'!$C21)/SUMIFS('MoodysData(Raw)'!AJ$2:AJ$180,'MoodysData(Raw)'!$B$2:$B$180,"=EMP",'MoodysData(Raw)'!$D$2:$D$180,"="&amp;'Implied Productivity Ratios'!$C21)</f>
        <v>84.142745938394413</v>
      </c>
      <c r="AH21">
        <f>SUMIFS('MoodysData(Raw)'!AK$2:AK$180,'MoodysData(Raw)'!$B$2:$B$180,"=GDP",'MoodysData(Raw)'!$D$2:$D$180,"="&amp;'Implied Productivity Ratios'!$C21)/SUMIFS('MoodysData(Raw)'!AK$2:AK$180,'MoodysData(Raw)'!$B$2:$B$180,"=EMP",'MoodysData(Raw)'!$D$2:$D$180,"="&amp;'Implied Productivity Ratios'!$C21)</f>
        <v>84.961115819883489</v>
      </c>
      <c r="AI21">
        <f>SUMIFS('MoodysData(Raw)'!AL$2:AL$180,'MoodysData(Raw)'!$B$2:$B$180,"=GDP",'MoodysData(Raw)'!$D$2:$D$180,"="&amp;'Implied Productivity Ratios'!$C21)/SUMIFS('MoodysData(Raw)'!AL$2:AL$180,'MoodysData(Raw)'!$B$2:$B$180,"=EMP",'MoodysData(Raw)'!$D$2:$D$180,"="&amp;'Implied Productivity Ratios'!$C21)</f>
        <v>85.647679299520107</v>
      </c>
      <c r="AJ21">
        <f>SUMIFS('MoodysData(Raw)'!AM$2:AM$180,'MoodysData(Raw)'!$B$2:$B$180,"=GDP",'MoodysData(Raw)'!$D$2:$D$180,"="&amp;'Implied Productivity Ratios'!$C21)/SUMIFS('MoodysData(Raw)'!AM$2:AM$180,'MoodysData(Raw)'!$B$2:$B$180,"=EMP",'MoodysData(Raw)'!$D$2:$D$180,"="&amp;'Implied Productivity Ratios'!$C21)</f>
        <v>86.264926321138205</v>
      </c>
      <c r="AK21">
        <f>SUMIFS('MoodysData(Raw)'!AN$2:AN$180,'MoodysData(Raw)'!$B$2:$B$180,"=GDP",'MoodysData(Raw)'!$D$2:$D$180,"="&amp;'Implied Productivity Ratios'!$C21)/SUMIFS('MoodysData(Raw)'!AN$2:AN$180,'MoodysData(Raw)'!$B$2:$B$180,"=EMP",'MoodysData(Raw)'!$D$2:$D$180,"="&amp;'Implied Productivity Ratios'!$C21)</f>
        <v>86.835288253155781</v>
      </c>
      <c r="AL21">
        <f>SUMIFS('MoodysData(Raw)'!AO$2:AO$180,'MoodysData(Raw)'!$B$2:$B$180,"=GDP",'MoodysData(Raw)'!$D$2:$D$180,"="&amp;'Implied Productivity Ratios'!$C21)/SUMIFS('MoodysData(Raw)'!AO$2:AO$180,'MoodysData(Raw)'!$B$2:$B$180,"=EMP",'MoodysData(Raw)'!$D$2:$D$180,"="&amp;'Implied Productivity Ratios'!$C21)</f>
        <v>87.296449913628393</v>
      </c>
      <c r="AM21">
        <f>SUMIFS('MoodysData(Raw)'!AP$2:AP$180,'MoodysData(Raw)'!$B$2:$B$180,"=GDP",'MoodysData(Raw)'!$D$2:$D$180,"="&amp;'Implied Productivity Ratios'!$C21)/SUMIFS('MoodysData(Raw)'!AP$2:AP$180,'MoodysData(Raw)'!$B$2:$B$180,"=EMP",'MoodysData(Raw)'!$D$2:$D$180,"="&amp;'Implied Productivity Ratios'!$C21)</f>
        <v>87.71225058132589</v>
      </c>
      <c r="AN21">
        <f>SUMIFS('MoodysData(Raw)'!AQ$2:AQ$180,'MoodysData(Raw)'!$B$2:$B$180,"=GDP",'MoodysData(Raw)'!$D$2:$D$180,"="&amp;'Implied Productivity Ratios'!$C21)/SUMIFS('MoodysData(Raw)'!AQ$2:AQ$180,'MoodysData(Raw)'!$B$2:$B$180,"=EMP",'MoodysData(Raw)'!$D$2:$D$180,"="&amp;'Implied Productivity Ratios'!$C21)</f>
        <v>88.083013738232381</v>
      </c>
      <c r="AO21">
        <f>SUMIFS('MoodysData(Raw)'!AR$2:AR$180,'MoodysData(Raw)'!$B$2:$B$180,"=GDP",'MoodysData(Raw)'!$D$2:$D$180,"="&amp;'Implied Productivity Ratios'!$C21)/SUMIFS('MoodysData(Raw)'!AR$2:AR$180,'MoodysData(Raw)'!$B$2:$B$180,"=EMP",'MoodysData(Raw)'!$D$2:$D$180,"="&amp;'Implied Productivity Ratios'!$C21)</f>
        <v>88.411858583551208</v>
      </c>
      <c r="AP21">
        <f>SUMIFS('MoodysData(Raw)'!AS$2:AS$180,'MoodysData(Raw)'!$B$2:$B$180,"=GDP",'MoodysData(Raw)'!$D$2:$D$180,"="&amp;'Implied Productivity Ratios'!$C21)/SUMIFS('MoodysData(Raw)'!AS$2:AS$180,'MoodysData(Raw)'!$B$2:$B$180,"=EMP",'MoodysData(Raw)'!$D$2:$D$180,"="&amp;'Implied Productivity Ratios'!$C21)</f>
        <v>88.681249903174333</v>
      </c>
      <c r="AQ21">
        <f>SUMIFS('MoodysData(Raw)'!AT$2:AT$180,'MoodysData(Raw)'!$B$2:$B$180,"=GDP",'MoodysData(Raw)'!$D$2:$D$180,"="&amp;'Implied Productivity Ratios'!$C21)/SUMIFS('MoodysData(Raw)'!AT$2:AT$180,'MoodysData(Raw)'!$B$2:$B$180,"=EMP",'MoodysData(Raw)'!$D$2:$D$180,"="&amp;'Implied Productivity Ratios'!$C21)</f>
        <v>88.908957429269137</v>
      </c>
      <c r="AR21">
        <f>SUMIFS('MoodysData(Raw)'!AU$2:AU$180,'MoodysData(Raw)'!$B$2:$B$180,"=GDP",'MoodysData(Raw)'!$D$2:$D$180,"="&amp;'Implied Productivity Ratios'!$C21)/SUMIFS('MoodysData(Raw)'!AU$2:AU$180,'MoodysData(Raw)'!$B$2:$B$180,"=EMP",'MoodysData(Raw)'!$D$2:$D$180,"="&amp;'Implied Productivity Ratios'!$C21)</f>
        <v>89.108386355188642</v>
      </c>
      <c r="AS21">
        <f>SUMIFS('MoodysData(Raw)'!AV$2:AV$180,'MoodysData(Raw)'!$B$2:$B$180,"=GDP",'MoodysData(Raw)'!$D$2:$D$180,"="&amp;'Implied Productivity Ratios'!$C21)/SUMIFS('MoodysData(Raw)'!AV$2:AV$180,'MoodysData(Raw)'!$B$2:$B$180,"=EMP",'MoodysData(Raw)'!$D$2:$D$180,"="&amp;'Implied Productivity Ratios'!$C21)</f>
        <v>89.290201367542821</v>
      </c>
      <c r="AT21">
        <f>SUMIFS('MoodysData(Raw)'!AW$2:AW$180,'MoodysData(Raw)'!$B$2:$B$180,"=GDP",'MoodysData(Raw)'!$D$2:$D$180,"="&amp;'Implied Productivity Ratios'!$C21)/SUMIFS('MoodysData(Raw)'!AW$2:AW$180,'MoodysData(Raw)'!$B$2:$B$180,"=EMP",'MoodysData(Raw)'!$D$2:$D$180,"="&amp;'Implied Productivity Ratios'!$C21)</f>
        <v>89.443499790524129</v>
      </c>
      <c r="AU21">
        <f>SUMIFS('MoodysData(Raw)'!AX$2:AX$180,'MoodysData(Raw)'!$B$2:$B$180,"=GDP",'MoodysData(Raw)'!$D$2:$D$180,"="&amp;'Implied Productivity Ratios'!$C21)/SUMIFS('MoodysData(Raw)'!AX$2:AX$180,'MoodysData(Raw)'!$B$2:$B$180,"=EMP",'MoodysData(Raw)'!$D$2:$D$180,"="&amp;'Implied Productivity Ratios'!$C21)</f>
        <v>89.588416553565608</v>
      </c>
      <c r="AV21">
        <f>SUMIFS('MoodysData(Raw)'!AY$2:AY$180,'MoodysData(Raw)'!$B$2:$B$180,"=GDP",'MoodysData(Raw)'!$D$2:$D$180,"="&amp;'Implied Productivity Ratios'!$C21)/SUMIFS('MoodysData(Raw)'!AY$2:AY$180,'MoodysData(Raw)'!$B$2:$B$180,"=EMP",'MoodysData(Raw)'!$D$2:$D$180,"="&amp;'Implied Productivity Ratios'!$C21)</f>
        <v>89.731264475176559</v>
      </c>
      <c r="AW21">
        <f>SUMIFS('MoodysData(Raw)'!AZ$2:AZ$180,'MoodysData(Raw)'!$B$2:$B$180,"=GDP",'MoodysData(Raw)'!$D$2:$D$180,"="&amp;'Implied Productivity Ratios'!$C21)/SUMIFS('MoodysData(Raw)'!AZ$2:AZ$180,'MoodysData(Raw)'!$B$2:$B$180,"=EMP",'MoodysData(Raw)'!$D$2:$D$180,"="&amp;'Implied Productivity Ratios'!$C21)</f>
        <v>89.834052569635162</v>
      </c>
      <c r="AX21">
        <f>SUMIFS('MoodysData(Raw)'!BA$2:BA$180,'MoodysData(Raw)'!$B$2:$B$180,"=GDP",'MoodysData(Raw)'!$D$2:$D$180,"="&amp;'Implied Productivity Ratios'!$C21)/SUMIFS('MoodysData(Raw)'!BA$2:BA$180,'MoodysData(Raw)'!$B$2:$B$180,"=EMP",'MoodysData(Raw)'!$D$2:$D$180,"="&amp;'Implied Productivity Ratios'!$C21)</f>
        <v>89.899159690766211</v>
      </c>
      <c r="AY21">
        <f>SUMIFS('MoodysData(Raw)'!BB$2:BB$180,'MoodysData(Raw)'!$B$2:$B$180,"=GDP",'MoodysData(Raw)'!$D$2:$D$180,"="&amp;'Implied Productivity Ratios'!$C21)/SUMIFS('MoodysData(Raw)'!BB$2:BB$180,'MoodysData(Raw)'!$B$2:$B$180,"=EMP",'MoodysData(Raw)'!$D$2:$D$180,"="&amp;'Implied Productivity Ratios'!$C21)</f>
        <v>89.918274188315337</v>
      </c>
      <c r="AZ21">
        <f>SUMIFS('MoodysData(Raw)'!BC$2:BC$180,'MoodysData(Raw)'!$B$2:$B$180,"=GDP",'MoodysData(Raw)'!$D$2:$D$180,"="&amp;'Implied Productivity Ratios'!$C21)/SUMIFS('MoodysData(Raw)'!BC$2:BC$180,'MoodysData(Raw)'!$B$2:$B$180,"=EMP",'MoodysData(Raw)'!$D$2:$D$180,"="&amp;'Implied Productivity Ratios'!$C21)</f>
        <v>89.951600581502177</v>
      </c>
      <c r="BA21">
        <f>SUMIFS('MoodysData(Raw)'!BD$2:BD$180,'MoodysData(Raw)'!$B$2:$B$180,"=GDP",'MoodysData(Raw)'!$D$2:$D$180,"="&amp;'Implied Productivity Ratios'!$C21)/SUMIFS('MoodysData(Raw)'!BD$2:BD$180,'MoodysData(Raw)'!$B$2:$B$180,"=EMP",'MoodysData(Raw)'!$D$2:$D$180,"="&amp;'Implied Productivity Ratios'!$C21)</f>
        <v>89.9920041661141</v>
      </c>
      <c r="BB21">
        <f>SUMIFS('MoodysData(Raw)'!BE$2:BE$180,'MoodysData(Raw)'!$B$2:$B$180,"=GDP",'MoodysData(Raw)'!$D$2:$D$180,"="&amp;'Implied Productivity Ratios'!$C21)/SUMIFS('MoodysData(Raw)'!BE$2:BE$180,'MoodysData(Raw)'!$B$2:$B$180,"=EMP",'MoodysData(Raw)'!$D$2:$D$180,"="&amp;'Implied Productivity Ratios'!$C21)</f>
        <v>90.056018834226336</v>
      </c>
      <c r="BC21">
        <f>SUMIFS('MoodysData(Raw)'!BF$2:BF$180,'MoodysData(Raw)'!$B$2:$B$180,"=GDP",'MoodysData(Raw)'!$D$2:$D$180,"="&amp;'Implied Productivity Ratios'!$C21)/SUMIFS('MoodysData(Raw)'!BF$2:BF$180,'MoodysData(Raw)'!$B$2:$B$180,"=EMP",'MoodysData(Raw)'!$D$2:$D$180,"="&amp;'Implied Productivity Ratios'!$C21)</f>
        <v>90.146204436444975</v>
      </c>
      <c r="BD21" s="5">
        <f t="shared" ref="BD21:BH21" si="15">BC21+($BC21-$AX21)/5</f>
        <v>90.195613385580728</v>
      </c>
      <c r="BE21" s="5">
        <f t="shared" si="15"/>
        <v>90.245022334716481</v>
      </c>
      <c r="BF21" s="5">
        <f t="shared" si="15"/>
        <v>90.294431283852234</v>
      </c>
      <c r="BG21" s="5">
        <f t="shared" si="15"/>
        <v>90.343840232987986</v>
      </c>
      <c r="BH21" s="5">
        <f t="shared" si="15"/>
        <v>90.393249182123739</v>
      </c>
    </row>
    <row r="22" spans="3:60">
      <c r="C22">
        <v>324</v>
      </c>
      <c r="D22" t="s">
        <v>71</v>
      </c>
      <c r="E22">
        <f>SUMIFS('MoodysData(Raw)'!H$2:H$180,'MoodysData(Raw)'!$B$2:$B$180,"=GDP",'MoodysData(Raw)'!$D$2:$D$180,"="&amp;'Implied Productivity Ratios'!$C22)/SUMIFS('MoodysData(Raw)'!H$2:H$180,'MoodysData(Raw)'!$B$2:$B$180,"=EMP",'MoodysData(Raw)'!$D$2:$D$180,"="&amp;'Implied Productivity Ratios'!$C22)</f>
        <v>1473.8869924541864</v>
      </c>
      <c r="F22">
        <f>SUMIFS('MoodysData(Raw)'!I$2:I$180,'MoodysData(Raw)'!$B$2:$B$180,"=GDP",'MoodysData(Raw)'!$D$2:$D$180,"="&amp;'Implied Productivity Ratios'!$C22)/SUMIFS('MoodysData(Raw)'!I$2:I$180,'MoodysData(Raw)'!$B$2:$B$180,"=EMP",'MoodysData(Raw)'!$D$2:$D$180,"="&amp;'Implied Productivity Ratios'!$C22)</f>
        <v>1278.0216838441977</v>
      </c>
      <c r="G22">
        <f>SUMIFS('MoodysData(Raw)'!J$2:J$180,'MoodysData(Raw)'!$B$2:$B$180,"=GDP",'MoodysData(Raw)'!$D$2:$D$180,"="&amp;'Implied Productivity Ratios'!$C22)/SUMIFS('MoodysData(Raw)'!J$2:J$180,'MoodysData(Raw)'!$B$2:$B$180,"=EMP",'MoodysData(Raw)'!$D$2:$D$180,"="&amp;'Implied Productivity Ratios'!$C22)</f>
        <v>1284.2572663481897</v>
      </c>
      <c r="H22">
        <f>SUMIFS('MoodysData(Raw)'!K$2:K$180,'MoodysData(Raw)'!$B$2:$B$180,"=GDP",'MoodysData(Raw)'!$D$2:$D$180,"="&amp;'Implied Productivity Ratios'!$C22)/SUMIFS('MoodysData(Raw)'!K$2:K$180,'MoodysData(Raw)'!$B$2:$B$180,"=EMP",'MoodysData(Raw)'!$D$2:$D$180,"="&amp;'Implied Productivity Ratios'!$C22)</f>
        <v>1375.6796082668245</v>
      </c>
      <c r="I22">
        <f>SUMIFS('MoodysData(Raw)'!L$2:L$180,'MoodysData(Raw)'!$B$2:$B$180,"=GDP",'MoodysData(Raw)'!$D$2:$D$180,"="&amp;'Implied Productivity Ratios'!$C22)/SUMIFS('MoodysData(Raw)'!L$2:L$180,'MoodysData(Raw)'!$B$2:$B$180,"=EMP",'MoodysData(Raw)'!$D$2:$D$180,"="&amp;'Implied Productivity Ratios'!$C22)</f>
        <v>1323.8516356907091</v>
      </c>
      <c r="J22">
        <f>SUMIFS('MoodysData(Raw)'!M$2:M$180,'MoodysData(Raw)'!$B$2:$B$180,"=GDP",'MoodysData(Raw)'!$D$2:$D$180,"="&amp;'Implied Productivity Ratios'!$C22)/SUMIFS('MoodysData(Raw)'!M$2:M$180,'MoodysData(Raw)'!$B$2:$B$180,"=EMP",'MoodysData(Raw)'!$D$2:$D$180,"="&amp;'Implied Productivity Ratios'!$C22)</f>
        <v>1156.7252685287083</v>
      </c>
      <c r="K22">
        <f>SUMIFS('MoodysData(Raw)'!N$2:N$180,'MoodysData(Raw)'!$B$2:$B$180,"=GDP",'MoodysData(Raw)'!$D$2:$D$180,"="&amp;'Implied Productivity Ratios'!$C22)/SUMIFS('MoodysData(Raw)'!N$2:N$180,'MoodysData(Raw)'!$B$2:$B$180,"=EMP",'MoodysData(Raw)'!$D$2:$D$180,"="&amp;'Implied Productivity Ratios'!$C22)</f>
        <v>969.46826290738659</v>
      </c>
      <c r="L22">
        <f>SUMIFS('MoodysData(Raw)'!O$2:O$180,'MoodysData(Raw)'!$B$2:$B$180,"=GDP",'MoodysData(Raw)'!$D$2:$D$180,"="&amp;'Implied Productivity Ratios'!$C22)/SUMIFS('MoodysData(Raw)'!O$2:O$180,'MoodysData(Raw)'!$B$2:$B$180,"=EMP",'MoodysData(Raw)'!$D$2:$D$180,"="&amp;'Implied Productivity Ratios'!$C22)</f>
        <v>882.44978834549215</v>
      </c>
      <c r="M22">
        <f>SUMIFS('MoodysData(Raw)'!P$2:P$180,'MoodysData(Raw)'!$B$2:$B$180,"=GDP",'MoodysData(Raw)'!$D$2:$D$180,"="&amp;'Implied Productivity Ratios'!$C22)/SUMIFS('MoodysData(Raw)'!P$2:P$180,'MoodysData(Raw)'!$B$2:$B$180,"=EMP",'MoodysData(Raw)'!$D$2:$D$180,"="&amp;'Implied Productivity Ratios'!$C22)</f>
        <v>962.01784166425887</v>
      </c>
      <c r="N22">
        <f>SUMIFS('MoodysData(Raw)'!Q$2:Q$180,'MoodysData(Raw)'!$B$2:$B$180,"=GDP",'MoodysData(Raw)'!$D$2:$D$180,"="&amp;'Implied Productivity Ratios'!$C22)/SUMIFS('MoodysData(Raw)'!Q$2:Q$180,'MoodysData(Raw)'!$B$2:$B$180,"=EMP",'MoodysData(Raw)'!$D$2:$D$180,"="&amp;'Implied Productivity Ratios'!$C22)</f>
        <v>1032.1325156022374</v>
      </c>
      <c r="O22">
        <f>SUMIFS('MoodysData(Raw)'!R$2:R$180,'MoodysData(Raw)'!$B$2:$B$180,"=GDP",'MoodysData(Raw)'!$D$2:$D$180,"="&amp;'Implied Productivity Ratios'!$C22)/SUMIFS('MoodysData(Raw)'!R$2:R$180,'MoodysData(Raw)'!$B$2:$B$180,"=EMP",'MoodysData(Raw)'!$D$2:$D$180,"="&amp;'Implied Productivity Ratios'!$C22)</f>
        <v>1011.9462616191702</v>
      </c>
      <c r="P22">
        <f>SUMIFS('MoodysData(Raw)'!S$2:S$180,'MoodysData(Raw)'!$B$2:$B$180,"=GDP",'MoodysData(Raw)'!$D$2:$D$180,"="&amp;'Implied Productivity Ratios'!$C22)/SUMIFS('MoodysData(Raw)'!S$2:S$180,'MoodysData(Raw)'!$B$2:$B$180,"=EMP",'MoodysData(Raw)'!$D$2:$D$180,"="&amp;'Implied Productivity Ratios'!$C22)</f>
        <v>858.25581167849464</v>
      </c>
      <c r="Q22">
        <f>SUMIFS('MoodysData(Raw)'!T$2:T$180,'MoodysData(Raw)'!$B$2:$B$180,"=GDP",'MoodysData(Raw)'!$D$2:$D$180,"="&amp;'Implied Productivity Ratios'!$C22)/SUMIFS('MoodysData(Raw)'!T$2:T$180,'MoodysData(Raw)'!$B$2:$B$180,"=EMP",'MoodysData(Raw)'!$D$2:$D$180,"="&amp;'Implied Productivity Ratios'!$C22)</f>
        <v>986.21284446187303</v>
      </c>
      <c r="R22">
        <f>SUMIFS('MoodysData(Raw)'!U$2:U$180,'MoodysData(Raw)'!$B$2:$B$180,"=GDP",'MoodysData(Raw)'!$D$2:$D$180,"="&amp;'Implied Productivity Ratios'!$C22)/SUMIFS('MoodysData(Raw)'!U$2:U$180,'MoodysData(Raw)'!$B$2:$B$180,"=EMP",'MoodysData(Raw)'!$D$2:$D$180,"="&amp;'Implied Productivity Ratios'!$C22)</f>
        <v>1036.459002045209</v>
      </c>
      <c r="S22">
        <f>SUMIFS('MoodysData(Raw)'!V$2:V$180,'MoodysData(Raw)'!$B$2:$B$180,"=GDP",'MoodysData(Raw)'!$D$2:$D$180,"="&amp;'Implied Productivity Ratios'!$C22)/SUMIFS('MoodysData(Raw)'!V$2:V$180,'MoodysData(Raw)'!$B$2:$B$180,"=EMP",'MoodysData(Raw)'!$D$2:$D$180,"="&amp;'Implied Productivity Ratios'!$C22)</f>
        <v>1186.7997320830543</v>
      </c>
      <c r="T22">
        <f>SUMIFS('MoodysData(Raw)'!W$2:W$180,'MoodysData(Raw)'!$B$2:$B$180,"=GDP",'MoodysData(Raw)'!$D$2:$D$180,"="&amp;'Implied Productivity Ratios'!$C22)/SUMIFS('MoodysData(Raw)'!W$2:W$180,'MoodysData(Raw)'!$B$2:$B$180,"=EMP",'MoodysData(Raw)'!$D$2:$D$180,"="&amp;'Implied Productivity Ratios'!$C22)</f>
        <v>799.96427033613361</v>
      </c>
      <c r="U22">
        <f>SUMIFS('MoodysData(Raw)'!X$2:X$180,'MoodysData(Raw)'!$B$2:$B$180,"=GDP",'MoodysData(Raw)'!$D$2:$D$180,"="&amp;'Implied Productivity Ratios'!$C22)/SUMIFS('MoodysData(Raw)'!X$2:X$180,'MoodysData(Raw)'!$B$2:$B$180,"=EMP",'MoodysData(Raw)'!$D$2:$D$180,"="&amp;'Implied Productivity Ratios'!$C22)</f>
        <v>1055.6757790097495</v>
      </c>
      <c r="V22">
        <f>SUMIFS('MoodysData(Raw)'!Y$2:Y$180,'MoodysData(Raw)'!$B$2:$B$180,"=GDP",'MoodysData(Raw)'!$D$2:$D$180,"="&amp;'Implied Productivity Ratios'!$C22)/SUMIFS('MoodysData(Raw)'!Y$2:Y$180,'MoodysData(Raw)'!$B$2:$B$180,"=EMP",'MoodysData(Raw)'!$D$2:$D$180,"="&amp;'Implied Productivity Ratios'!$C22)</f>
        <v>923.07728687229837</v>
      </c>
      <c r="W22">
        <f>SUMIFS('MoodysData(Raw)'!Z$2:Z$180,'MoodysData(Raw)'!$B$2:$B$180,"=GDP",'MoodysData(Raw)'!$D$2:$D$180,"="&amp;'Implied Productivity Ratios'!$C22)/SUMIFS('MoodysData(Raw)'!Z$2:Z$180,'MoodysData(Raw)'!$B$2:$B$180,"=EMP",'MoodysData(Raw)'!$D$2:$D$180,"="&amp;'Implied Productivity Ratios'!$C22)</f>
        <v>1085.9249831549002</v>
      </c>
      <c r="X22">
        <f>SUMIFS('MoodysData(Raw)'!AA$2:AA$180,'MoodysData(Raw)'!$B$2:$B$180,"=GDP",'MoodysData(Raw)'!$D$2:$D$180,"="&amp;'Implied Productivity Ratios'!$C22)/SUMIFS('MoodysData(Raw)'!AA$2:AA$180,'MoodysData(Raw)'!$B$2:$B$180,"=EMP",'MoodysData(Raw)'!$D$2:$D$180,"="&amp;'Implied Productivity Ratios'!$C22)</f>
        <v>1289.7619694683672</v>
      </c>
      <c r="Y22">
        <f>SUMIFS('MoodysData(Raw)'!AB$2:AB$180,'MoodysData(Raw)'!$B$2:$B$180,"=GDP",'MoodysData(Raw)'!$D$2:$D$180,"="&amp;'Implied Productivity Ratios'!$C22)/SUMIFS('MoodysData(Raw)'!AB$2:AB$180,'MoodysData(Raw)'!$B$2:$B$180,"=EMP",'MoodysData(Raw)'!$D$2:$D$180,"="&amp;'Implied Productivity Ratios'!$C22)</f>
        <v>1347.6575164882997</v>
      </c>
      <c r="Z22">
        <f>SUMIFS('MoodysData(Raw)'!AC$2:AC$180,'MoodysData(Raw)'!$B$2:$B$180,"=GDP",'MoodysData(Raw)'!$D$2:$D$180,"="&amp;'Implied Productivity Ratios'!$C22)/SUMIFS('MoodysData(Raw)'!AC$2:AC$180,'MoodysData(Raw)'!$B$2:$B$180,"=EMP",'MoodysData(Raw)'!$D$2:$D$180,"="&amp;'Implied Productivity Ratios'!$C22)</f>
        <v>1350.5748710103478</v>
      </c>
      <c r="AA22">
        <f>SUMIFS('MoodysData(Raw)'!AD$2:AD$180,'MoodysData(Raw)'!$B$2:$B$180,"=GDP",'MoodysData(Raw)'!$D$2:$D$180,"="&amp;'Implied Productivity Ratios'!$C22)/SUMIFS('MoodysData(Raw)'!AD$2:AD$180,'MoodysData(Raw)'!$B$2:$B$180,"=EMP",'MoodysData(Raw)'!$D$2:$D$180,"="&amp;'Implied Productivity Ratios'!$C22)</f>
        <v>1364.1611638602833</v>
      </c>
      <c r="AB22">
        <f>SUMIFS('MoodysData(Raw)'!AE$2:AE$180,'MoodysData(Raw)'!$B$2:$B$180,"=GDP",'MoodysData(Raw)'!$D$2:$D$180,"="&amp;'Implied Productivity Ratios'!$C22)/SUMIFS('MoodysData(Raw)'!AE$2:AE$180,'MoodysData(Raw)'!$B$2:$B$180,"=EMP",'MoodysData(Raw)'!$D$2:$D$180,"="&amp;'Implied Productivity Ratios'!$C22)</f>
        <v>1406.5571132829425</v>
      </c>
      <c r="AC22">
        <f>SUMIFS('MoodysData(Raw)'!AF$2:AF$180,'MoodysData(Raw)'!$B$2:$B$180,"=GDP",'MoodysData(Raw)'!$D$2:$D$180,"="&amp;'Implied Productivity Ratios'!$C22)/SUMIFS('MoodysData(Raw)'!AF$2:AF$180,'MoodysData(Raw)'!$B$2:$B$180,"=EMP",'MoodysData(Raw)'!$D$2:$D$180,"="&amp;'Implied Productivity Ratios'!$C22)</f>
        <v>1461.3895679335699</v>
      </c>
      <c r="AD22">
        <f>SUMIFS('MoodysData(Raw)'!AG$2:AG$180,'MoodysData(Raw)'!$B$2:$B$180,"=GDP",'MoodysData(Raw)'!$D$2:$D$180,"="&amp;'Implied Productivity Ratios'!$C22)/SUMIFS('MoodysData(Raw)'!AG$2:AG$180,'MoodysData(Raw)'!$B$2:$B$180,"=EMP",'MoodysData(Raw)'!$D$2:$D$180,"="&amp;'Implied Productivity Ratios'!$C22)</f>
        <v>1519.4516800766471</v>
      </c>
      <c r="AE22">
        <f>SUMIFS('MoodysData(Raw)'!AH$2:AH$180,'MoodysData(Raw)'!$B$2:$B$180,"=GDP",'MoodysData(Raw)'!$D$2:$D$180,"="&amp;'Implied Productivity Ratios'!$C22)/SUMIFS('MoodysData(Raw)'!AH$2:AH$180,'MoodysData(Raw)'!$B$2:$B$180,"=EMP",'MoodysData(Raw)'!$D$2:$D$180,"="&amp;'Implied Productivity Ratios'!$C22)</f>
        <v>1579.1103307657454</v>
      </c>
      <c r="AF22">
        <f>SUMIFS('MoodysData(Raw)'!AI$2:AI$180,'MoodysData(Raw)'!$B$2:$B$180,"=GDP",'MoodysData(Raw)'!$D$2:$D$180,"="&amp;'Implied Productivity Ratios'!$C22)/SUMIFS('MoodysData(Raw)'!AI$2:AI$180,'MoodysData(Raw)'!$B$2:$B$180,"=EMP",'MoodysData(Raw)'!$D$2:$D$180,"="&amp;'Implied Productivity Ratios'!$C22)</f>
        <v>1635.6133294973163</v>
      </c>
      <c r="AG22">
        <f>SUMIFS('MoodysData(Raw)'!AJ$2:AJ$180,'MoodysData(Raw)'!$B$2:$B$180,"=GDP",'MoodysData(Raw)'!$D$2:$D$180,"="&amp;'Implied Productivity Ratios'!$C22)/SUMIFS('MoodysData(Raw)'!AJ$2:AJ$180,'MoodysData(Raw)'!$B$2:$B$180,"=EMP",'MoodysData(Raw)'!$D$2:$D$180,"="&amp;'Implied Productivity Ratios'!$C22)</f>
        <v>1694.6395419710034</v>
      </c>
      <c r="AH22">
        <f>SUMIFS('MoodysData(Raw)'!AK$2:AK$180,'MoodysData(Raw)'!$B$2:$B$180,"=GDP",'MoodysData(Raw)'!$D$2:$D$180,"="&amp;'Implied Productivity Ratios'!$C22)/SUMIFS('MoodysData(Raw)'!AK$2:AK$180,'MoodysData(Raw)'!$B$2:$B$180,"=EMP",'MoodysData(Raw)'!$D$2:$D$180,"="&amp;'Implied Productivity Ratios'!$C22)</f>
        <v>1750.4598747407215</v>
      </c>
      <c r="AI22">
        <f>SUMIFS('MoodysData(Raw)'!AL$2:AL$180,'MoodysData(Raw)'!$B$2:$B$180,"=GDP",'MoodysData(Raw)'!$D$2:$D$180,"="&amp;'Implied Productivity Ratios'!$C22)/SUMIFS('MoodysData(Raw)'!AL$2:AL$180,'MoodysData(Raw)'!$B$2:$B$180,"=EMP",'MoodysData(Raw)'!$D$2:$D$180,"="&amp;'Implied Productivity Ratios'!$C22)</f>
        <v>1798.7768387090227</v>
      </c>
      <c r="AJ22">
        <f>SUMIFS('MoodysData(Raw)'!AM$2:AM$180,'MoodysData(Raw)'!$B$2:$B$180,"=GDP",'MoodysData(Raw)'!$D$2:$D$180,"="&amp;'Implied Productivity Ratios'!$C22)/SUMIFS('MoodysData(Raw)'!AM$2:AM$180,'MoodysData(Raw)'!$B$2:$B$180,"=EMP",'MoodysData(Raw)'!$D$2:$D$180,"="&amp;'Implied Productivity Ratios'!$C22)</f>
        <v>1847.1852397466985</v>
      </c>
      <c r="AK22">
        <f>SUMIFS('MoodysData(Raw)'!AN$2:AN$180,'MoodysData(Raw)'!$B$2:$B$180,"=GDP",'MoodysData(Raw)'!$D$2:$D$180,"="&amp;'Implied Productivity Ratios'!$C22)/SUMIFS('MoodysData(Raw)'!AN$2:AN$180,'MoodysData(Raw)'!$B$2:$B$180,"=EMP",'MoodysData(Raw)'!$D$2:$D$180,"="&amp;'Implied Productivity Ratios'!$C22)</f>
        <v>1898.8973975162332</v>
      </c>
      <c r="AL22">
        <f>SUMIFS('MoodysData(Raw)'!AO$2:AO$180,'MoodysData(Raw)'!$B$2:$B$180,"=GDP",'MoodysData(Raw)'!$D$2:$D$180,"="&amp;'Implied Productivity Ratios'!$C22)/SUMIFS('MoodysData(Raw)'!AO$2:AO$180,'MoodysData(Raw)'!$B$2:$B$180,"=EMP",'MoodysData(Raw)'!$D$2:$D$180,"="&amp;'Implied Productivity Ratios'!$C22)</f>
        <v>1952.667924056437</v>
      </c>
      <c r="AM22">
        <f>SUMIFS('MoodysData(Raw)'!AP$2:AP$180,'MoodysData(Raw)'!$B$2:$B$180,"=GDP",'MoodysData(Raw)'!$D$2:$D$180,"="&amp;'Implied Productivity Ratios'!$C22)/SUMIFS('MoodysData(Raw)'!AP$2:AP$180,'MoodysData(Raw)'!$B$2:$B$180,"=EMP",'MoodysData(Raw)'!$D$2:$D$180,"="&amp;'Implied Productivity Ratios'!$C22)</f>
        <v>2008.8703579089033</v>
      </c>
      <c r="AN22">
        <f>SUMIFS('MoodysData(Raw)'!AQ$2:AQ$180,'MoodysData(Raw)'!$B$2:$B$180,"=GDP",'MoodysData(Raw)'!$D$2:$D$180,"="&amp;'Implied Productivity Ratios'!$C22)/SUMIFS('MoodysData(Raw)'!AQ$2:AQ$180,'MoodysData(Raw)'!$B$2:$B$180,"=EMP",'MoodysData(Raw)'!$D$2:$D$180,"="&amp;'Implied Productivity Ratios'!$C22)</f>
        <v>2062.6739709455946</v>
      </c>
      <c r="AO22">
        <f>SUMIFS('MoodysData(Raw)'!AR$2:AR$180,'MoodysData(Raw)'!$B$2:$B$180,"=GDP",'MoodysData(Raw)'!$D$2:$D$180,"="&amp;'Implied Productivity Ratios'!$C22)/SUMIFS('MoodysData(Raw)'!AR$2:AR$180,'MoodysData(Raw)'!$B$2:$B$180,"=EMP",'MoodysData(Raw)'!$D$2:$D$180,"="&amp;'Implied Productivity Ratios'!$C22)</f>
        <v>2113.0868065597651</v>
      </c>
      <c r="AP22">
        <f>SUMIFS('MoodysData(Raw)'!AS$2:AS$180,'MoodysData(Raw)'!$B$2:$B$180,"=GDP",'MoodysData(Raw)'!$D$2:$D$180,"="&amp;'Implied Productivity Ratios'!$C22)/SUMIFS('MoodysData(Raw)'!AS$2:AS$180,'MoodysData(Raw)'!$B$2:$B$180,"=EMP",'MoodysData(Raw)'!$D$2:$D$180,"="&amp;'Implied Productivity Ratios'!$C22)</f>
        <v>2163.1950868615195</v>
      </c>
      <c r="AQ22">
        <f>SUMIFS('MoodysData(Raw)'!AT$2:AT$180,'MoodysData(Raw)'!$B$2:$B$180,"=GDP",'MoodysData(Raw)'!$D$2:$D$180,"="&amp;'Implied Productivity Ratios'!$C22)/SUMIFS('MoodysData(Raw)'!AT$2:AT$180,'MoodysData(Raw)'!$B$2:$B$180,"=EMP",'MoodysData(Raw)'!$D$2:$D$180,"="&amp;'Implied Productivity Ratios'!$C22)</f>
        <v>2215.5404740559334</v>
      </c>
      <c r="AR22">
        <f>SUMIFS('MoodysData(Raw)'!AU$2:AU$180,'MoodysData(Raw)'!$B$2:$B$180,"=GDP",'MoodysData(Raw)'!$D$2:$D$180,"="&amp;'Implied Productivity Ratios'!$C22)/SUMIFS('MoodysData(Raw)'!AU$2:AU$180,'MoodysData(Raw)'!$B$2:$B$180,"=EMP",'MoodysData(Raw)'!$D$2:$D$180,"="&amp;'Implied Productivity Ratios'!$C22)</f>
        <v>2270.2418388109877</v>
      </c>
      <c r="AS22">
        <f>SUMIFS('MoodysData(Raw)'!AV$2:AV$180,'MoodysData(Raw)'!$B$2:$B$180,"=GDP",'MoodysData(Raw)'!$D$2:$D$180,"="&amp;'Implied Productivity Ratios'!$C22)/SUMIFS('MoodysData(Raw)'!AV$2:AV$180,'MoodysData(Raw)'!$B$2:$B$180,"=EMP",'MoodysData(Raw)'!$D$2:$D$180,"="&amp;'Implied Productivity Ratios'!$C22)</f>
        <v>2323.9124962239453</v>
      </c>
      <c r="AT22">
        <f>SUMIFS('MoodysData(Raw)'!AW$2:AW$180,'MoodysData(Raw)'!$B$2:$B$180,"=GDP",'MoodysData(Raw)'!$D$2:$D$180,"="&amp;'Implied Productivity Ratios'!$C22)/SUMIFS('MoodysData(Raw)'!AW$2:AW$180,'MoodysData(Raw)'!$B$2:$B$180,"=EMP",'MoodysData(Raw)'!$D$2:$D$180,"="&amp;'Implied Productivity Ratios'!$C22)</f>
        <v>2371.0711083437113</v>
      </c>
      <c r="AU22">
        <f>SUMIFS('MoodysData(Raw)'!AX$2:AX$180,'MoodysData(Raw)'!$B$2:$B$180,"=GDP",'MoodysData(Raw)'!$D$2:$D$180,"="&amp;'Implied Productivity Ratios'!$C22)/SUMIFS('MoodysData(Raw)'!AX$2:AX$180,'MoodysData(Raw)'!$B$2:$B$180,"=EMP",'MoodysData(Raw)'!$D$2:$D$180,"="&amp;'Implied Productivity Ratios'!$C22)</f>
        <v>2419.259420123768</v>
      </c>
      <c r="AV22">
        <f>SUMIFS('MoodysData(Raw)'!AY$2:AY$180,'MoodysData(Raw)'!$B$2:$B$180,"=GDP",'MoodysData(Raw)'!$D$2:$D$180,"="&amp;'Implied Productivity Ratios'!$C22)/SUMIFS('MoodysData(Raw)'!AY$2:AY$180,'MoodysData(Raw)'!$B$2:$B$180,"=EMP",'MoodysData(Raw)'!$D$2:$D$180,"="&amp;'Implied Productivity Ratios'!$C22)</f>
        <v>2472.0071588522633</v>
      </c>
      <c r="AW22">
        <f>SUMIFS('MoodysData(Raw)'!AZ$2:AZ$180,'MoodysData(Raw)'!$B$2:$B$180,"=GDP",'MoodysData(Raw)'!$D$2:$D$180,"="&amp;'Implied Productivity Ratios'!$C22)/SUMIFS('MoodysData(Raw)'!AZ$2:AZ$180,'MoodysData(Raw)'!$B$2:$B$180,"=EMP",'MoodysData(Raw)'!$D$2:$D$180,"="&amp;'Implied Productivity Ratios'!$C22)</f>
        <v>2526.3665578237683</v>
      </c>
      <c r="AX22">
        <f>SUMIFS('MoodysData(Raw)'!BA$2:BA$180,'MoodysData(Raw)'!$B$2:$B$180,"=GDP",'MoodysData(Raw)'!$D$2:$D$180,"="&amp;'Implied Productivity Ratios'!$C22)/SUMIFS('MoodysData(Raw)'!BA$2:BA$180,'MoodysData(Raw)'!$B$2:$B$180,"=EMP",'MoodysData(Raw)'!$D$2:$D$180,"="&amp;'Implied Productivity Ratios'!$C22)</f>
        <v>2581.7642029916051</v>
      </c>
      <c r="AY22">
        <f>SUMIFS('MoodysData(Raw)'!BB$2:BB$180,'MoodysData(Raw)'!$B$2:$B$180,"=GDP",'MoodysData(Raw)'!$D$2:$D$180,"="&amp;'Implied Productivity Ratios'!$C22)/SUMIFS('MoodysData(Raw)'!BB$2:BB$180,'MoodysData(Raw)'!$B$2:$B$180,"=EMP",'MoodysData(Raw)'!$D$2:$D$180,"="&amp;'Implied Productivity Ratios'!$C22)</f>
        <v>2636.6147143424519</v>
      </c>
      <c r="AZ22">
        <f>SUMIFS('MoodysData(Raw)'!BC$2:BC$180,'MoodysData(Raw)'!$B$2:$B$180,"=GDP",'MoodysData(Raw)'!$D$2:$D$180,"="&amp;'Implied Productivity Ratios'!$C22)/SUMIFS('MoodysData(Raw)'!BC$2:BC$180,'MoodysData(Raw)'!$B$2:$B$180,"=EMP",'MoodysData(Raw)'!$D$2:$D$180,"="&amp;'Implied Productivity Ratios'!$C22)</f>
        <v>2690.848681245051</v>
      </c>
      <c r="BA22">
        <f>SUMIFS('MoodysData(Raw)'!BD$2:BD$180,'MoodysData(Raw)'!$B$2:$B$180,"=GDP",'MoodysData(Raw)'!$D$2:$D$180,"="&amp;'Implied Productivity Ratios'!$C22)/SUMIFS('MoodysData(Raw)'!BD$2:BD$180,'MoodysData(Raw)'!$B$2:$B$180,"=EMP",'MoodysData(Raw)'!$D$2:$D$180,"="&amp;'Implied Productivity Ratios'!$C22)</f>
        <v>2743.7688703093977</v>
      </c>
      <c r="BB22">
        <f>SUMIFS('MoodysData(Raw)'!BE$2:BE$180,'MoodysData(Raw)'!$B$2:$B$180,"=GDP",'MoodysData(Raw)'!$D$2:$D$180,"="&amp;'Implied Productivity Ratios'!$C22)/SUMIFS('MoodysData(Raw)'!BE$2:BE$180,'MoodysData(Raw)'!$B$2:$B$180,"=EMP",'MoodysData(Raw)'!$D$2:$D$180,"="&amp;'Implied Productivity Ratios'!$C22)</f>
        <v>2796.7629311421365</v>
      </c>
      <c r="BC22">
        <f>SUMIFS('MoodysData(Raw)'!BF$2:BF$180,'MoodysData(Raw)'!$B$2:$B$180,"=GDP",'MoodysData(Raw)'!$D$2:$D$180,"="&amp;'Implied Productivity Ratios'!$C22)/SUMIFS('MoodysData(Raw)'!BF$2:BF$180,'MoodysData(Raw)'!$B$2:$B$180,"=EMP",'MoodysData(Raw)'!$D$2:$D$180,"="&amp;'Implied Productivity Ratios'!$C22)</f>
        <v>2851.9491769885753</v>
      </c>
      <c r="BD22" s="5">
        <f t="shared" ref="BD22:BH22" si="16">BC22+($BC22-$AX22)/5</f>
        <v>2905.9861717879694</v>
      </c>
      <c r="BE22" s="5">
        <f t="shared" si="16"/>
        <v>2960.0231665873634</v>
      </c>
      <c r="BF22" s="5">
        <f t="shared" si="16"/>
        <v>3014.0601613867575</v>
      </c>
      <c r="BG22" s="5">
        <f t="shared" si="16"/>
        <v>3068.0971561861516</v>
      </c>
      <c r="BH22" s="5">
        <f t="shared" si="16"/>
        <v>3122.1341509855456</v>
      </c>
    </row>
    <row r="23" spans="3:60">
      <c r="C23">
        <v>325</v>
      </c>
      <c r="D23" t="s">
        <v>75</v>
      </c>
      <c r="E23">
        <f>SUMIFS('MoodysData(Raw)'!H$2:H$180,'MoodysData(Raw)'!$B$2:$B$180,"=GDP",'MoodysData(Raw)'!$D$2:$D$180,"="&amp;'Implied Productivity Ratios'!$C23)/SUMIFS('MoodysData(Raw)'!H$2:H$180,'MoodysData(Raw)'!$B$2:$B$180,"=EMP",'MoodysData(Raw)'!$D$2:$D$180,"="&amp;'Implied Productivity Ratios'!$C23)</f>
        <v>398.65779949790175</v>
      </c>
      <c r="F23">
        <f>SUMIFS('MoodysData(Raw)'!I$2:I$180,'MoodysData(Raw)'!$B$2:$B$180,"=GDP",'MoodysData(Raw)'!$D$2:$D$180,"="&amp;'Implied Productivity Ratios'!$C23)/SUMIFS('MoodysData(Raw)'!I$2:I$180,'MoodysData(Raw)'!$B$2:$B$180,"=EMP",'MoodysData(Raw)'!$D$2:$D$180,"="&amp;'Implied Productivity Ratios'!$C23)</f>
        <v>450.03393043091643</v>
      </c>
      <c r="G23">
        <f>SUMIFS('MoodysData(Raw)'!J$2:J$180,'MoodysData(Raw)'!$B$2:$B$180,"=GDP",'MoodysData(Raw)'!$D$2:$D$180,"="&amp;'Implied Productivity Ratios'!$C23)/SUMIFS('MoodysData(Raw)'!J$2:J$180,'MoodysData(Raw)'!$B$2:$B$180,"=EMP",'MoodysData(Raw)'!$D$2:$D$180,"="&amp;'Implied Productivity Ratios'!$C23)</f>
        <v>480.32868238932696</v>
      </c>
      <c r="H23">
        <f>SUMIFS('MoodysData(Raw)'!K$2:K$180,'MoodysData(Raw)'!$B$2:$B$180,"=GDP",'MoodysData(Raw)'!$D$2:$D$180,"="&amp;'Implied Productivity Ratios'!$C23)/SUMIFS('MoodysData(Raw)'!K$2:K$180,'MoodysData(Raw)'!$B$2:$B$180,"=EMP",'MoodysData(Raw)'!$D$2:$D$180,"="&amp;'Implied Productivity Ratios'!$C23)</f>
        <v>441.58544068957639</v>
      </c>
      <c r="I23">
        <f>SUMIFS('MoodysData(Raw)'!L$2:L$180,'MoodysData(Raw)'!$B$2:$B$180,"=GDP",'MoodysData(Raw)'!$D$2:$D$180,"="&amp;'Implied Productivity Ratios'!$C23)/SUMIFS('MoodysData(Raw)'!L$2:L$180,'MoodysData(Raw)'!$B$2:$B$180,"=EMP",'MoodysData(Raw)'!$D$2:$D$180,"="&amp;'Implied Productivity Ratios'!$C23)</f>
        <v>465.44477158324628</v>
      </c>
      <c r="J23">
        <f>SUMIFS('MoodysData(Raw)'!M$2:M$180,'MoodysData(Raw)'!$B$2:$B$180,"=GDP",'MoodysData(Raw)'!$D$2:$D$180,"="&amp;'Implied Productivity Ratios'!$C23)/SUMIFS('MoodysData(Raw)'!M$2:M$180,'MoodysData(Raw)'!$B$2:$B$180,"=EMP",'MoodysData(Raw)'!$D$2:$D$180,"="&amp;'Implied Productivity Ratios'!$C23)</f>
        <v>504.5586914232905</v>
      </c>
      <c r="K23">
        <f>SUMIFS('MoodysData(Raw)'!N$2:N$180,'MoodysData(Raw)'!$B$2:$B$180,"=GDP",'MoodysData(Raw)'!$D$2:$D$180,"="&amp;'Implied Productivity Ratios'!$C23)/SUMIFS('MoodysData(Raw)'!N$2:N$180,'MoodysData(Raw)'!$B$2:$B$180,"=EMP",'MoodysData(Raw)'!$D$2:$D$180,"="&amp;'Implied Productivity Ratios'!$C23)</f>
        <v>473.51666953763583</v>
      </c>
      <c r="L23">
        <f>SUMIFS('MoodysData(Raw)'!O$2:O$180,'MoodysData(Raw)'!$B$2:$B$180,"=GDP",'MoodysData(Raw)'!$D$2:$D$180,"="&amp;'Implied Productivity Ratios'!$C23)/SUMIFS('MoodysData(Raw)'!O$2:O$180,'MoodysData(Raw)'!$B$2:$B$180,"=EMP",'MoodysData(Raw)'!$D$2:$D$180,"="&amp;'Implied Productivity Ratios'!$C23)</f>
        <v>446.81308305126726</v>
      </c>
      <c r="M23">
        <f>SUMIFS('MoodysData(Raw)'!P$2:P$180,'MoodysData(Raw)'!$B$2:$B$180,"=GDP",'MoodysData(Raw)'!$D$2:$D$180,"="&amp;'Implied Productivity Ratios'!$C23)/SUMIFS('MoodysData(Raw)'!P$2:P$180,'MoodysData(Raw)'!$B$2:$B$180,"=EMP",'MoodysData(Raw)'!$D$2:$D$180,"="&amp;'Implied Productivity Ratios'!$C23)</f>
        <v>456.71578193078648</v>
      </c>
      <c r="N23">
        <f>SUMIFS('MoodysData(Raw)'!Q$2:Q$180,'MoodysData(Raw)'!$B$2:$B$180,"=GDP",'MoodysData(Raw)'!$D$2:$D$180,"="&amp;'Implied Productivity Ratios'!$C23)/SUMIFS('MoodysData(Raw)'!Q$2:Q$180,'MoodysData(Raw)'!$B$2:$B$180,"=EMP",'MoodysData(Raw)'!$D$2:$D$180,"="&amp;'Implied Productivity Ratios'!$C23)</f>
        <v>443.0779159110312</v>
      </c>
      <c r="O23">
        <f>SUMIFS('MoodysData(Raw)'!R$2:R$180,'MoodysData(Raw)'!$B$2:$B$180,"=GDP",'MoodysData(Raw)'!$D$2:$D$180,"="&amp;'Implied Productivity Ratios'!$C23)/SUMIFS('MoodysData(Raw)'!R$2:R$180,'MoodysData(Raw)'!$B$2:$B$180,"=EMP",'MoodysData(Raw)'!$D$2:$D$180,"="&amp;'Implied Productivity Ratios'!$C23)</f>
        <v>423.62937026365404</v>
      </c>
      <c r="P23">
        <f>SUMIFS('MoodysData(Raw)'!S$2:S$180,'MoodysData(Raw)'!$B$2:$B$180,"=GDP",'MoodysData(Raw)'!$D$2:$D$180,"="&amp;'Implied Productivity Ratios'!$C23)/SUMIFS('MoodysData(Raw)'!S$2:S$180,'MoodysData(Raw)'!$B$2:$B$180,"=EMP",'MoodysData(Raw)'!$D$2:$D$180,"="&amp;'Implied Productivity Ratios'!$C23)</f>
        <v>433.04868621096085</v>
      </c>
      <c r="Q23">
        <f>SUMIFS('MoodysData(Raw)'!T$2:T$180,'MoodysData(Raw)'!$B$2:$B$180,"=GDP",'MoodysData(Raw)'!$D$2:$D$180,"="&amp;'Implied Productivity Ratios'!$C23)/SUMIFS('MoodysData(Raw)'!T$2:T$180,'MoodysData(Raw)'!$B$2:$B$180,"=EMP",'MoodysData(Raw)'!$D$2:$D$180,"="&amp;'Implied Productivity Ratios'!$C23)</f>
        <v>419.35095394337105</v>
      </c>
      <c r="R23">
        <f>SUMIFS('MoodysData(Raw)'!U$2:U$180,'MoodysData(Raw)'!$B$2:$B$180,"=GDP",'MoodysData(Raw)'!$D$2:$D$180,"="&amp;'Implied Productivity Ratios'!$C23)/SUMIFS('MoodysData(Raw)'!U$2:U$180,'MoodysData(Raw)'!$B$2:$B$180,"=EMP",'MoodysData(Raw)'!$D$2:$D$180,"="&amp;'Implied Productivity Ratios'!$C23)</f>
        <v>463.53712234398228</v>
      </c>
      <c r="S23">
        <f>SUMIFS('MoodysData(Raw)'!V$2:V$180,'MoodysData(Raw)'!$B$2:$B$180,"=GDP",'MoodysData(Raw)'!$D$2:$D$180,"="&amp;'Implied Productivity Ratios'!$C23)/SUMIFS('MoodysData(Raw)'!V$2:V$180,'MoodysData(Raw)'!$B$2:$B$180,"=EMP",'MoodysData(Raw)'!$D$2:$D$180,"="&amp;'Implied Productivity Ratios'!$C23)</f>
        <v>432.57015407190022</v>
      </c>
      <c r="T23">
        <f>SUMIFS('MoodysData(Raw)'!W$2:W$180,'MoodysData(Raw)'!$B$2:$B$180,"=GDP",'MoodysData(Raw)'!$D$2:$D$180,"="&amp;'Implied Productivity Ratios'!$C23)/SUMIFS('MoodysData(Raw)'!W$2:W$180,'MoodysData(Raw)'!$B$2:$B$180,"=EMP",'MoodysData(Raw)'!$D$2:$D$180,"="&amp;'Implied Productivity Ratios'!$C23)</f>
        <v>458.66230568954018</v>
      </c>
      <c r="U23">
        <f>SUMIFS('MoodysData(Raw)'!X$2:X$180,'MoodysData(Raw)'!$B$2:$B$180,"=GDP",'MoodysData(Raw)'!$D$2:$D$180,"="&amp;'Implied Productivity Ratios'!$C23)/SUMIFS('MoodysData(Raw)'!X$2:X$180,'MoodysData(Raw)'!$B$2:$B$180,"=EMP",'MoodysData(Raw)'!$D$2:$D$180,"="&amp;'Implied Productivity Ratios'!$C23)</f>
        <v>476.91995184555691</v>
      </c>
      <c r="V23">
        <f>SUMIFS('MoodysData(Raw)'!Y$2:Y$180,'MoodysData(Raw)'!$B$2:$B$180,"=GDP",'MoodysData(Raw)'!$D$2:$D$180,"="&amp;'Implied Productivity Ratios'!$C23)/SUMIFS('MoodysData(Raw)'!Y$2:Y$180,'MoodysData(Raw)'!$B$2:$B$180,"=EMP",'MoodysData(Raw)'!$D$2:$D$180,"="&amp;'Implied Productivity Ratios'!$C23)</f>
        <v>485.20497242982748</v>
      </c>
      <c r="W23">
        <f>SUMIFS('MoodysData(Raw)'!Z$2:Z$180,'MoodysData(Raw)'!$B$2:$B$180,"=GDP",'MoodysData(Raw)'!$D$2:$D$180,"="&amp;'Implied Productivity Ratios'!$C23)/SUMIFS('MoodysData(Raw)'!Z$2:Z$180,'MoodysData(Raw)'!$B$2:$B$180,"=EMP",'MoodysData(Raw)'!$D$2:$D$180,"="&amp;'Implied Productivity Ratios'!$C23)</f>
        <v>495.13677879161315</v>
      </c>
      <c r="X23">
        <f>SUMIFS('MoodysData(Raw)'!AA$2:AA$180,'MoodysData(Raw)'!$B$2:$B$180,"=GDP",'MoodysData(Raw)'!$D$2:$D$180,"="&amp;'Implied Productivity Ratios'!$C23)/SUMIFS('MoodysData(Raw)'!AA$2:AA$180,'MoodysData(Raw)'!$B$2:$B$180,"=EMP",'MoodysData(Raw)'!$D$2:$D$180,"="&amp;'Implied Productivity Ratios'!$C23)</f>
        <v>534.39262654008564</v>
      </c>
      <c r="Y23">
        <f>SUMIFS('MoodysData(Raw)'!AB$2:AB$180,'MoodysData(Raw)'!$B$2:$B$180,"=GDP",'MoodysData(Raw)'!$D$2:$D$180,"="&amp;'Implied Productivity Ratios'!$C23)/SUMIFS('MoodysData(Raw)'!AB$2:AB$180,'MoodysData(Raw)'!$B$2:$B$180,"=EMP",'MoodysData(Raw)'!$D$2:$D$180,"="&amp;'Implied Productivity Ratios'!$C23)</f>
        <v>546.85694229788442</v>
      </c>
      <c r="Z23">
        <f>SUMIFS('MoodysData(Raw)'!AC$2:AC$180,'MoodysData(Raw)'!$B$2:$B$180,"=GDP",'MoodysData(Raw)'!$D$2:$D$180,"="&amp;'Implied Productivity Ratios'!$C23)/SUMIFS('MoodysData(Raw)'!AC$2:AC$180,'MoodysData(Raw)'!$B$2:$B$180,"=EMP",'MoodysData(Raw)'!$D$2:$D$180,"="&amp;'Implied Productivity Ratios'!$C23)</f>
        <v>558.86083991464466</v>
      </c>
      <c r="AA23">
        <f>SUMIFS('MoodysData(Raw)'!AD$2:AD$180,'MoodysData(Raw)'!$B$2:$B$180,"=GDP",'MoodysData(Raw)'!$D$2:$D$180,"="&amp;'Implied Productivity Ratios'!$C23)/SUMIFS('MoodysData(Raw)'!AD$2:AD$180,'MoodysData(Raw)'!$B$2:$B$180,"=EMP",'MoodysData(Raw)'!$D$2:$D$180,"="&amp;'Implied Productivity Ratios'!$C23)</f>
        <v>572.03782324995143</v>
      </c>
      <c r="AB23">
        <f>SUMIFS('MoodysData(Raw)'!AE$2:AE$180,'MoodysData(Raw)'!$B$2:$B$180,"=GDP",'MoodysData(Raw)'!$D$2:$D$180,"="&amp;'Implied Productivity Ratios'!$C23)/SUMIFS('MoodysData(Raw)'!AE$2:AE$180,'MoodysData(Raw)'!$B$2:$B$180,"=EMP",'MoodysData(Raw)'!$D$2:$D$180,"="&amp;'Implied Productivity Ratios'!$C23)</f>
        <v>588.58906129565673</v>
      </c>
      <c r="AC23">
        <f>SUMIFS('MoodysData(Raw)'!AF$2:AF$180,'MoodysData(Raw)'!$B$2:$B$180,"=GDP",'MoodysData(Raw)'!$D$2:$D$180,"="&amp;'Implied Productivity Ratios'!$C23)/SUMIFS('MoodysData(Raw)'!AF$2:AF$180,'MoodysData(Raw)'!$B$2:$B$180,"=EMP",'MoodysData(Raw)'!$D$2:$D$180,"="&amp;'Implied Productivity Ratios'!$C23)</f>
        <v>607.68986764662202</v>
      </c>
      <c r="AD23">
        <f>SUMIFS('MoodysData(Raw)'!AG$2:AG$180,'MoodysData(Raw)'!$B$2:$B$180,"=GDP",'MoodysData(Raw)'!$D$2:$D$180,"="&amp;'Implied Productivity Ratios'!$C23)/SUMIFS('MoodysData(Raw)'!AG$2:AG$180,'MoodysData(Raw)'!$B$2:$B$180,"=EMP",'MoodysData(Raw)'!$D$2:$D$180,"="&amp;'Implied Productivity Ratios'!$C23)</f>
        <v>628.02247281487644</v>
      </c>
      <c r="AE23">
        <f>SUMIFS('MoodysData(Raw)'!AH$2:AH$180,'MoodysData(Raw)'!$B$2:$B$180,"=GDP",'MoodysData(Raw)'!$D$2:$D$180,"="&amp;'Implied Productivity Ratios'!$C23)/SUMIFS('MoodysData(Raw)'!AH$2:AH$180,'MoodysData(Raw)'!$B$2:$B$180,"=EMP",'MoodysData(Raw)'!$D$2:$D$180,"="&amp;'Implied Productivity Ratios'!$C23)</f>
        <v>648.4402692767635</v>
      </c>
      <c r="AF23">
        <f>SUMIFS('MoodysData(Raw)'!AI$2:AI$180,'MoodysData(Raw)'!$B$2:$B$180,"=GDP",'MoodysData(Raw)'!$D$2:$D$180,"="&amp;'Implied Productivity Ratios'!$C23)/SUMIFS('MoodysData(Raw)'!AI$2:AI$180,'MoodysData(Raw)'!$B$2:$B$180,"=EMP",'MoodysData(Raw)'!$D$2:$D$180,"="&amp;'Implied Productivity Ratios'!$C23)</f>
        <v>669.74354221081057</v>
      </c>
      <c r="AG23">
        <f>SUMIFS('MoodysData(Raw)'!AJ$2:AJ$180,'MoodysData(Raw)'!$B$2:$B$180,"=GDP",'MoodysData(Raw)'!$D$2:$D$180,"="&amp;'Implied Productivity Ratios'!$C23)/SUMIFS('MoodysData(Raw)'!AJ$2:AJ$180,'MoodysData(Raw)'!$B$2:$B$180,"=EMP",'MoodysData(Raw)'!$D$2:$D$180,"="&amp;'Implied Productivity Ratios'!$C23)</f>
        <v>690.98746263892997</v>
      </c>
      <c r="AH23">
        <f>SUMIFS('MoodysData(Raw)'!AK$2:AK$180,'MoodysData(Raw)'!$B$2:$B$180,"=GDP",'MoodysData(Raw)'!$D$2:$D$180,"="&amp;'Implied Productivity Ratios'!$C23)/SUMIFS('MoodysData(Raw)'!AK$2:AK$180,'MoodysData(Raw)'!$B$2:$B$180,"=EMP",'MoodysData(Raw)'!$D$2:$D$180,"="&amp;'Implied Productivity Ratios'!$C23)</f>
        <v>711.63885225920433</v>
      </c>
      <c r="AI23">
        <f>SUMIFS('MoodysData(Raw)'!AL$2:AL$180,'MoodysData(Raw)'!$B$2:$B$180,"=GDP",'MoodysData(Raw)'!$D$2:$D$180,"="&amp;'Implied Productivity Ratios'!$C23)/SUMIFS('MoodysData(Raw)'!AL$2:AL$180,'MoodysData(Raw)'!$B$2:$B$180,"=EMP",'MoodysData(Raw)'!$D$2:$D$180,"="&amp;'Implied Productivity Ratios'!$C23)</f>
        <v>731.99664432509212</v>
      </c>
      <c r="AJ23">
        <f>SUMIFS('MoodysData(Raw)'!AM$2:AM$180,'MoodysData(Raw)'!$B$2:$B$180,"=GDP",'MoodysData(Raw)'!$D$2:$D$180,"="&amp;'Implied Productivity Ratios'!$C23)/SUMIFS('MoodysData(Raw)'!AM$2:AM$180,'MoodysData(Raw)'!$B$2:$B$180,"=EMP",'MoodysData(Raw)'!$D$2:$D$180,"="&amp;'Implied Productivity Ratios'!$C23)</f>
        <v>752.69364916969653</v>
      </c>
      <c r="AK23">
        <f>SUMIFS('MoodysData(Raw)'!AN$2:AN$180,'MoodysData(Raw)'!$B$2:$B$180,"=GDP",'MoodysData(Raw)'!$D$2:$D$180,"="&amp;'Implied Productivity Ratios'!$C23)/SUMIFS('MoodysData(Raw)'!AN$2:AN$180,'MoodysData(Raw)'!$B$2:$B$180,"=EMP",'MoodysData(Raw)'!$D$2:$D$180,"="&amp;'Implied Productivity Ratios'!$C23)</f>
        <v>773.60226426685108</v>
      </c>
      <c r="AL23">
        <f>SUMIFS('MoodysData(Raw)'!AO$2:AO$180,'MoodysData(Raw)'!$B$2:$B$180,"=GDP",'MoodysData(Raw)'!$D$2:$D$180,"="&amp;'Implied Productivity Ratios'!$C23)/SUMIFS('MoodysData(Raw)'!AO$2:AO$180,'MoodysData(Raw)'!$B$2:$B$180,"=EMP",'MoodysData(Raw)'!$D$2:$D$180,"="&amp;'Implied Productivity Ratios'!$C23)</f>
        <v>794.10106288662212</v>
      </c>
      <c r="AM23">
        <f>SUMIFS('MoodysData(Raw)'!AP$2:AP$180,'MoodysData(Raw)'!$B$2:$B$180,"=GDP",'MoodysData(Raw)'!$D$2:$D$180,"="&amp;'Implied Productivity Ratios'!$C23)/SUMIFS('MoodysData(Raw)'!AP$2:AP$180,'MoodysData(Raw)'!$B$2:$B$180,"=EMP",'MoodysData(Raw)'!$D$2:$D$180,"="&amp;'Implied Productivity Ratios'!$C23)</f>
        <v>814.01943143207541</v>
      </c>
      <c r="AN23">
        <f>SUMIFS('MoodysData(Raw)'!AQ$2:AQ$180,'MoodysData(Raw)'!$B$2:$B$180,"=GDP",'MoodysData(Raw)'!$D$2:$D$180,"="&amp;'Implied Productivity Ratios'!$C23)/SUMIFS('MoodysData(Raw)'!AQ$2:AQ$180,'MoodysData(Raw)'!$B$2:$B$180,"=EMP",'MoodysData(Raw)'!$D$2:$D$180,"="&amp;'Implied Productivity Ratios'!$C23)</f>
        <v>833.19254551393044</v>
      </c>
      <c r="AO23">
        <f>SUMIFS('MoodysData(Raw)'!AR$2:AR$180,'MoodysData(Raw)'!$B$2:$B$180,"=GDP",'MoodysData(Raw)'!$D$2:$D$180,"="&amp;'Implied Productivity Ratios'!$C23)/SUMIFS('MoodysData(Raw)'!AR$2:AR$180,'MoodysData(Raw)'!$B$2:$B$180,"=EMP",'MoodysData(Raw)'!$D$2:$D$180,"="&amp;'Implied Productivity Ratios'!$C23)</f>
        <v>851.4999115351452</v>
      </c>
      <c r="AP23">
        <f>SUMIFS('MoodysData(Raw)'!AS$2:AS$180,'MoodysData(Raw)'!$B$2:$B$180,"=GDP",'MoodysData(Raw)'!$D$2:$D$180,"="&amp;'Implied Productivity Ratios'!$C23)/SUMIFS('MoodysData(Raw)'!AS$2:AS$180,'MoodysData(Raw)'!$B$2:$B$180,"=EMP",'MoodysData(Raw)'!$D$2:$D$180,"="&amp;'Implied Productivity Ratios'!$C23)</f>
        <v>869.38315778852791</v>
      </c>
      <c r="AQ23">
        <f>SUMIFS('MoodysData(Raw)'!AT$2:AT$180,'MoodysData(Raw)'!$B$2:$B$180,"=GDP",'MoodysData(Raw)'!$D$2:$D$180,"="&amp;'Implied Productivity Ratios'!$C23)/SUMIFS('MoodysData(Raw)'!AT$2:AT$180,'MoodysData(Raw)'!$B$2:$B$180,"=EMP",'MoodysData(Raw)'!$D$2:$D$180,"="&amp;'Implied Productivity Ratios'!$C23)</f>
        <v>887.01888171642167</v>
      </c>
      <c r="AR23">
        <f>SUMIFS('MoodysData(Raw)'!AU$2:AU$180,'MoodysData(Raw)'!$B$2:$B$180,"=GDP",'MoodysData(Raw)'!$D$2:$D$180,"="&amp;'Implied Productivity Ratios'!$C23)/SUMIFS('MoodysData(Raw)'!AU$2:AU$180,'MoodysData(Raw)'!$B$2:$B$180,"=EMP",'MoodysData(Raw)'!$D$2:$D$180,"="&amp;'Implied Productivity Ratios'!$C23)</f>
        <v>904.42252793858574</v>
      </c>
      <c r="AS23">
        <f>SUMIFS('MoodysData(Raw)'!AV$2:AV$180,'MoodysData(Raw)'!$B$2:$B$180,"=GDP",'MoodysData(Raw)'!$D$2:$D$180,"="&amp;'Implied Productivity Ratios'!$C23)/SUMIFS('MoodysData(Raw)'!AV$2:AV$180,'MoodysData(Raw)'!$B$2:$B$180,"=EMP",'MoodysData(Raw)'!$D$2:$D$180,"="&amp;'Implied Productivity Ratios'!$C23)</f>
        <v>921.41913130302305</v>
      </c>
      <c r="AT23">
        <f>SUMIFS('MoodysData(Raw)'!AW$2:AW$180,'MoodysData(Raw)'!$B$2:$B$180,"=GDP",'MoodysData(Raw)'!$D$2:$D$180,"="&amp;'Implied Productivity Ratios'!$C23)/SUMIFS('MoodysData(Raw)'!AW$2:AW$180,'MoodysData(Raw)'!$B$2:$B$180,"=EMP",'MoodysData(Raw)'!$D$2:$D$180,"="&amp;'Implied Productivity Ratios'!$C23)</f>
        <v>938.33643666848764</v>
      </c>
      <c r="AU23">
        <f>SUMIFS('MoodysData(Raw)'!AX$2:AX$180,'MoodysData(Raw)'!$B$2:$B$180,"=GDP",'MoodysData(Raw)'!$D$2:$D$180,"="&amp;'Implied Productivity Ratios'!$C23)/SUMIFS('MoodysData(Raw)'!AX$2:AX$180,'MoodysData(Raw)'!$B$2:$B$180,"=EMP",'MoodysData(Raw)'!$D$2:$D$180,"="&amp;'Implied Productivity Ratios'!$C23)</f>
        <v>955.53151606266829</v>
      </c>
      <c r="AV23">
        <f>SUMIFS('MoodysData(Raw)'!AY$2:AY$180,'MoodysData(Raw)'!$B$2:$B$180,"=GDP",'MoodysData(Raw)'!$D$2:$D$180,"="&amp;'Implied Productivity Ratios'!$C23)/SUMIFS('MoodysData(Raw)'!AY$2:AY$180,'MoodysData(Raw)'!$B$2:$B$180,"=EMP",'MoodysData(Raw)'!$D$2:$D$180,"="&amp;'Implied Productivity Ratios'!$C23)</f>
        <v>972.73960451184337</v>
      </c>
      <c r="AW23">
        <f>SUMIFS('MoodysData(Raw)'!AZ$2:AZ$180,'MoodysData(Raw)'!$B$2:$B$180,"=GDP",'MoodysData(Raw)'!$D$2:$D$180,"="&amp;'Implied Productivity Ratios'!$C23)/SUMIFS('MoodysData(Raw)'!AZ$2:AZ$180,'MoodysData(Raw)'!$B$2:$B$180,"=EMP",'MoodysData(Raw)'!$D$2:$D$180,"="&amp;'Implied Productivity Ratios'!$C23)</f>
        <v>989.6040297277973</v>
      </c>
      <c r="AX23">
        <f>SUMIFS('MoodysData(Raw)'!BA$2:BA$180,'MoodysData(Raw)'!$B$2:$B$180,"=GDP",'MoodysData(Raw)'!$D$2:$D$180,"="&amp;'Implied Productivity Ratios'!$C23)/SUMIFS('MoodysData(Raw)'!BA$2:BA$180,'MoodysData(Raw)'!$B$2:$B$180,"=EMP",'MoodysData(Raw)'!$D$2:$D$180,"="&amp;'Implied Productivity Ratios'!$C23)</f>
        <v>1006.6595016046006</v>
      </c>
      <c r="AY23">
        <f>SUMIFS('MoodysData(Raw)'!BB$2:BB$180,'MoodysData(Raw)'!$B$2:$B$180,"=GDP",'MoodysData(Raw)'!$D$2:$D$180,"="&amp;'Implied Productivity Ratios'!$C23)/SUMIFS('MoodysData(Raw)'!BB$2:BB$180,'MoodysData(Raw)'!$B$2:$B$180,"=EMP",'MoodysData(Raw)'!$D$2:$D$180,"="&amp;'Implied Productivity Ratios'!$C23)</f>
        <v>1023.2274377561025</v>
      </c>
      <c r="AZ23">
        <f>SUMIFS('MoodysData(Raw)'!BC$2:BC$180,'MoodysData(Raw)'!$B$2:$B$180,"=GDP",'MoodysData(Raw)'!$D$2:$D$180,"="&amp;'Implied Productivity Ratios'!$C23)/SUMIFS('MoodysData(Raw)'!BC$2:BC$180,'MoodysData(Raw)'!$B$2:$B$180,"=EMP",'MoodysData(Raw)'!$D$2:$D$180,"="&amp;'Implied Productivity Ratios'!$C23)</f>
        <v>1039.6330910714369</v>
      </c>
      <c r="BA23">
        <f>SUMIFS('MoodysData(Raw)'!BD$2:BD$180,'MoodysData(Raw)'!$B$2:$B$180,"=GDP",'MoodysData(Raw)'!$D$2:$D$180,"="&amp;'Implied Productivity Ratios'!$C23)/SUMIFS('MoodysData(Raw)'!BD$2:BD$180,'MoodysData(Raw)'!$B$2:$B$180,"=EMP",'MoodysData(Raw)'!$D$2:$D$180,"="&amp;'Implied Productivity Ratios'!$C23)</f>
        <v>1055.9193796799195</v>
      </c>
      <c r="BB23">
        <f>SUMIFS('MoodysData(Raw)'!BE$2:BE$180,'MoodysData(Raw)'!$B$2:$B$180,"=GDP",'MoodysData(Raw)'!$D$2:$D$180,"="&amp;'Implied Productivity Ratios'!$C23)/SUMIFS('MoodysData(Raw)'!BE$2:BE$180,'MoodysData(Raw)'!$B$2:$B$180,"=EMP",'MoodysData(Raw)'!$D$2:$D$180,"="&amp;'Implied Productivity Ratios'!$C23)</f>
        <v>1072.7800068154208</v>
      </c>
      <c r="BC23">
        <f>SUMIFS('MoodysData(Raw)'!BF$2:BF$180,'MoodysData(Raw)'!$B$2:$B$180,"=GDP",'MoodysData(Raw)'!$D$2:$D$180,"="&amp;'Implied Productivity Ratios'!$C23)/SUMIFS('MoodysData(Raw)'!BF$2:BF$180,'MoodysData(Raw)'!$B$2:$B$180,"=EMP",'MoodysData(Raw)'!$D$2:$D$180,"="&amp;'Implied Productivity Ratios'!$C23)</f>
        <v>1090.3491943810454</v>
      </c>
      <c r="BD23" s="5">
        <f t="shared" ref="BD23:BH23" si="17">BC23+($BC23-$AX23)/5</f>
        <v>1107.0871329363345</v>
      </c>
      <c r="BE23" s="5">
        <f t="shared" si="17"/>
        <v>1123.8250714916235</v>
      </c>
      <c r="BF23" s="5">
        <f t="shared" si="17"/>
        <v>1140.5630100469125</v>
      </c>
      <c r="BG23" s="5">
        <f t="shared" si="17"/>
        <v>1157.3009486022015</v>
      </c>
      <c r="BH23" s="5">
        <f t="shared" si="17"/>
        <v>1174.0388871574905</v>
      </c>
    </row>
    <row r="24" spans="3:60">
      <c r="C24">
        <v>326</v>
      </c>
      <c r="D24" t="s">
        <v>79</v>
      </c>
      <c r="E24">
        <f>SUMIFS('MoodysData(Raw)'!H$2:H$180,'MoodysData(Raw)'!$B$2:$B$180,"=GDP",'MoodysData(Raw)'!$D$2:$D$180,"="&amp;'Implied Productivity Ratios'!$C24)/SUMIFS('MoodysData(Raw)'!H$2:H$180,'MoodysData(Raw)'!$B$2:$B$180,"=EMP",'MoodysData(Raw)'!$D$2:$D$180,"="&amp;'Implied Productivity Ratios'!$C24)</f>
        <v>96.787333076887649</v>
      </c>
      <c r="F24">
        <f>SUMIFS('MoodysData(Raw)'!I$2:I$180,'MoodysData(Raw)'!$B$2:$B$180,"=GDP",'MoodysData(Raw)'!$D$2:$D$180,"="&amp;'Implied Productivity Ratios'!$C24)/SUMIFS('MoodysData(Raw)'!I$2:I$180,'MoodysData(Raw)'!$B$2:$B$180,"=EMP",'MoodysData(Raw)'!$D$2:$D$180,"="&amp;'Implied Productivity Ratios'!$C24)</f>
        <v>92.044767511866823</v>
      </c>
      <c r="G24">
        <f>SUMIFS('MoodysData(Raw)'!J$2:J$180,'MoodysData(Raw)'!$B$2:$B$180,"=GDP",'MoodysData(Raw)'!$D$2:$D$180,"="&amp;'Implied Productivity Ratios'!$C24)/SUMIFS('MoodysData(Raw)'!J$2:J$180,'MoodysData(Raw)'!$B$2:$B$180,"=EMP",'MoodysData(Raw)'!$D$2:$D$180,"="&amp;'Implied Productivity Ratios'!$C24)</f>
        <v>97.99745185333532</v>
      </c>
      <c r="H24">
        <f>SUMIFS('MoodysData(Raw)'!K$2:K$180,'MoodysData(Raw)'!$B$2:$B$180,"=GDP",'MoodysData(Raw)'!$D$2:$D$180,"="&amp;'Implied Productivity Ratios'!$C24)/SUMIFS('MoodysData(Raw)'!K$2:K$180,'MoodysData(Raw)'!$B$2:$B$180,"=EMP",'MoodysData(Raw)'!$D$2:$D$180,"="&amp;'Implied Productivity Ratios'!$C24)</f>
        <v>88.569392907299033</v>
      </c>
      <c r="I24">
        <f>SUMIFS('MoodysData(Raw)'!L$2:L$180,'MoodysData(Raw)'!$B$2:$B$180,"=GDP",'MoodysData(Raw)'!$D$2:$D$180,"="&amp;'Implied Productivity Ratios'!$C24)/SUMIFS('MoodysData(Raw)'!L$2:L$180,'MoodysData(Raw)'!$B$2:$B$180,"=EMP",'MoodysData(Raw)'!$D$2:$D$180,"="&amp;'Implied Productivity Ratios'!$C24)</f>
        <v>102.27924497021424</v>
      </c>
      <c r="J24">
        <f>SUMIFS('MoodysData(Raw)'!M$2:M$180,'MoodysData(Raw)'!$B$2:$B$180,"=GDP",'MoodysData(Raw)'!$D$2:$D$180,"="&amp;'Implied Productivity Ratios'!$C24)/SUMIFS('MoodysData(Raw)'!M$2:M$180,'MoodysData(Raw)'!$B$2:$B$180,"=EMP",'MoodysData(Raw)'!$D$2:$D$180,"="&amp;'Implied Productivity Ratios'!$C24)</f>
        <v>109.1863059489632</v>
      </c>
      <c r="K24">
        <f>SUMIFS('MoodysData(Raw)'!N$2:N$180,'MoodysData(Raw)'!$B$2:$B$180,"=GDP",'MoodysData(Raw)'!$D$2:$D$180,"="&amp;'Implied Productivity Ratios'!$C24)/SUMIFS('MoodysData(Raw)'!N$2:N$180,'MoodysData(Raw)'!$B$2:$B$180,"=EMP",'MoodysData(Raw)'!$D$2:$D$180,"="&amp;'Implied Productivity Ratios'!$C24)</f>
        <v>105.57420738486285</v>
      </c>
      <c r="L24">
        <f>SUMIFS('MoodysData(Raw)'!O$2:O$180,'MoodysData(Raw)'!$B$2:$B$180,"=GDP",'MoodysData(Raw)'!$D$2:$D$180,"="&amp;'Implied Productivity Ratios'!$C24)/SUMIFS('MoodysData(Raw)'!O$2:O$180,'MoodysData(Raw)'!$B$2:$B$180,"=EMP",'MoodysData(Raw)'!$D$2:$D$180,"="&amp;'Implied Productivity Ratios'!$C24)</f>
        <v>106.49319284513375</v>
      </c>
      <c r="M24">
        <f>SUMIFS('MoodysData(Raw)'!P$2:P$180,'MoodysData(Raw)'!$B$2:$B$180,"=GDP",'MoodysData(Raw)'!$D$2:$D$180,"="&amp;'Implied Productivity Ratios'!$C24)/SUMIFS('MoodysData(Raw)'!P$2:P$180,'MoodysData(Raw)'!$B$2:$B$180,"=EMP",'MoodysData(Raw)'!$D$2:$D$180,"="&amp;'Implied Productivity Ratios'!$C24)</f>
        <v>104.7903800727476</v>
      </c>
      <c r="N24">
        <f>SUMIFS('MoodysData(Raw)'!Q$2:Q$180,'MoodysData(Raw)'!$B$2:$B$180,"=GDP",'MoodysData(Raw)'!$D$2:$D$180,"="&amp;'Implied Productivity Ratios'!$C24)/SUMIFS('MoodysData(Raw)'!Q$2:Q$180,'MoodysData(Raw)'!$B$2:$B$180,"=EMP",'MoodysData(Raw)'!$D$2:$D$180,"="&amp;'Implied Productivity Ratios'!$C24)</f>
        <v>101.81368348962485</v>
      </c>
      <c r="O24">
        <f>SUMIFS('MoodysData(Raw)'!R$2:R$180,'MoodysData(Raw)'!$B$2:$B$180,"=GDP",'MoodysData(Raw)'!$D$2:$D$180,"="&amp;'Implied Productivity Ratios'!$C24)/SUMIFS('MoodysData(Raw)'!R$2:R$180,'MoodysData(Raw)'!$B$2:$B$180,"=EMP",'MoodysData(Raw)'!$D$2:$D$180,"="&amp;'Implied Productivity Ratios'!$C24)</f>
        <v>110.15866982545884</v>
      </c>
      <c r="P24">
        <f>SUMIFS('MoodysData(Raw)'!S$2:S$180,'MoodysData(Raw)'!$B$2:$B$180,"=GDP",'MoodysData(Raw)'!$D$2:$D$180,"="&amp;'Implied Productivity Ratios'!$C24)/SUMIFS('MoodysData(Raw)'!S$2:S$180,'MoodysData(Raw)'!$B$2:$B$180,"=EMP",'MoodysData(Raw)'!$D$2:$D$180,"="&amp;'Implied Productivity Ratios'!$C24)</f>
        <v>108.98478822361724</v>
      </c>
      <c r="Q24">
        <f>SUMIFS('MoodysData(Raw)'!T$2:T$180,'MoodysData(Raw)'!$B$2:$B$180,"=GDP",'MoodysData(Raw)'!$D$2:$D$180,"="&amp;'Implied Productivity Ratios'!$C24)/SUMIFS('MoodysData(Raw)'!T$2:T$180,'MoodysData(Raw)'!$B$2:$B$180,"=EMP",'MoodysData(Raw)'!$D$2:$D$180,"="&amp;'Implied Productivity Ratios'!$C24)</f>
        <v>107.80357636571316</v>
      </c>
      <c r="R24">
        <f>SUMIFS('MoodysData(Raw)'!U$2:U$180,'MoodysData(Raw)'!$B$2:$B$180,"=GDP",'MoodysData(Raw)'!$D$2:$D$180,"="&amp;'Implied Productivity Ratios'!$C24)/SUMIFS('MoodysData(Raw)'!U$2:U$180,'MoodysData(Raw)'!$B$2:$B$180,"=EMP",'MoodysData(Raw)'!$D$2:$D$180,"="&amp;'Implied Productivity Ratios'!$C24)</f>
        <v>109.6772470613692</v>
      </c>
      <c r="S24">
        <f>SUMIFS('MoodysData(Raw)'!V$2:V$180,'MoodysData(Raw)'!$B$2:$B$180,"=GDP",'MoodysData(Raw)'!$D$2:$D$180,"="&amp;'Implied Productivity Ratios'!$C24)/SUMIFS('MoodysData(Raw)'!V$2:V$180,'MoodysData(Raw)'!$B$2:$B$180,"=EMP",'MoodysData(Raw)'!$D$2:$D$180,"="&amp;'Implied Productivity Ratios'!$C24)</f>
        <v>111.47645798723441</v>
      </c>
      <c r="T24">
        <f>SUMIFS('MoodysData(Raw)'!W$2:W$180,'MoodysData(Raw)'!$B$2:$B$180,"=GDP",'MoodysData(Raw)'!$D$2:$D$180,"="&amp;'Implied Productivity Ratios'!$C24)/SUMIFS('MoodysData(Raw)'!W$2:W$180,'MoodysData(Raw)'!$B$2:$B$180,"=EMP",'MoodysData(Raw)'!$D$2:$D$180,"="&amp;'Implied Productivity Ratios'!$C24)</f>
        <v>110.89349485935649</v>
      </c>
      <c r="U24">
        <f>SUMIFS('MoodysData(Raw)'!X$2:X$180,'MoodysData(Raw)'!$B$2:$B$180,"=GDP",'MoodysData(Raw)'!$D$2:$D$180,"="&amp;'Implied Productivity Ratios'!$C24)/SUMIFS('MoodysData(Raw)'!X$2:X$180,'MoodysData(Raw)'!$B$2:$B$180,"=EMP",'MoodysData(Raw)'!$D$2:$D$180,"="&amp;'Implied Productivity Ratios'!$C24)</f>
        <v>107.48752608370816</v>
      </c>
      <c r="V24">
        <f>SUMIFS('MoodysData(Raw)'!Y$2:Y$180,'MoodysData(Raw)'!$B$2:$B$180,"=GDP",'MoodysData(Raw)'!$D$2:$D$180,"="&amp;'Implied Productivity Ratios'!$C24)/SUMIFS('MoodysData(Raw)'!Y$2:Y$180,'MoodysData(Raw)'!$B$2:$B$180,"=EMP",'MoodysData(Raw)'!$D$2:$D$180,"="&amp;'Implied Productivity Ratios'!$C24)</f>
        <v>91.076187240548265</v>
      </c>
      <c r="W24">
        <f>SUMIFS('MoodysData(Raw)'!Z$2:Z$180,'MoodysData(Raw)'!$B$2:$B$180,"=GDP",'MoodysData(Raw)'!$D$2:$D$180,"="&amp;'Implied Productivity Ratios'!$C24)/SUMIFS('MoodysData(Raw)'!Z$2:Z$180,'MoodysData(Raw)'!$B$2:$B$180,"=EMP",'MoodysData(Raw)'!$D$2:$D$180,"="&amp;'Implied Productivity Ratios'!$C24)</f>
        <v>85.149317857951985</v>
      </c>
      <c r="X24">
        <f>SUMIFS('MoodysData(Raw)'!AA$2:AA$180,'MoodysData(Raw)'!$B$2:$B$180,"=GDP",'MoodysData(Raw)'!$D$2:$D$180,"="&amp;'Implied Productivity Ratios'!$C24)/SUMIFS('MoodysData(Raw)'!AA$2:AA$180,'MoodysData(Raw)'!$B$2:$B$180,"=EMP",'MoodysData(Raw)'!$D$2:$D$180,"="&amp;'Implied Productivity Ratios'!$C24)</f>
        <v>85.94790866332508</v>
      </c>
      <c r="Y24">
        <f>SUMIFS('MoodysData(Raw)'!AB$2:AB$180,'MoodysData(Raw)'!$B$2:$B$180,"=GDP",'MoodysData(Raw)'!$D$2:$D$180,"="&amp;'Implied Productivity Ratios'!$C24)/SUMIFS('MoodysData(Raw)'!AB$2:AB$180,'MoodysData(Raw)'!$B$2:$B$180,"=EMP",'MoodysData(Raw)'!$D$2:$D$180,"="&amp;'Implied Productivity Ratios'!$C24)</f>
        <v>87.554289222662248</v>
      </c>
      <c r="Z24">
        <f>SUMIFS('MoodysData(Raw)'!AC$2:AC$180,'MoodysData(Raw)'!$B$2:$B$180,"=GDP",'MoodysData(Raw)'!$D$2:$D$180,"="&amp;'Implied Productivity Ratios'!$C24)/SUMIFS('MoodysData(Raw)'!AC$2:AC$180,'MoodysData(Raw)'!$B$2:$B$180,"=EMP",'MoodysData(Raw)'!$D$2:$D$180,"="&amp;'Implied Productivity Ratios'!$C24)</f>
        <v>90.153637589301781</v>
      </c>
      <c r="AA24">
        <f>SUMIFS('MoodysData(Raw)'!AD$2:AD$180,'MoodysData(Raw)'!$B$2:$B$180,"=GDP",'MoodysData(Raw)'!$D$2:$D$180,"="&amp;'Implied Productivity Ratios'!$C24)/SUMIFS('MoodysData(Raw)'!AD$2:AD$180,'MoodysData(Raw)'!$B$2:$B$180,"=EMP",'MoodysData(Raw)'!$D$2:$D$180,"="&amp;'Implied Productivity Ratios'!$C24)</f>
        <v>93.473082211956793</v>
      </c>
      <c r="AB24">
        <f>SUMIFS('MoodysData(Raw)'!AE$2:AE$180,'MoodysData(Raw)'!$B$2:$B$180,"=GDP",'MoodysData(Raw)'!$D$2:$D$180,"="&amp;'Implied Productivity Ratios'!$C24)/SUMIFS('MoodysData(Raw)'!AE$2:AE$180,'MoodysData(Raw)'!$B$2:$B$180,"=EMP",'MoodysData(Raw)'!$D$2:$D$180,"="&amp;'Implied Productivity Ratios'!$C24)</f>
        <v>97.778192942683077</v>
      </c>
      <c r="AC24">
        <f>SUMIFS('MoodysData(Raw)'!AF$2:AF$180,'MoodysData(Raw)'!$B$2:$B$180,"=GDP",'MoodysData(Raw)'!$D$2:$D$180,"="&amp;'Implied Productivity Ratios'!$C24)/SUMIFS('MoodysData(Raw)'!AF$2:AF$180,'MoodysData(Raw)'!$B$2:$B$180,"=EMP",'MoodysData(Raw)'!$D$2:$D$180,"="&amp;'Implied Productivity Ratios'!$C24)</f>
        <v>102.65085935254184</v>
      </c>
      <c r="AD24">
        <f>SUMIFS('MoodysData(Raw)'!AG$2:AG$180,'MoodysData(Raw)'!$B$2:$B$180,"=GDP",'MoodysData(Raw)'!$D$2:$D$180,"="&amp;'Implied Productivity Ratios'!$C24)/SUMIFS('MoodysData(Raw)'!AG$2:AG$180,'MoodysData(Raw)'!$B$2:$B$180,"=EMP",'MoodysData(Raw)'!$D$2:$D$180,"="&amp;'Implied Productivity Ratios'!$C24)</f>
        <v>107.73637695708464</v>
      </c>
      <c r="AE24">
        <f>SUMIFS('MoodysData(Raw)'!AH$2:AH$180,'MoodysData(Raw)'!$B$2:$B$180,"=GDP",'MoodysData(Raw)'!$D$2:$D$180,"="&amp;'Implied Productivity Ratios'!$C24)/SUMIFS('MoodysData(Raw)'!AH$2:AH$180,'MoodysData(Raw)'!$B$2:$B$180,"=EMP",'MoodysData(Raw)'!$D$2:$D$180,"="&amp;'Implied Productivity Ratios'!$C24)</f>
        <v>112.62530605663268</v>
      </c>
      <c r="AF24">
        <f>SUMIFS('MoodysData(Raw)'!AI$2:AI$180,'MoodysData(Raw)'!$B$2:$B$180,"=GDP",'MoodysData(Raw)'!$D$2:$D$180,"="&amp;'Implied Productivity Ratios'!$C24)/SUMIFS('MoodysData(Raw)'!AI$2:AI$180,'MoodysData(Raw)'!$B$2:$B$180,"=EMP",'MoodysData(Raw)'!$D$2:$D$180,"="&amp;'Implied Productivity Ratios'!$C24)</f>
        <v>117.44076577285487</v>
      </c>
      <c r="AG24">
        <f>SUMIFS('MoodysData(Raw)'!AJ$2:AJ$180,'MoodysData(Raw)'!$B$2:$B$180,"=GDP",'MoodysData(Raw)'!$D$2:$D$180,"="&amp;'Implied Productivity Ratios'!$C24)/SUMIFS('MoodysData(Raw)'!AJ$2:AJ$180,'MoodysData(Raw)'!$B$2:$B$180,"=EMP",'MoodysData(Raw)'!$D$2:$D$180,"="&amp;'Implied Productivity Ratios'!$C24)</f>
        <v>122.28530230175623</v>
      </c>
      <c r="AH24">
        <f>SUMIFS('MoodysData(Raw)'!AK$2:AK$180,'MoodysData(Raw)'!$B$2:$B$180,"=GDP",'MoodysData(Raw)'!$D$2:$D$180,"="&amp;'Implied Productivity Ratios'!$C24)/SUMIFS('MoodysData(Raw)'!AK$2:AK$180,'MoodysData(Raw)'!$B$2:$B$180,"=EMP",'MoodysData(Raw)'!$D$2:$D$180,"="&amp;'Implied Productivity Ratios'!$C24)</f>
        <v>127.0426240635711</v>
      </c>
      <c r="AI24">
        <f>SUMIFS('MoodysData(Raw)'!AL$2:AL$180,'MoodysData(Raw)'!$B$2:$B$180,"=GDP",'MoodysData(Raw)'!$D$2:$D$180,"="&amp;'Implied Productivity Ratios'!$C24)/SUMIFS('MoodysData(Raw)'!AL$2:AL$180,'MoodysData(Raw)'!$B$2:$B$180,"=EMP",'MoodysData(Raw)'!$D$2:$D$180,"="&amp;'Implied Productivity Ratios'!$C24)</f>
        <v>131.82645791498712</v>
      </c>
      <c r="AJ24">
        <f>SUMIFS('MoodysData(Raw)'!AM$2:AM$180,'MoodysData(Raw)'!$B$2:$B$180,"=GDP",'MoodysData(Raw)'!$D$2:$D$180,"="&amp;'Implied Productivity Ratios'!$C24)/SUMIFS('MoodysData(Raw)'!AM$2:AM$180,'MoodysData(Raw)'!$B$2:$B$180,"=EMP",'MoodysData(Raw)'!$D$2:$D$180,"="&amp;'Implied Productivity Ratios'!$C24)</f>
        <v>136.77987887850466</v>
      </c>
      <c r="AK24">
        <f>SUMIFS('MoodysData(Raw)'!AN$2:AN$180,'MoodysData(Raw)'!$B$2:$B$180,"=GDP",'MoodysData(Raw)'!$D$2:$D$180,"="&amp;'Implied Productivity Ratios'!$C24)/SUMIFS('MoodysData(Raw)'!AN$2:AN$180,'MoodysData(Raw)'!$B$2:$B$180,"=EMP",'MoodysData(Raw)'!$D$2:$D$180,"="&amp;'Implied Productivity Ratios'!$C24)</f>
        <v>141.92590837737151</v>
      </c>
      <c r="AL24">
        <f>SUMIFS('MoodysData(Raw)'!AO$2:AO$180,'MoodysData(Raw)'!$B$2:$B$180,"=GDP",'MoodysData(Raw)'!$D$2:$D$180,"="&amp;'Implied Productivity Ratios'!$C24)/SUMIFS('MoodysData(Raw)'!AO$2:AO$180,'MoodysData(Raw)'!$B$2:$B$180,"=EMP",'MoodysData(Raw)'!$D$2:$D$180,"="&amp;'Implied Productivity Ratios'!$C24)</f>
        <v>147.15481209393312</v>
      </c>
      <c r="AM24">
        <f>SUMIFS('MoodysData(Raw)'!AP$2:AP$180,'MoodysData(Raw)'!$B$2:$B$180,"=GDP",'MoodysData(Raw)'!$D$2:$D$180,"="&amp;'Implied Productivity Ratios'!$C24)/SUMIFS('MoodysData(Raw)'!AP$2:AP$180,'MoodysData(Raw)'!$B$2:$B$180,"=EMP",'MoodysData(Raw)'!$D$2:$D$180,"="&amp;'Implied Productivity Ratios'!$C24)</f>
        <v>152.43653156117304</v>
      </c>
      <c r="AN24">
        <f>SUMIFS('MoodysData(Raw)'!AQ$2:AQ$180,'MoodysData(Raw)'!$B$2:$B$180,"=GDP",'MoodysData(Raw)'!$D$2:$D$180,"="&amp;'Implied Productivity Ratios'!$C24)/SUMIFS('MoodysData(Raw)'!AQ$2:AQ$180,'MoodysData(Raw)'!$B$2:$B$180,"=EMP",'MoodysData(Raw)'!$D$2:$D$180,"="&amp;'Implied Productivity Ratios'!$C24)</f>
        <v>157.66040700131498</v>
      </c>
      <c r="AO24">
        <f>SUMIFS('MoodysData(Raw)'!AR$2:AR$180,'MoodysData(Raw)'!$B$2:$B$180,"=GDP",'MoodysData(Raw)'!$D$2:$D$180,"="&amp;'Implied Productivity Ratios'!$C24)/SUMIFS('MoodysData(Raw)'!AR$2:AR$180,'MoodysData(Raw)'!$B$2:$B$180,"=EMP",'MoodysData(Raw)'!$D$2:$D$180,"="&amp;'Implied Productivity Ratios'!$C24)</f>
        <v>162.7952876459693</v>
      </c>
      <c r="AP24">
        <f>SUMIFS('MoodysData(Raw)'!AS$2:AS$180,'MoodysData(Raw)'!$B$2:$B$180,"=GDP",'MoodysData(Raw)'!$D$2:$D$180,"="&amp;'Implied Productivity Ratios'!$C24)/SUMIFS('MoodysData(Raw)'!AS$2:AS$180,'MoodysData(Raw)'!$B$2:$B$180,"=EMP",'MoodysData(Raw)'!$D$2:$D$180,"="&amp;'Implied Productivity Ratios'!$C24)</f>
        <v>167.9357351336914</v>
      </c>
      <c r="AQ24">
        <f>SUMIFS('MoodysData(Raw)'!AT$2:AT$180,'MoodysData(Raw)'!$B$2:$B$180,"=GDP",'MoodysData(Raw)'!$D$2:$D$180,"="&amp;'Implied Productivity Ratios'!$C24)/SUMIFS('MoodysData(Raw)'!AT$2:AT$180,'MoodysData(Raw)'!$B$2:$B$180,"=EMP",'MoodysData(Raw)'!$D$2:$D$180,"="&amp;'Implied Productivity Ratios'!$C24)</f>
        <v>173.09145079999089</v>
      </c>
      <c r="AR24">
        <f>SUMIFS('MoodysData(Raw)'!AU$2:AU$180,'MoodysData(Raw)'!$B$2:$B$180,"=GDP",'MoodysData(Raw)'!$D$2:$D$180,"="&amp;'Implied Productivity Ratios'!$C24)/SUMIFS('MoodysData(Raw)'!AU$2:AU$180,'MoodysData(Raw)'!$B$2:$B$180,"=EMP",'MoodysData(Raw)'!$D$2:$D$180,"="&amp;'Implied Productivity Ratios'!$C24)</f>
        <v>178.26522175224193</v>
      </c>
      <c r="AS24">
        <f>SUMIFS('MoodysData(Raw)'!AV$2:AV$180,'MoodysData(Raw)'!$B$2:$B$180,"=GDP",'MoodysData(Raw)'!$D$2:$D$180,"="&amp;'Implied Productivity Ratios'!$C24)/SUMIFS('MoodysData(Raw)'!AV$2:AV$180,'MoodysData(Raw)'!$B$2:$B$180,"=EMP",'MoodysData(Raw)'!$D$2:$D$180,"="&amp;'Implied Productivity Ratios'!$C24)</f>
        <v>183.51429679235099</v>
      </c>
      <c r="AT24">
        <f>SUMIFS('MoodysData(Raw)'!AW$2:AW$180,'MoodysData(Raw)'!$B$2:$B$180,"=GDP",'MoodysData(Raw)'!$D$2:$D$180,"="&amp;'Implied Productivity Ratios'!$C24)/SUMIFS('MoodysData(Raw)'!AW$2:AW$180,'MoodysData(Raw)'!$B$2:$B$180,"=EMP",'MoodysData(Raw)'!$D$2:$D$180,"="&amp;'Implied Productivity Ratios'!$C24)</f>
        <v>188.91397035667484</v>
      </c>
      <c r="AU24">
        <f>SUMIFS('MoodysData(Raw)'!AX$2:AX$180,'MoodysData(Raw)'!$B$2:$B$180,"=GDP",'MoodysData(Raw)'!$D$2:$D$180,"="&amp;'Implied Productivity Ratios'!$C24)/SUMIFS('MoodysData(Raw)'!AX$2:AX$180,'MoodysData(Raw)'!$B$2:$B$180,"=EMP",'MoodysData(Raw)'!$D$2:$D$180,"="&amp;'Implied Productivity Ratios'!$C24)</f>
        <v>194.56082070150211</v>
      </c>
      <c r="AV24">
        <f>SUMIFS('MoodysData(Raw)'!AY$2:AY$180,'MoodysData(Raw)'!$B$2:$B$180,"=GDP",'MoodysData(Raw)'!$D$2:$D$180,"="&amp;'Implied Productivity Ratios'!$C24)/SUMIFS('MoodysData(Raw)'!AY$2:AY$180,'MoodysData(Raw)'!$B$2:$B$180,"=EMP",'MoodysData(Raw)'!$D$2:$D$180,"="&amp;'Implied Productivity Ratios'!$C24)</f>
        <v>200.4458329127319</v>
      </c>
      <c r="AW24">
        <f>SUMIFS('MoodysData(Raw)'!AZ$2:AZ$180,'MoodysData(Raw)'!$B$2:$B$180,"=GDP",'MoodysData(Raw)'!$D$2:$D$180,"="&amp;'Implied Productivity Ratios'!$C24)/SUMIFS('MoodysData(Raw)'!AZ$2:AZ$180,'MoodysData(Raw)'!$B$2:$B$180,"=EMP",'MoodysData(Raw)'!$D$2:$D$180,"="&amp;'Implied Productivity Ratios'!$C24)</f>
        <v>206.4650543422627</v>
      </c>
      <c r="AX24">
        <f>SUMIFS('MoodysData(Raw)'!BA$2:BA$180,'MoodysData(Raw)'!$B$2:$B$180,"=GDP",'MoodysData(Raw)'!$D$2:$D$180,"="&amp;'Implied Productivity Ratios'!$C24)/SUMIFS('MoodysData(Raw)'!BA$2:BA$180,'MoodysData(Raw)'!$B$2:$B$180,"=EMP",'MoodysData(Raw)'!$D$2:$D$180,"="&amp;'Implied Productivity Ratios'!$C24)</f>
        <v>212.71016730510146</v>
      </c>
      <c r="AY24">
        <f>SUMIFS('MoodysData(Raw)'!BB$2:BB$180,'MoodysData(Raw)'!$B$2:$B$180,"=GDP",'MoodysData(Raw)'!$D$2:$D$180,"="&amp;'Implied Productivity Ratios'!$C24)/SUMIFS('MoodysData(Raw)'!BB$2:BB$180,'MoodysData(Raw)'!$B$2:$B$180,"=EMP",'MoodysData(Raw)'!$D$2:$D$180,"="&amp;'Implied Productivity Ratios'!$C24)</f>
        <v>218.9841730610232</v>
      </c>
      <c r="AZ24">
        <f>SUMIFS('MoodysData(Raw)'!BC$2:BC$180,'MoodysData(Raw)'!$B$2:$B$180,"=GDP",'MoodysData(Raw)'!$D$2:$D$180,"="&amp;'Implied Productivity Ratios'!$C24)/SUMIFS('MoodysData(Raw)'!BC$2:BC$180,'MoodysData(Raw)'!$B$2:$B$180,"=EMP",'MoodysData(Raw)'!$D$2:$D$180,"="&amp;'Implied Productivity Ratios'!$C24)</f>
        <v>225.3774163853943</v>
      </c>
      <c r="BA24">
        <f>SUMIFS('MoodysData(Raw)'!BD$2:BD$180,'MoodysData(Raw)'!$B$2:$B$180,"=GDP",'MoodysData(Raw)'!$D$2:$D$180,"="&amp;'Implied Productivity Ratios'!$C24)/SUMIFS('MoodysData(Raw)'!BD$2:BD$180,'MoodysData(Raw)'!$B$2:$B$180,"=EMP",'MoodysData(Raw)'!$D$2:$D$180,"="&amp;'Implied Productivity Ratios'!$C24)</f>
        <v>231.91839694926551</v>
      </c>
      <c r="BB24">
        <f>SUMIFS('MoodysData(Raw)'!BE$2:BE$180,'MoodysData(Raw)'!$B$2:$B$180,"=GDP",'MoodysData(Raw)'!$D$2:$D$180,"="&amp;'Implied Productivity Ratios'!$C24)/SUMIFS('MoodysData(Raw)'!BE$2:BE$180,'MoodysData(Raw)'!$B$2:$B$180,"=EMP",'MoodysData(Raw)'!$D$2:$D$180,"="&amp;'Implied Productivity Ratios'!$C24)</f>
        <v>238.78301249131499</v>
      </c>
      <c r="BC24">
        <f>SUMIFS('MoodysData(Raw)'!BF$2:BF$180,'MoodysData(Raw)'!$B$2:$B$180,"=GDP",'MoodysData(Raw)'!$D$2:$D$180,"="&amp;'Implied Productivity Ratios'!$C24)/SUMIFS('MoodysData(Raw)'!BF$2:BF$180,'MoodysData(Raw)'!$B$2:$B$180,"=EMP",'MoodysData(Raw)'!$D$2:$D$180,"="&amp;'Implied Productivity Ratios'!$C24)</f>
        <v>246.0073706449889</v>
      </c>
      <c r="BD24" s="5">
        <f t="shared" ref="BD24:BH24" si="18">BC24+($BC24-$AX24)/5</f>
        <v>252.66681131296639</v>
      </c>
      <c r="BE24" s="5">
        <f t="shared" si="18"/>
        <v>259.32625198094388</v>
      </c>
      <c r="BF24" s="5">
        <f t="shared" si="18"/>
        <v>265.98569264892137</v>
      </c>
      <c r="BG24" s="5">
        <f t="shared" si="18"/>
        <v>272.64513331689886</v>
      </c>
      <c r="BH24" s="5">
        <f t="shared" si="18"/>
        <v>279.30457398487636</v>
      </c>
    </row>
    <row r="25" spans="3:60">
      <c r="C25">
        <v>327</v>
      </c>
      <c r="D25" t="s">
        <v>83</v>
      </c>
      <c r="E25">
        <f>SUMIFS('MoodysData(Raw)'!H$2:H$180,'MoodysData(Raw)'!$B$2:$B$180,"=GDP",'MoodysData(Raw)'!$D$2:$D$180,"="&amp;'Implied Productivity Ratios'!$C25)/SUMIFS('MoodysData(Raw)'!H$2:H$180,'MoodysData(Raw)'!$B$2:$B$180,"=EMP",'MoodysData(Raw)'!$D$2:$D$180,"="&amp;'Implied Productivity Ratios'!$C25)</f>
        <v>130.03603364197593</v>
      </c>
      <c r="F25">
        <f>SUMIFS('MoodysData(Raw)'!I$2:I$180,'MoodysData(Raw)'!$B$2:$B$180,"=GDP",'MoodysData(Raw)'!$D$2:$D$180,"="&amp;'Implied Productivity Ratios'!$C25)/SUMIFS('MoodysData(Raw)'!I$2:I$180,'MoodysData(Raw)'!$B$2:$B$180,"=EMP",'MoodysData(Raw)'!$D$2:$D$180,"="&amp;'Implied Productivity Ratios'!$C25)</f>
        <v>120.04165281498719</v>
      </c>
      <c r="G25">
        <f>SUMIFS('MoodysData(Raw)'!J$2:J$180,'MoodysData(Raw)'!$B$2:$B$180,"=GDP",'MoodysData(Raw)'!$D$2:$D$180,"="&amp;'Implied Productivity Ratios'!$C25)/SUMIFS('MoodysData(Raw)'!J$2:J$180,'MoodysData(Raw)'!$B$2:$B$180,"=EMP",'MoodysData(Raw)'!$D$2:$D$180,"="&amp;'Implied Productivity Ratios'!$C25)</f>
        <v>123.24200547967122</v>
      </c>
      <c r="H25">
        <f>SUMIFS('MoodysData(Raw)'!K$2:K$180,'MoodysData(Raw)'!$B$2:$B$180,"=GDP",'MoodysData(Raw)'!$D$2:$D$180,"="&amp;'Implied Productivity Ratios'!$C25)/SUMIFS('MoodysData(Raw)'!K$2:K$180,'MoodysData(Raw)'!$B$2:$B$180,"=EMP",'MoodysData(Raw)'!$D$2:$D$180,"="&amp;'Implied Productivity Ratios'!$C25)</f>
        <v>125.4348220142941</v>
      </c>
      <c r="I25">
        <f>SUMIFS('MoodysData(Raw)'!L$2:L$180,'MoodysData(Raw)'!$B$2:$B$180,"=GDP",'MoodysData(Raw)'!$D$2:$D$180,"="&amp;'Implied Productivity Ratios'!$C25)/SUMIFS('MoodysData(Raw)'!L$2:L$180,'MoodysData(Raw)'!$B$2:$B$180,"=EMP",'MoodysData(Raw)'!$D$2:$D$180,"="&amp;'Implied Productivity Ratios'!$C25)</f>
        <v>119.90523761219328</v>
      </c>
      <c r="J25">
        <f>SUMIFS('MoodysData(Raw)'!M$2:M$180,'MoodysData(Raw)'!$B$2:$B$180,"=GDP",'MoodysData(Raw)'!$D$2:$D$180,"="&amp;'Implied Productivity Ratios'!$C25)/SUMIFS('MoodysData(Raw)'!M$2:M$180,'MoodysData(Raw)'!$B$2:$B$180,"=EMP",'MoodysData(Raw)'!$D$2:$D$180,"="&amp;'Implied Productivity Ratios'!$C25)</f>
        <v>130.79291658287087</v>
      </c>
      <c r="K25">
        <f>SUMIFS('MoodysData(Raw)'!N$2:N$180,'MoodysData(Raw)'!$B$2:$B$180,"=GDP",'MoodysData(Raw)'!$D$2:$D$180,"="&amp;'Implied Productivity Ratios'!$C25)/SUMIFS('MoodysData(Raw)'!N$2:N$180,'MoodysData(Raw)'!$B$2:$B$180,"=EMP",'MoodysData(Raw)'!$D$2:$D$180,"="&amp;'Implied Productivity Ratios'!$C25)</f>
        <v>138.83268974773645</v>
      </c>
      <c r="L25">
        <f>SUMIFS('MoodysData(Raw)'!O$2:O$180,'MoodysData(Raw)'!$B$2:$B$180,"=GDP",'MoodysData(Raw)'!$D$2:$D$180,"="&amp;'Implied Productivity Ratios'!$C25)/SUMIFS('MoodysData(Raw)'!O$2:O$180,'MoodysData(Raw)'!$B$2:$B$180,"=EMP",'MoodysData(Raw)'!$D$2:$D$180,"="&amp;'Implied Productivity Ratios'!$C25)</f>
        <v>145.75376740298441</v>
      </c>
      <c r="M25">
        <f>SUMIFS('MoodysData(Raw)'!P$2:P$180,'MoodysData(Raw)'!$B$2:$B$180,"=GDP",'MoodysData(Raw)'!$D$2:$D$180,"="&amp;'Implied Productivity Ratios'!$C25)/SUMIFS('MoodysData(Raw)'!P$2:P$180,'MoodysData(Raw)'!$B$2:$B$180,"=EMP",'MoodysData(Raw)'!$D$2:$D$180,"="&amp;'Implied Productivity Ratios'!$C25)</f>
        <v>151.87736453215226</v>
      </c>
      <c r="N25">
        <f>SUMIFS('MoodysData(Raw)'!Q$2:Q$180,'MoodysData(Raw)'!$B$2:$B$180,"=GDP",'MoodysData(Raw)'!$D$2:$D$180,"="&amp;'Implied Productivity Ratios'!$C25)/SUMIFS('MoodysData(Raw)'!Q$2:Q$180,'MoodysData(Raw)'!$B$2:$B$180,"=EMP",'MoodysData(Raw)'!$D$2:$D$180,"="&amp;'Implied Productivity Ratios'!$C25)</f>
        <v>147.77535752482214</v>
      </c>
      <c r="O25">
        <f>SUMIFS('MoodysData(Raw)'!R$2:R$180,'MoodysData(Raw)'!$B$2:$B$180,"=GDP",'MoodysData(Raw)'!$D$2:$D$180,"="&amp;'Implied Productivity Ratios'!$C25)/SUMIFS('MoodysData(Raw)'!R$2:R$180,'MoodysData(Raw)'!$B$2:$B$180,"=EMP",'MoodysData(Raw)'!$D$2:$D$180,"="&amp;'Implied Productivity Ratios'!$C25)</f>
        <v>142.09665610824439</v>
      </c>
      <c r="P25">
        <f>SUMIFS('MoodysData(Raw)'!S$2:S$180,'MoodysData(Raw)'!$B$2:$B$180,"=GDP",'MoodysData(Raw)'!$D$2:$D$180,"="&amp;'Implied Productivity Ratios'!$C25)/SUMIFS('MoodysData(Raw)'!S$2:S$180,'MoodysData(Raw)'!$B$2:$B$180,"=EMP",'MoodysData(Raw)'!$D$2:$D$180,"="&amp;'Implied Productivity Ratios'!$C25)</f>
        <v>135.65731485521277</v>
      </c>
      <c r="Q25">
        <f>SUMIFS('MoodysData(Raw)'!T$2:T$180,'MoodysData(Raw)'!$B$2:$B$180,"=GDP",'MoodysData(Raw)'!$D$2:$D$180,"="&amp;'Implied Productivity Ratios'!$C25)/SUMIFS('MoodysData(Raw)'!T$2:T$180,'MoodysData(Raw)'!$B$2:$B$180,"=EMP",'MoodysData(Raw)'!$D$2:$D$180,"="&amp;'Implied Productivity Ratios'!$C25)</f>
        <v>141.85181861616854</v>
      </c>
      <c r="R25">
        <f>SUMIFS('MoodysData(Raw)'!U$2:U$180,'MoodysData(Raw)'!$B$2:$B$180,"=GDP",'MoodysData(Raw)'!$D$2:$D$180,"="&amp;'Implied Productivity Ratios'!$C25)/SUMIFS('MoodysData(Raw)'!U$2:U$180,'MoodysData(Raw)'!$B$2:$B$180,"=EMP",'MoodysData(Raw)'!$D$2:$D$180,"="&amp;'Implied Productivity Ratios'!$C25)</f>
        <v>139.49242928333103</v>
      </c>
      <c r="S25">
        <f>SUMIFS('MoodysData(Raw)'!V$2:V$180,'MoodysData(Raw)'!$B$2:$B$180,"=GDP",'MoodysData(Raw)'!$D$2:$D$180,"="&amp;'Implied Productivity Ratios'!$C25)/SUMIFS('MoodysData(Raw)'!V$2:V$180,'MoodysData(Raw)'!$B$2:$B$180,"=EMP",'MoodysData(Raw)'!$D$2:$D$180,"="&amp;'Implied Productivity Ratios'!$C25)</f>
        <v>144.85630927376866</v>
      </c>
      <c r="T25">
        <f>SUMIFS('MoodysData(Raw)'!W$2:W$180,'MoodysData(Raw)'!$B$2:$B$180,"=GDP",'MoodysData(Raw)'!$D$2:$D$180,"="&amp;'Implied Productivity Ratios'!$C25)/SUMIFS('MoodysData(Raw)'!W$2:W$180,'MoodysData(Raw)'!$B$2:$B$180,"=EMP",'MoodysData(Raw)'!$D$2:$D$180,"="&amp;'Implied Productivity Ratios'!$C25)</f>
        <v>147.98305905009315</v>
      </c>
      <c r="U25">
        <f>SUMIFS('MoodysData(Raw)'!X$2:X$180,'MoodysData(Raw)'!$B$2:$B$180,"=GDP",'MoodysData(Raw)'!$D$2:$D$180,"="&amp;'Implied Productivity Ratios'!$C25)/SUMIFS('MoodysData(Raw)'!X$2:X$180,'MoodysData(Raw)'!$B$2:$B$180,"=EMP",'MoodysData(Raw)'!$D$2:$D$180,"="&amp;'Implied Productivity Ratios'!$C25)</f>
        <v>151.4500611516313</v>
      </c>
      <c r="V25">
        <f>SUMIFS('MoodysData(Raw)'!Y$2:Y$180,'MoodysData(Raw)'!$B$2:$B$180,"=GDP",'MoodysData(Raw)'!$D$2:$D$180,"="&amp;'Implied Productivity Ratios'!$C25)/SUMIFS('MoodysData(Raw)'!Y$2:Y$180,'MoodysData(Raw)'!$B$2:$B$180,"=EMP",'MoodysData(Raw)'!$D$2:$D$180,"="&amp;'Implied Productivity Ratios'!$C25)</f>
        <v>140.93777682012976</v>
      </c>
      <c r="W25">
        <f>SUMIFS('MoodysData(Raw)'!Z$2:Z$180,'MoodysData(Raw)'!$B$2:$B$180,"=GDP",'MoodysData(Raw)'!$D$2:$D$180,"="&amp;'Implied Productivity Ratios'!$C25)/SUMIFS('MoodysData(Raw)'!Z$2:Z$180,'MoodysData(Raw)'!$B$2:$B$180,"=EMP",'MoodysData(Raw)'!$D$2:$D$180,"="&amp;'Implied Productivity Ratios'!$C25)</f>
        <v>126.72553256883903</v>
      </c>
      <c r="X25">
        <f>SUMIFS('MoodysData(Raw)'!AA$2:AA$180,'MoodysData(Raw)'!$B$2:$B$180,"=GDP",'MoodysData(Raw)'!$D$2:$D$180,"="&amp;'Implied Productivity Ratios'!$C25)/SUMIFS('MoodysData(Raw)'!AA$2:AA$180,'MoodysData(Raw)'!$B$2:$B$180,"=EMP",'MoodysData(Raw)'!$D$2:$D$180,"="&amp;'Implied Productivity Ratios'!$C25)</f>
        <v>119.86733755072639</v>
      </c>
      <c r="Y25">
        <f>SUMIFS('MoodysData(Raw)'!AB$2:AB$180,'MoodysData(Raw)'!$B$2:$B$180,"=GDP",'MoodysData(Raw)'!$D$2:$D$180,"="&amp;'Implied Productivity Ratios'!$C25)/SUMIFS('MoodysData(Raw)'!AB$2:AB$180,'MoodysData(Raw)'!$B$2:$B$180,"=EMP",'MoodysData(Raw)'!$D$2:$D$180,"="&amp;'Implied Productivity Ratios'!$C25)</f>
        <v>120.6425589721094</v>
      </c>
      <c r="Z25">
        <f>SUMIFS('MoodysData(Raw)'!AC$2:AC$180,'MoodysData(Raw)'!$B$2:$B$180,"=GDP",'MoodysData(Raw)'!$D$2:$D$180,"="&amp;'Implied Productivity Ratios'!$C25)/SUMIFS('MoodysData(Raw)'!AC$2:AC$180,'MoodysData(Raw)'!$B$2:$B$180,"=EMP",'MoodysData(Raw)'!$D$2:$D$180,"="&amp;'Implied Productivity Ratios'!$C25)</f>
        <v>122.41755482945864</v>
      </c>
      <c r="AA25">
        <f>SUMIFS('MoodysData(Raw)'!AD$2:AD$180,'MoodysData(Raw)'!$B$2:$B$180,"=GDP",'MoodysData(Raw)'!$D$2:$D$180,"="&amp;'Implied Productivity Ratios'!$C25)/SUMIFS('MoodysData(Raw)'!AD$2:AD$180,'MoodysData(Raw)'!$B$2:$B$180,"=EMP",'MoodysData(Raw)'!$D$2:$D$180,"="&amp;'Implied Productivity Ratios'!$C25)</f>
        <v>124.5429273818645</v>
      </c>
      <c r="AB25">
        <f>SUMIFS('MoodysData(Raw)'!AE$2:AE$180,'MoodysData(Raw)'!$B$2:$B$180,"=GDP",'MoodysData(Raw)'!$D$2:$D$180,"="&amp;'Implied Productivity Ratios'!$C25)/SUMIFS('MoodysData(Raw)'!AE$2:AE$180,'MoodysData(Raw)'!$B$2:$B$180,"=EMP",'MoodysData(Raw)'!$D$2:$D$180,"="&amp;'Implied Productivity Ratios'!$C25)</f>
        <v>127.34076915478582</v>
      </c>
      <c r="AC25">
        <f>SUMIFS('MoodysData(Raw)'!AF$2:AF$180,'MoodysData(Raw)'!$B$2:$B$180,"=GDP",'MoodysData(Raw)'!$D$2:$D$180,"="&amp;'Implied Productivity Ratios'!$C25)/SUMIFS('MoodysData(Raw)'!AF$2:AF$180,'MoodysData(Raw)'!$B$2:$B$180,"=EMP",'MoodysData(Raw)'!$D$2:$D$180,"="&amp;'Implied Productivity Ratios'!$C25)</f>
        <v>130.56318983701991</v>
      </c>
      <c r="AD25">
        <f>SUMIFS('MoodysData(Raw)'!AG$2:AG$180,'MoodysData(Raw)'!$B$2:$B$180,"=GDP",'MoodysData(Raw)'!$D$2:$D$180,"="&amp;'Implied Productivity Ratios'!$C25)/SUMIFS('MoodysData(Raw)'!AG$2:AG$180,'MoodysData(Raw)'!$B$2:$B$180,"=EMP",'MoodysData(Raw)'!$D$2:$D$180,"="&amp;'Implied Productivity Ratios'!$C25)</f>
        <v>133.92717672607529</v>
      </c>
      <c r="AE25">
        <f>SUMIFS('MoodysData(Raw)'!AH$2:AH$180,'MoodysData(Raw)'!$B$2:$B$180,"=GDP",'MoodysData(Raw)'!$D$2:$D$180,"="&amp;'Implied Productivity Ratios'!$C25)/SUMIFS('MoodysData(Raw)'!AH$2:AH$180,'MoodysData(Raw)'!$B$2:$B$180,"=EMP",'MoodysData(Raw)'!$D$2:$D$180,"="&amp;'Implied Productivity Ratios'!$C25)</f>
        <v>136.89168789082547</v>
      </c>
      <c r="AF25">
        <f>SUMIFS('MoodysData(Raw)'!AI$2:AI$180,'MoodysData(Raw)'!$B$2:$B$180,"=GDP",'MoodysData(Raw)'!$D$2:$D$180,"="&amp;'Implied Productivity Ratios'!$C25)/SUMIFS('MoodysData(Raw)'!AI$2:AI$180,'MoodysData(Raw)'!$B$2:$B$180,"=EMP",'MoodysData(Raw)'!$D$2:$D$180,"="&amp;'Implied Productivity Ratios'!$C25)</f>
        <v>139.75336736884796</v>
      </c>
      <c r="AG25">
        <f>SUMIFS('MoodysData(Raw)'!AJ$2:AJ$180,'MoodysData(Raw)'!$B$2:$B$180,"=GDP",'MoodysData(Raw)'!$D$2:$D$180,"="&amp;'Implied Productivity Ratios'!$C25)/SUMIFS('MoodysData(Raw)'!AJ$2:AJ$180,'MoodysData(Raw)'!$B$2:$B$180,"=EMP",'MoodysData(Raw)'!$D$2:$D$180,"="&amp;'Implied Productivity Ratios'!$C25)</f>
        <v>142.57382875218673</v>
      </c>
      <c r="AH25">
        <f>SUMIFS('MoodysData(Raw)'!AK$2:AK$180,'MoodysData(Raw)'!$B$2:$B$180,"=GDP",'MoodysData(Raw)'!$D$2:$D$180,"="&amp;'Implied Productivity Ratios'!$C25)/SUMIFS('MoodysData(Raw)'!AK$2:AK$180,'MoodysData(Raw)'!$B$2:$B$180,"=EMP",'MoodysData(Raw)'!$D$2:$D$180,"="&amp;'Implied Productivity Ratios'!$C25)</f>
        <v>145.21326916135243</v>
      </c>
      <c r="AI25">
        <f>SUMIFS('MoodysData(Raw)'!AL$2:AL$180,'MoodysData(Raw)'!$B$2:$B$180,"=GDP",'MoodysData(Raw)'!$D$2:$D$180,"="&amp;'Implied Productivity Ratios'!$C25)/SUMIFS('MoodysData(Raw)'!AL$2:AL$180,'MoodysData(Raw)'!$B$2:$B$180,"=EMP",'MoodysData(Raw)'!$D$2:$D$180,"="&amp;'Implied Productivity Ratios'!$C25)</f>
        <v>147.8818358171817</v>
      </c>
      <c r="AJ25">
        <f>SUMIFS('MoodysData(Raw)'!AM$2:AM$180,'MoodysData(Raw)'!$B$2:$B$180,"=GDP",'MoodysData(Raw)'!$D$2:$D$180,"="&amp;'Implied Productivity Ratios'!$C25)/SUMIFS('MoodysData(Raw)'!AM$2:AM$180,'MoodysData(Raw)'!$B$2:$B$180,"=EMP",'MoodysData(Raw)'!$D$2:$D$180,"="&amp;'Implied Productivity Ratios'!$C25)</f>
        <v>150.78032483926592</v>
      </c>
      <c r="AK25">
        <f>SUMIFS('MoodysData(Raw)'!AN$2:AN$180,'MoodysData(Raw)'!$B$2:$B$180,"=GDP",'MoodysData(Raw)'!$D$2:$D$180,"="&amp;'Implied Productivity Ratios'!$C25)/SUMIFS('MoodysData(Raw)'!AN$2:AN$180,'MoodysData(Raw)'!$B$2:$B$180,"=EMP",'MoodysData(Raw)'!$D$2:$D$180,"="&amp;'Implied Productivity Ratios'!$C25)</f>
        <v>153.83503436581009</v>
      </c>
      <c r="AL25">
        <f>SUMIFS('MoodysData(Raw)'!AO$2:AO$180,'MoodysData(Raw)'!$B$2:$B$180,"=GDP",'MoodysData(Raw)'!$D$2:$D$180,"="&amp;'Implied Productivity Ratios'!$C25)/SUMIFS('MoodysData(Raw)'!AO$2:AO$180,'MoodysData(Raw)'!$B$2:$B$180,"=EMP",'MoodysData(Raw)'!$D$2:$D$180,"="&amp;'Implied Productivity Ratios'!$C25)</f>
        <v>156.98278428818381</v>
      </c>
      <c r="AM25">
        <f>SUMIFS('MoodysData(Raw)'!AP$2:AP$180,'MoodysData(Raw)'!$B$2:$B$180,"=GDP",'MoodysData(Raw)'!$D$2:$D$180,"="&amp;'Implied Productivity Ratios'!$C25)/SUMIFS('MoodysData(Raw)'!AP$2:AP$180,'MoodysData(Raw)'!$B$2:$B$180,"=EMP",'MoodysData(Raw)'!$D$2:$D$180,"="&amp;'Implied Productivity Ratios'!$C25)</f>
        <v>160.25810228169894</v>
      </c>
      <c r="AN25">
        <f>SUMIFS('MoodysData(Raw)'!AQ$2:AQ$180,'MoodysData(Raw)'!$B$2:$B$180,"=GDP",'MoodysData(Raw)'!$D$2:$D$180,"="&amp;'Implied Productivity Ratios'!$C25)/SUMIFS('MoodysData(Raw)'!AQ$2:AQ$180,'MoodysData(Raw)'!$B$2:$B$180,"=EMP",'MoodysData(Raw)'!$D$2:$D$180,"="&amp;'Implied Productivity Ratios'!$C25)</f>
        <v>163.6073917608548</v>
      </c>
      <c r="AO25">
        <f>SUMIFS('MoodysData(Raw)'!AR$2:AR$180,'MoodysData(Raw)'!$B$2:$B$180,"=GDP",'MoodysData(Raw)'!$D$2:$D$180,"="&amp;'Implied Productivity Ratios'!$C25)/SUMIFS('MoodysData(Raw)'!AR$2:AR$180,'MoodysData(Raw)'!$B$2:$B$180,"=EMP",'MoodysData(Raw)'!$D$2:$D$180,"="&amp;'Implied Productivity Ratios'!$C25)</f>
        <v>167.10076963537841</v>
      </c>
      <c r="AP25">
        <f>SUMIFS('MoodysData(Raw)'!AS$2:AS$180,'MoodysData(Raw)'!$B$2:$B$180,"=GDP",'MoodysData(Raw)'!$D$2:$D$180,"="&amp;'Implied Productivity Ratios'!$C25)/SUMIFS('MoodysData(Raw)'!AS$2:AS$180,'MoodysData(Raw)'!$B$2:$B$180,"=EMP",'MoodysData(Raw)'!$D$2:$D$180,"="&amp;'Implied Productivity Ratios'!$C25)</f>
        <v>170.75136655588054</v>
      </c>
      <c r="AQ25">
        <f>SUMIFS('MoodysData(Raw)'!AT$2:AT$180,'MoodysData(Raw)'!$B$2:$B$180,"=GDP",'MoodysData(Raw)'!$D$2:$D$180,"="&amp;'Implied Productivity Ratios'!$C25)/SUMIFS('MoodysData(Raw)'!AT$2:AT$180,'MoodysData(Raw)'!$B$2:$B$180,"=EMP",'MoodysData(Raw)'!$D$2:$D$180,"="&amp;'Implied Productivity Ratios'!$C25)</f>
        <v>174.49183753134116</v>
      </c>
      <c r="AR25">
        <f>SUMIFS('MoodysData(Raw)'!AU$2:AU$180,'MoodysData(Raw)'!$B$2:$B$180,"=GDP",'MoodysData(Raw)'!$D$2:$D$180,"="&amp;'Implied Productivity Ratios'!$C25)/SUMIFS('MoodysData(Raw)'!AU$2:AU$180,'MoodysData(Raw)'!$B$2:$B$180,"=EMP",'MoodysData(Raw)'!$D$2:$D$180,"="&amp;'Implied Productivity Ratios'!$C25)</f>
        <v>178.38148997249917</v>
      </c>
      <c r="AS25">
        <f>SUMIFS('MoodysData(Raw)'!AV$2:AV$180,'MoodysData(Raw)'!$B$2:$B$180,"=GDP",'MoodysData(Raw)'!$D$2:$D$180,"="&amp;'Implied Productivity Ratios'!$C25)/SUMIFS('MoodysData(Raw)'!AV$2:AV$180,'MoodysData(Raw)'!$B$2:$B$180,"=EMP",'MoodysData(Raw)'!$D$2:$D$180,"="&amp;'Implied Productivity Ratios'!$C25)</f>
        <v>182.48803055448201</v>
      </c>
      <c r="AT25">
        <f>SUMIFS('MoodysData(Raw)'!AW$2:AW$180,'MoodysData(Raw)'!$B$2:$B$180,"=GDP",'MoodysData(Raw)'!$D$2:$D$180,"="&amp;'Implied Productivity Ratios'!$C25)/SUMIFS('MoodysData(Raw)'!AW$2:AW$180,'MoodysData(Raw)'!$B$2:$B$180,"=EMP",'MoodysData(Raw)'!$D$2:$D$180,"="&amp;'Implied Productivity Ratios'!$C25)</f>
        <v>186.74333423859937</v>
      </c>
      <c r="AU25">
        <f>SUMIFS('MoodysData(Raw)'!AX$2:AX$180,'MoodysData(Raw)'!$B$2:$B$180,"=GDP",'MoodysData(Raw)'!$D$2:$D$180,"="&amp;'Implied Productivity Ratios'!$C25)/SUMIFS('MoodysData(Raw)'!AX$2:AX$180,'MoodysData(Raw)'!$B$2:$B$180,"=EMP",'MoodysData(Raw)'!$D$2:$D$180,"="&amp;'Implied Productivity Ratios'!$C25)</f>
        <v>191.20847125668789</v>
      </c>
      <c r="AV25">
        <f>SUMIFS('MoodysData(Raw)'!AY$2:AY$180,'MoodysData(Raw)'!$B$2:$B$180,"=GDP",'MoodysData(Raw)'!$D$2:$D$180,"="&amp;'Implied Productivity Ratios'!$C25)/SUMIFS('MoodysData(Raw)'!AY$2:AY$180,'MoodysData(Raw)'!$B$2:$B$180,"=EMP",'MoodysData(Raw)'!$D$2:$D$180,"="&amp;'Implied Productivity Ratios'!$C25)</f>
        <v>195.92381152540986</v>
      </c>
      <c r="AW25">
        <f>SUMIFS('MoodysData(Raw)'!AZ$2:AZ$180,'MoodysData(Raw)'!$B$2:$B$180,"=GDP",'MoodysData(Raw)'!$D$2:$D$180,"="&amp;'Implied Productivity Ratios'!$C25)/SUMIFS('MoodysData(Raw)'!AZ$2:AZ$180,'MoodysData(Raw)'!$B$2:$B$180,"=EMP",'MoodysData(Raw)'!$D$2:$D$180,"="&amp;'Implied Productivity Ratios'!$C25)</f>
        <v>200.77963425627817</v>
      </c>
      <c r="AX25">
        <f>SUMIFS('MoodysData(Raw)'!BA$2:BA$180,'MoodysData(Raw)'!$B$2:$B$180,"=GDP",'MoodysData(Raw)'!$D$2:$D$180,"="&amp;'Implied Productivity Ratios'!$C25)/SUMIFS('MoodysData(Raw)'!BA$2:BA$180,'MoodysData(Raw)'!$B$2:$B$180,"=EMP",'MoodysData(Raw)'!$D$2:$D$180,"="&amp;'Implied Productivity Ratios'!$C25)</f>
        <v>205.8224141143348</v>
      </c>
      <c r="AY25">
        <f>SUMIFS('MoodysData(Raw)'!BB$2:BB$180,'MoodysData(Raw)'!$B$2:$B$180,"=GDP",'MoodysData(Raw)'!$D$2:$D$180,"="&amp;'Implied Productivity Ratios'!$C25)/SUMIFS('MoodysData(Raw)'!BB$2:BB$180,'MoodysData(Raw)'!$B$2:$B$180,"=EMP",'MoodysData(Raw)'!$D$2:$D$180,"="&amp;'Implied Productivity Ratios'!$C25)</f>
        <v>210.9007786198022</v>
      </c>
      <c r="AZ25">
        <f>SUMIFS('MoodysData(Raw)'!BC$2:BC$180,'MoodysData(Raw)'!$B$2:$B$180,"=GDP",'MoodysData(Raw)'!$D$2:$D$180,"="&amp;'Implied Productivity Ratios'!$C25)/SUMIFS('MoodysData(Raw)'!BC$2:BC$180,'MoodysData(Raw)'!$B$2:$B$180,"=EMP",'MoodysData(Raw)'!$D$2:$D$180,"="&amp;'Implied Productivity Ratios'!$C25)</f>
        <v>216.07148343609572</v>
      </c>
      <c r="BA25">
        <f>SUMIFS('MoodysData(Raw)'!BD$2:BD$180,'MoodysData(Raw)'!$B$2:$B$180,"=GDP",'MoodysData(Raw)'!$D$2:$D$180,"="&amp;'Implied Productivity Ratios'!$C25)/SUMIFS('MoodysData(Raw)'!BD$2:BD$180,'MoodysData(Raw)'!$B$2:$B$180,"=EMP",'MoodysData(Raw)'!$D$2:$D$180,"="&amp;'Implied Productivity Ratios'!$C25)</f>
        <v>221.39198823189471</v>
      </c>
      <c r="BB25">
        <f>SUMIFS('MoodysData(Raw)'!BE$2:BE$180,'MoodysData(Raw)'!$B$2:$B$180,"=GDP",'MoodysData(Raw)'!$D$2:$D$180,"="&amp;'Implied Productivity Ratios'!$C25)/SUMIFS('MoodysData(Raw)'!BE$2:BE$180,'MoodysData(Raw)'!$B$2:$B$180,"=EMP",'MoodysData(Raw)'!$D$2:$D$180,"="&amp;'Implied Productivity Ratios'!$C25)</f>
        <v>226.92298667117655</v>
      </c>
      <c r="BC25">
        <f>SUMIFS('MoodysData(Raw)'!BF$2:BF$180,'MoodysData(Raw)'!$B$2:$B$180,"=GDP",'MoodysData(Raw)'!$D$2:$D$180,"="&amp;'Implied Productivity Ratios'!$C25)/SUMIFS('MoodysData(Raw)'!BF$2:BF$180,'MoodysData(Raw)'!$B$2:$B$180,"=EMP",'MoodysData(Raw)'!$D$2:$D$180,"="&amp;'Implied Productivity Ratios'!$C25)</f>
        <v>232.59925539836186</v>
      </c>
      <c r="BD25" s="5">
        <f t="shared" ref="BD25:BH25" si="19">BC25+($BC25-$AX25)/5</f>
        <v>237.95462365516727</v>
      </c>
      <c r="BE25" s="5">
        <f t="shared" si="19"/>
        <v>243.30999191197267</v>
      </c>
      <c r="BF25" s="5">
        <f t="shared" si="19"/>
        <v>248.66536016877808</v>
      </c>
      <c r="BG25" s="5">
        <f t="shared" si="19"/>
        <v>254.02072842558348</v>
      </c>
      <c r="BH25" s="5">
        <f t="shared" si="19"/>
        <v>259.37609668238889</v>
      </c>
    </row>
    <row r="26" spans="3:60">
      <c r="C26">
        <v>331</v>
      </c>
      <c r="D26" t="s">
        <v>87</v>
      </c>
      <c r="E26">
        <f>SUMIFS('MoodysData(Raw)'!H$2:H$180,'MoodysData(Raw)'!$B$2:$B$180,"=GDP",'MoodysData(Raw)'!$D$2:$D$180,"="&amp;'Implied Productivity Ratios'!$C26)/SUMIFS('MoodysData(Raw)'!H$2:H$180,'MoodysData(Raw)'!$B$2:$B$180,"=EMP",'MoodysData(Raw)'!$D$2:$D$180,"="&amp;'Implied Productivity Ratios'!$C26)</f>
        <v>94.841080553838395</v>
      </c>
      <c r="F26">
        <f>SUMIFS('MoodysData(Raw)'!I$2:I$180,'MoodysData(Raw)'!$B$2:$B$180,"=GDP",'MoodysData(Raw)'!$D$2:$D$180,"="&amp;'Implied Productivity Ratios'!$C26)/SUMIFS('MoodysData(Raw)'!I$2:I$180,'MoodysData(Raw)'!$B$2:$B$180,"=EMP",'MoodysData(Raw)'!$D$2:$D$180,"="&amp;'Implied Productivity Ratios'!$C26)</f>
        <v>86.325143910283217</v>
      </c>
      <c r="G26">
        <f>SUMIFS('MoodysData(Raw)'!J$2:J$180,'MoodysData(Raw)'!$B$2:$B$180,"=GDP",'MoodysData(Raw)'!$D$2:$D$180,"="&amp;'Implied Productivity Ratios'!$C26)/SUMIFS('MoodysData(Raw)'!J$2:J$180,'MoodysData(Raw)'!$B$2:$B$180,"=EMP",'MoodysData(Raw)'!$D$2:$D$180,"="&amp;'Implied Productivity Ratios'!$C26)</f>
        <v>87.391246239765479</v>
      </c>
      <c r="H26">
        <f>SUMIFS('MoodysData(Raw)'!K$2:K$180,'MoodysData(Raw)'!$B$2:$B$180,"=GDP",'MoodysData(Raw)'!$D$2:$D$180,"="&amp;'Implied Productivity Ratios'!$C26)/SUMIFS('MoodysData(Raw)'!K$2:K$180,'MoodysData(Raw)'!$B$2:$B$180,"=EMP",'MoodysData(Raw)'!$D$2:$D$180,"="&amp;'Implied Productivity Ratios'!$C26)</f>
        <v>93.690551680405832</v>
      </c>
      <c r="I26">
        <f>SUMIFS('MoodysData(Raw)'!L$2:L$180,'MoodysData(Raw)'!$B$2:$B$180,"=GDP",'MoodysData(Raw)'!$D$2:$D$180,"="&amp;'Implied Productivity Ratios'!$C26)/SUMIFS('MoodysData(Raw)'!L$2:L$180,'MoodysData(Raw)'!$B$2:$B$180,"=EMP",'MoodysData(Raw)'!$D$2:$D$180,"="&amp;'Implied Productivity Ratios'!$C26)</f>
        <v>109.87177625106533</v>
      </c>
      <c r="J26">
        <f>SUMIFS('MoodysData(Raw)'!M$2:M$180,'MoodysData(Raw)'!$B$2:$B$180,"=GDP",'MoodysData(Raw)'!$D$2:$D$180,"="&amp;'Implied Productivity Ratios'!$C26)/SUMIFS('MoodysData(Raw)'!M$2:M$180,'MoodysData(Raw)'!$B$2:$B$180,"=EMP",'MoodysData(Raw)'!$D$2:$D$180,"="&amp;'Implied Productivity Ratios'!$C26)</f>
        <v>112.45613503105349</v>
      </c>
      <c r="K26">
        <f>SUMIFS('MoodysData(Raw)'!N$2:N$180,'MoodysData(Raw)'!$B$2:$B$180,"=GDP",'MoodysData(Raw)'!$D$2:$D$180,"="&amp;'Implied Productivity Ratios'!$C26)/SUMIFS('MoodysData(Raw)'!N$2:N$180,'MoodysData(Raw)'!$B$2:$B$180,"=EMP",'MoodysData(Raw)'!$D$2:$D$180,"="&amp;'Implied Productivity Ratios'!$C26)</f>
        <v>116.61177778235187</v>
      </c>
      <c r="L26">
        <f>SUMIFS('MoodysData(Raw)'!O$2:O$180,'MoodysData(Raw)'!$B$2:$B$180,"=GDP",'MoodysData(Raw)'!$D$2:$D$180,"="&amp;'Implied Productivity Ratios'!$C26)/SUMIFS('MoodysData(Raw)'!O$2:O$180,'MoodysData(Raw)'!$B$2:$B$180,"=EMP",'MoodysData(Raw)'!$D$2:$D$180,"="&amp;'Implied Productivity Ratios'!$C26)</f>
        <v>133.05550439764465</v>
      </c>
      <c r="M26">
        <f>SUMIFS('MoodysData(Raw)'!P$2:P$180,'MoodysData(Raw)'!$B$2:$B$180,"=GDP",'MoodysData(Raw)'!$D$2:$D$180,"="&amp;'Implied Productivity Ratios'!$C26)/SUMIFS('MoodysData(Raw)'!P$2:P$180,'MoodysData(Raw)'!$B$2:$B$180,"=EMP",'MoodysData(Raw)'!$D$2:$D$180,"="&amp;'Implied Productivity Ratios'!$C26)</f>
        <v>145.53479143247299</v>
      </c>
      <c r="N26">
        <f>SUMIFS('MoodysData(Raw)'!Q$2:Q$180,'MoodysData(Raw)'!$B$2:$B$180,"=GDP",'MoodysData(Raw)'!$D$2:$D$180,"="&amp;'Implied Productivity Ratios'!$C26)/SUMIFS('MoodysData(Raw)'!Q$2:Q$180,'MoodysData(Raw)'!$B$2:$B$180,"=EMP",'MoodysData(Raw)'!$D$2:$D$180,"="&amp;'Implied Productivity Ratios'!$C26)</f>
        <v>142.55380430835197</v>
      </c>
      <c r="O26">
        <f>SUMIFS('MoodysData(Raw)'!R$2:R$180,'MoodysData(Raw)'!$B$2:$B$180,"=GDP",'MoodysData(Raw)'!$D$2:$D$180,"="&amp;'Implied Productivity Ratios'!$C26)/SUMIFS('MoodysData(Raw)'!R$2:R$180,'MoodysData(Raw)'!$B$2:$B$180,"=EMP",'MoodysData(Raw)'!$D$2:$D$180,"="&amp;'Implied Productivity Ratios'!$C26)</f>
        <v>158.88496001419466</v>
      </c>
      <c r="P26">
        <f>SUMIFS('MoodysData(Raw)'!S$2:S$180,'MoodysData(Raw)'!$B$2:$B$180,"=GDP",'MoodysData(Raw)'!$D$2:$D$180,"="&amp;'Implied Productivity Ratios'!$C26)/SUMIFS('MoodysData(Raw)'!S$2:S$180,'MoodysData(Raw)'!$B$2:$B$180,"=EMP",'MoodysData(Raw)'!$D$2:$D$180,"="&amp;'Implied Productivity Ratios'!$C26)</f>
        <v>177.23745004412379</v>
      </c>
      <c r="Q26">
        <f>SUMIFS('MoodysData(Raw)'!T$2:T$180,'MoodysData(Raw)'!$B$2:$B$180,"=GDP",'MoodysData(Raw)'!$D$2:$D$180,"="&amp;'Implied Productivity Ratios'!$C26)/SUMIFS('MoodysData(Raw)'!T$2:T$180,'MoodysData(Raw)'!$B$2:$B$180,"=EMP",'MoodysData(Raw)'!$D$2:$D$180,"="&amp;'Implied Productivity Ratios'!$C26)</f>
        <v>161.22837584891818</v>
      </c>
      <c r="R26">
        <f>SUMIFS('MoodysData(Raw)'!U$2:U$180,'MoodysData(Raw)'!$B$2:$B$180,"=GDP",'MoodysData(Raw)'!$D$2:$D$180,"="&amp;'Implied Productivity Ratios'!$C26)/SUMIFS('MoodysData(Raw)'!U$2:U$180,'MoodysData(Raw)'!$B$2:$B$180,"=EMP",'MoodysData(Raw)'!$D$2:$D$180,"="&amp;'Implied Productivity Ratios'!$C26)</f>
        <v>157.69232791297992</v>
      </c>
      <c r="S26">
        <f>SUMIFS('MoodysData(Raw)'!V$2:V$180,'MoodysData(Raw)'!$B$2:$B$180,"=GDP",'MoodysData(Raw)'!$D$2:$D$180,"="&amp;'Implied Productivity Ratios'!$C26)/SUMIFS('MoodysData(Raw)'!V$2:V$180,'MoodysData(Raw)'!$B$2:$B$180,"=EMP",'MoodysData(Raw)'!$D$2:$D$180,"="&amp;'Implied Productivity Ratios'!$C26)</f>
        <v>173.00380522811994</v>
      </c>
      <c r="T26">
        <f>SUMIFS('MoodysData(Raw)'!W$2:W$180,'MoodysData(Raw)'!$B$2:$B$180,"=GDP",'MoodysData(Raw)'!$D$2:$D$180,"="&amp;'Implied Productivity Ratios'!$C26)/SUMIFS('MoodysData(Raw)'!W$2:W$180,'MoodysData(Raw)'!$B$2:$B$180,"=EMP",'MoodysData(Raw)'!$D$2:$D$180,"="&amp;'Implied Productivity Ratios'!$C26)</f>
        <v>203.77374092206449</v>
      </c>
      <c r="U26">
        <f>SUMIFS('MoodysData(Raw)'!X$2:X$180,'MoodysData(Raw)'!$B$2:$B$180,"=GDP",'MoodysData(Raw)'!$D$2:$D$180,"="&amp;'Implied Productivity Ratios'!$C26)/SUMIFS('MoodysData(Raw)'!X$2:X$180,'MoodysData(Raw)'!$B$2:$B$180,"=EMP",'MoodysData(Raw)'!$D$2:$D$180,"="&amp;'Implied Productivity Ratios'!$C26)</f>
        <v>188.08683627683868</v>
      </c>
      <c r="V26">
        <f>SUMIFS('MoodysData(Raw)'!Y$2:Y$180,'MoodysData(Raw)'!$B$2:$B$180,"=GDP",'MoodysData(Raw)'!$D$2:$D$180,"="&amp;'Implied Productivity Ratios'!$C26)/SUMIFS('MoodysData(Raw)'!Y$2:Y$180,'MoodysData(Raw)'!$B$2:$B$180,"=EMP",'MoodysData(Raw)'!$D$2:$D$180,"="&amp;'Implied Productivity Ratios'!$C26)</f>
        <v>208.76374752702731</v>
      </c>
      <c r="W26">
        <f>SUMIFS('MoodysData(Raw)'!Z$2:Z$180,'MoodysData(Raw)'!$B$2:$B$180,"=GDP",'MoodysData(Raw)'!$D$2:$D$180,"="&amp;'Implied Productivity Ratios'!$C26)/SUMIFS('MoodysData(Raw)'!Z$2:Z$180,'MoodysData(Raw)'!$B$2:$B$180,"=EMP",'MoodysData(Raw)'!$D$2:$D$180,"="&amp;'Implied Productivity Ratios'!$C26)</f>
        <v>254.44157598335568</v>
      </c>
      <c r="X26">
        <f>SUMIFS('MoodysData(Raw)'!AA$2:AA$180,'MoodysData(Raw)'!$B$2:$B$180,"=GDP",'MoodysData(Raw)'!$D$2:$D$180,"="&amp;'Implied Productivity Ratios'!$C26)/SUMIFS('MoodysData(Raw)'!AA$2:AA$180,'MoodysData(Raw)'!$B$2:$B$180,"=EMP",'MoodysData(Raw)'!$D$2:$D$180,"="&amp;'Implied Productivity Ratios'!$C26)</f>
        <v>254.71514696863503</v>
      </c>
      <c r="Y26">
        <f>SUMIFS('MoodysData(Raw)'!AB$2:AB$180,'MoodysData(Raw)'!$B$2:$B$180,"=GDP",'MoodysData(Raw)'!$D$2:$D$180,"="&amp;'Implied Productivity Ratios'!$C26)/SUMIFS('MoodysData(Raw)'!AB$2:AB$180,'MoodysData(Raw)'!$B$2:$B$180,"=EMP",'MoodysData(Raw)'!$D$2:$D$180,"="&amp;'Implied Productivity Ratios'!$C26)</f>
        <v>269.47940012031171</v>
      </c>
      <c r="Z26">
        <f>SUMIFS('MoodysData(Raw)'!AC$2:AC$180,'MoodysData(Raw)'!$B$2:$B$180,"=GDP",'MoodysData(Raw)'!$D$2:$D$180,"="&amp;'Implied Productivity Ratios'!$C26)/SUMIFS('MoodysData(Raw)'!AC$2:AC$180,'MoodysData(Raw)'!$B$2:$B$180,"=EMP",'MoodysData(Raw)'!$D$2:$D$180,"="&amp;'Implied Productivity Ratios'!$C26)</f>
        <v>278.30220144648354</v>
      </c>
      <c r="AA26">
        <f>SUMIFS('MoodysData(Raw)'!AD$2:AD$180,'MoodysData(Raw)'!$B$2:$B$180,"=GDP",'MoodysData(Raw)'!$D$2:$D$180,"="&amp;'Implied Productivity Ratios'!$C26)/SUMIFS('MoodysData(Raw)'!AD$2:AD$180,'MoodysData(Raw)'!$B$2:$B$180,"=EMP",'MoodysData(Raw)'!$D$2:$D$180,"="&amp;'Implied Productivity Ratios'!$C26)</f>
        <v>291.8600485298316</v>
      </c>
      <c r="AB26">
        <f>SUMIFS('MoodysData(Raw)'!AE$2:AE$180,'MoodysData(Raw)'!$B$2:$B$180,"=GDP",'MoodysData(Raw)'!$D$2:$D$180,"="&amp;'Implied Productivity Ratios'!$C26)/SUMIFS('MoodysData(Raw)'!AE$2:AE$180,'MoodysData(Raw)'!$B$2:$B$180,"=EMP",'MoodysData(Raw)'!$D$2:$D$180,"="&amp;'Implied Productivity Ratios'!$C26)</f>
        <v>308.8878636221458</v>
      </c>
      <c r="AC26">
        <f>SUMIFS('MoodysData(Raw)'!AF$2:AF$180,'MoodysData(Raw)'!$B$2:$B$180,"=GDP",'MoodysData(Raw)'!$D$2:$D$180,"="&amp;'Implied Productivity Ratios'!$C26)/SUMIFS('MoodysData(Raw)'!AF$2:AF$180,'MoodysData(Raw)'!$B$2:$B$180,"=EMP",'MoodysData(Raw)'!$D$2:$D$180,"="&amp;'Implied Productivity Ratios'!$C26)</f>
        <v>326.94613470439623</v>
      </c>
      <c r="AD26">
        <f>SUMIFS('MoodysData(Raw)'!AG$2:AG$180,'MoodysData(Raw)'!$B$2:$B$180,"=GDP",'MoodysData(Raw)'!$D$2:$D$180,"="&amp;'Implied Productivity Ratios'!$C26)/SUMIFS('MoodysData(Raw)'!AG$2:AG$180,'MoodysData(Raw)'!$B$2:$B$180,"=EMP",'MoodysData(Raw)'!$D$2:$D$180,"="&amp;'Implied Productivity Ratios'!$C26)</f>
        <v>345.26201350180628</v>
      </c>
      <c r="AE26">
        <f>SUMIFS('MoodysData(Raw)'!AH$2:AH$180,'MoodysData(Raw)'!$B$2:$B$180,"=GDP",'MoodysData(Raw)'!$D$2:$D$180,"="&amp;'Implied Productivity Ratios'!$C26)/SUMIFS('MoodysData(Raw)'!AH$2:AH$180,'MoodysData(Raw)'!$B$2:$B$180,"=EMP",'MoodysData(Raw)'!$D$2:$D$180,"="&amp;'Implied Productivity Ratios'!$C26)</f>
        <v>363.31345845191049</v>
      </c>
      <c r="AF26">
        <f>SUMIFS('MoodysData(Raw)'!AI$2:AI$180,'MoodysData(Raw)'!$B$2:$B$180,"=GDP",'MoodysData(Raw)'!$D$2:$D$180,"="&amp;'Implied Productivity Ratios'!$C26)/SUMIFS('MoodysData(Raw)'!AI$2:AI$180,'MoodysData(Raw)'!$B$2:$B$180,"=EMP",'MoodysData(Raw)'!$D$2:$D$180,"="&amp;'Implied Productivity Ratios'!$C26)</f>
        <v>381.26596945170712</v>
      </c>
      <c r="AG26">
        <f>SUMIFS('MoodysData(Raw)'!AJ$2:AJ$180,'MoodysData(Raw)'!$B$2:$B$180,"=GDP",'MoodysData(Raw)'!$D$2:$D$180,"="&amp;'Implied Productivity Ratios'!$C26)/SUMIFS('MoodysData(Raw)'!AJ$2:AJ$180,'MoodysData(Raw)'!$B$2:$B$180,"=EMP",'MoodysData(Raw)'!$D$2:$D$180,"="&amp;'Implied Productivity Ratios'!$C26)</f>
        <v>399.31963284403014</v>
      </c>
      <c r="AH26">
        <f>SUMIFS('MoodysData(Raw)'!AK$2:AK$180,'MoodysData(Raw)'!$B$2:$B$180,"=GDP",'MoodysData(Raw)'!$D$2:$D$180,"="&amp;'Implied Productivity Ratios'!$C26)/SUMIFS('MoodysData(Raw)'!AK$2:AK$180,'MoodysData(Raw)'!$B$2:$B$180,"=EMP",'MoodysData(Raw)'!$D$2:$D$180,"="&amp;'Implied Productivity Ratios'!$C26)</f>
        <v>417.16539186058037</v>
      </c>
      <c r="AI26">
        <f>SUMIFS('MoodysData(Raw)'!AL$2:AL$180,'MoodysData(Raw)'!$B$2:$B$180,"=GDP",'MoodysData(Raw)'!$D$2:$D$180,"="&amp;'Implied Productivity Ratios'!$C26)/SUMIFS('MoodysData(Raw)'!AL$2:AL$180,'MoodysData(Raw)'!$B$2:$B$180,"=EMP",'MoodysData(Raw)'!$D$2:$D$180,"="&amp;'Implied Productivity Ratios'!$C26)</f>
        <v>434.92910996898138</v>
      </c>
      <c r="AJ26">
        <f>SUMIFS('MoodysData(Raw)'!AM$2:AM$180,'MoodysData(Raw)'!$B$2:$B$180,"=GDP",'MoodysData(Raw)'!$D$2:$D$180,"="&amp;'Implied Productivity Ratios'!$C26)/SUMIFS('MoodysData(Raw)'!AM$2:AM$180,'MoodysData(Raw)'!$B$2:$B$180,"=EMP",'MoodysData(Raw)'!$D$2:$D$180,"="&amp;'Implied Productivity Ratios'!$C26)</f>
        <v>453.91704228958008</v>
      </c>
      <c r="AK26">
        <f>SUMIFS('MoodysData(Raw)'!AN$2:AN$180,'MoodysData(Raw)'!$B$2:$B$180,"=GDP",'MoodysData(Raw)'!$D$2:$D$180,"="&amp;'Implied Productivity Ratios'!$C26)/SUMIFS('MoodysData(Raw)'!AN$2:AN$180,'MoodysData(Raw)'!$B$2:$B$180,"=EMP",'MoodysData(Raw)'!$D$2:$D$180,"="&amp;'Implied Productivity Ratios'!$C26)</f>
        <v>474.4376304978781</v>
      </c>
      <c r="AL26">
        <f>SUMIFS('MoodysData(Raw)'!AO$2:AO$180,'MoodysData(Raw)'!$B$2:$B$180,"=GDP",'MoodysData(Raw)'!$D$2:$D$180,"="&amp;'Implied Productivity Ratios'!$C26)/SUMIFS('MoodysData(Raw)'!AO$2:AO$180,'MoodysData(Raw)'!$B$2:$B$180,"=EMP",'MoodysData(Raw)'!$D$2:$D$180,"="&amp;'Implied Productivity Ratios'!$C26)</f>
        <v>496.34402863785056</v>
      </c>
      <c r="AM26">
        <f>SUMIFS('MoodysData(Raw)'!AP$2:AP$180,'MoodysData(Raw)'!$B$2:$B$180,"=GDP",'MoodysData(Raw)'!$D$2:$D$180,"="&amp;'Implied Productivity Ratios'!$C26)/SUMIFS('MoodysData(Raw)'!AP$2:AP$180,'MoodysData(Raw)'!$B$2:$B$180,"=EMP",'MoodysData(Raw)'!$D$2:$D$180,"="&amp;'Implied Productivity Ratios'!$C26)</f>
        <v>519.17963229091151</v>
      </c>
      <c r="AN26">
        <f>SUMIFS('MoodysData(Raw)'!AQ$2:AQ$180,'MoodysData(Raw)'!$B$2:$B$180,"=GDP",'MoodysData(Raw)'!$D$2:$D$180,"="&amp;'Implied Productivity Ratios'!$C26)/SUMIFS('MoodysData(Raw)'!AQ$2:AQ$180,'MoodysData(Raw)'!$B$2:$B$180,"=EMP",'MoodysData(Raw)'!$D$2:$D$180,"="&amp;'Implied Productivity Ratios'!$C26)</f>
        <v>542.79435228567809</v>
      </c>
      <c r="AO26">
        <f>SUMIFS('MoodysData(Raw)'!AR$2:AR$180,'MoodysData(Raw)'!$B$2:$B$180,"=GDP",'MoodysData(Raw)'!$D$2:$D$180,"="&amp;'Implied Productivity Ratios'!$C26)/SUMIFS('MoodysData(Raw)'!AR$2:AR$180,'MoodysData(Raw)'!$B$2:$B$180,"=EMP",'MoodysData(Raw)'!$D$2:$D$180,"="&amp;'Implied Productivity Ratios'!$C26)</f>
        <v>566.78895394328583</v>
      </c>
      <c r="AP26">
        <f>SUMIFS('MoodysData(Raw)'!AS$2:AS$180,'MoodysData(Raw)'!$B$2:$B$180,"=GDP",'MoodysData(Raw)'!$D$2:$D$180,"="&amp;'Implied Productivity Ratios'!$C26)/SUMIFS('MoodysData(Raw)'!AS$2:AS$180,'MoodysData(Raw)'!$B$2:$B$180,"=EMP",'MoodysData(Raw)'!$D$2:$D$180,"="&amp;'Implied Productivity Ratios'!$C26)</f>
        <v>592.27034932230731</v>
      </c>
      <c r="AQ26">
        <f>SUMIFS('MoodysData(Raw)'!AT$2:AT$180,'MoodysData(Raw)'!$B$2:$B$180,"=GDP",'MoodysData(Raw)'!$D$2:$D$180,"="&amp;'Implied Productivity Ratios'!$C26)/SUMIFS('MoodysData(Raw)'!AT$2:AT$180,'MoodysData(Raw)'!$B$2:$B$180,"=EMP",'MoodysData(Raw)'!$D$2:$D$180,"="&amp;'Implied Productivity Ratios'!$C26)</f>
        <v>620.13905343862393</v>
      </c>
      <c r="AR26">
        <f>SUMIFS('MoodysData(Raw)'!AU$2:AU$180,'MoodysData(Raw)'!$B$2:$B$180,"=GDP",'MoodysData(Raw)'!$D$2:$D$180,"="&amp;'Implied Productivity Ratios'!$C26)/SUMIFS('MoodysData(Raw)'!AU$2:AU$180,'MoodysData(Raw)'!$B$2:$B$180,"=EMP",'MoodysData(Raw)'!$D$2:$D$180,"="&amp;'Implied Productivity Ratios'!$C26)</f>
        <v>650.2758350795325</v>
      </c>
      <c r="AS26">
        <f>SUMIFS('MoodysData(Raw)'!AV$2:AV$180,'MoodysData(Raw)'!$B$2:$B$180,"=GDP",'MoodysData(Raw)'!$D$2:$D$180,"="&amp;'Implied Productivity Ratios'!$C26)/SUMIFS('MoodysData(Raw)'!AV$2:AV$180,'MoodysData(Raw)'!$B$2:$B$180,"=EMP",'MoodysData(Raw)'!$D$2:$D$180,"="&amp;'Implied Productivity Ratios'!$C26)</f>
        <v>682.13385201244421</v>
      </c>
      <c r="AT26">
        <f>SUMIFS('MoodysData(Raw)'!AW$2:AW$180,'MoodysData(Raw)'!$B$2:$B$180,"=GDP",'MoodysData(Raw)'!$D$2:$D$180,"="&amp;'Implied Productivity Ratios'!$C26)/SUMIFS('MoodysData(Raw)'!AW$2:AW$180,'MoodysData(Raw)'!$B$2:$B$180,"=EMP",'MoodysData(Raw)'!$D$2:$D$180,"="&amp;'Implied Productivity Ratios'!$C26)</f>
        <v>715.81676914833224</v>
      </c>
      <c r="AU26">
        <f>SUMIFS('MoodysData(Raw)'!AX$2:AX$180,'MoodysData(Raw)'!$B$2:$B$180,"=GDP",'MoodysData(Raw)'!$D$2:$D$180,"="&amp;'Implied Productivity Ratios'!$C26)/SUMIFS('MoodysData(Raw)'!AX$2:AX$180,'MoodysData(Raw)'!$B$2:$B$180,"=EMP",'MoodysData(Raw)'!$D$2:$D$180,"="&amp;'Implied Productivity Ratios'!$C26)</f>
        <v>752.22195166193046</v>
      </c>
      <c r="AV26">
        <f>SUMIFS('MoodysData(Raw)'!AY$2:AY$180,'MoodysData(Raw)'!$B$2:$B$180,"=GDP",'MoodysData(Raw)'!$D$2:$D$180,"="&amp;'Implied Productivity Ratios'!$C26)/SUMIFS('MoodysData(Raw)'!AY$2:AY$180,'MoodysData(Raw)'!$B$2:$B$180,"=EMP",'MoodysData(Raw)'!$D$2:$D$180,"="&amp;'Implied Productivity Ratios'!$C26)</f>
        <v>791.60648103286121</v>
      </c>
      <c r="AW26">
        <f>SUMIFS('MoodysData(Raw)'!AZ$2:AZ$180,'MoodysData(Raw)'!$B$2:$B$180,"=GDP",'MoodysData(Raw)'!$D$2:$D$180,"="&amp;'Implied Productivity Ratios'!$C26)/SUMIFS('MoodysData(Raw)'!AZ$2:AZ$180,'MoodysData(Raw)'!$B$2:$B$180,"=EMP",'MoodysData(Raw)'!$D$2:$D$180,"="&amp;'Implied Productivity Ratios'!$C26)</f>
        <v>833.47547100635109</v>
      </c>
      <c r="AX26">
        <f>SUMIFS('MoodysData(Raw)'!BA$2:BA$180,'MoodysData(Raw)'!$B$2:$B$180,"=GDP",'MoodysData(Raw)'!$D$2:$D$180,"="&amp;'Implied Productivity Ratios'!$C26)/SUMIFS('MoodysData(Raw)'!BA$2:BA$180,'MoodysData(Raw)'!$B$2:$B$180,"=EMP",'MoodysData(Raw)'!$D$2:$D$180,"="&amp;'Implied Productivity Ratios'!$C26)</f>
        <v>877.65173274767335</v>
      </c>
      <c r="AY26">
        <f>SUMIFS('MoodysData(Raw)'!BB$2:BB$180,'MoodysData(Raw)'!$B$2:$B$180,"=GDP",'MoodysData(Raw)'!$D$2:$D$180,"="&amp;'Implied Productivity Ratios'!$C26)/SUMIFS('MoodysData(Raw)'!BB$2:BB$180,'MoodysData(Raw)'!$B$2:$B$180,"=EMP",'MoodysData(Raw)'!$D$2:$D$180,"="&amp;'Implied Productivity Ratios'!$C26)</f>
        <v>924.0127671490942</v>
      </c>
      <c r="AZ26">
        <f>SUMIFS('MoodysData(Raw)'!BC$2:BC$180,'MoodysData(Raw)'!$B$2:$B$180,"=GDP",'MoodysData(Raw)'!$D$2:$D$180,"="&amp;'Implied Productivity Ratios'!$C26)/SUMIFS('MoodysData(Raw)'!BC$2:BC$180,'MoodysData(Raw)'!$B$2:$B$180,"=EMP",'MoodysData(Raw)'!$D$2:$D$180,"="&amp;'Implied Productivity Ratios'!$C26)</f>
        <v>973.37786834352733</v>
      </c>
      <c r="BA26">
        <f>SUMIFS('MoodysData(Raw)'!BD$2:BD$180,'MoodysData(Raw)'!$B$2:$B$180,"=GDP",'MoodysData(Raw)'!$D$2:$D$180,"="&amp;'Implied Productivity Ratios'!$C26)/SUMIFS('MoodysData(Raw)'!BD$2:BD$180,'MoodysData(Raw)'!$B$2:$B$180,"=EMP",'MoodysData(Raw)'!$D$2:$D$180,"="&amp;'Implied Productivity Ratios'!$C26)</f>
        <v>1026.3455917667238</v>
      </c>
      <c r="BB26">
        <f>SUMIFS('MoodysData(Raw)'!BE$2:BE$180,'MoodysData(Raw)'!$B$2:$B$180,"=GDP",'MoodysData(Raw)'!$D$2:$D$180,"="&amp;'Implied Productivity Ratios'!$C26)/SUMIFS('MoodysData(Raw)'!BE$2:BE$180,'MoodysData(Raw)'!$B$2:$B$180,"=EMP",'MoodysData(Raw)'!$D$2:$D$180,"="&amp;'Implied Productivity Ratios'!$C26)</f>
        <v>1083.323806194305</v>
      </c>
      <c r="BC26">
        <f>SUMIFS('MoodysData(Raw)'!BF$2:BF$180,'MoodysData(Raw)'!$B$2:$B$180,"=GDP",'MoodysData(Raw)'!$D$2:$D$180,"="&amp;'Implied Productivity Ratios'!$C26)/SUMIFS('MoodysData(Raw)'!BF$2:BF$180,'MoodysData(Raw)'!$B$2:$B$180,"=EMP",'MoodysData(Raw)'!$D$2:$D$180,"="&amp;'Implied Productivity Ratios'!$C26)</f>
        <v>1144.319678034944</v>
      </c>
      <c r="BD26" s="5">
        <f t="shared" ref="BD26:BH26" si="20">BC26+($BC26-$AX26)/5</f>
        <v>1197.6532670923982</v>
      </c>
      <c r="BE26" s="5">
        <f t="shared" si="20"/>
        <v>1250.9868561498524</v>
      </c>
      <c r="BF26" s="5">
        <f t="shared" si="20"/>
        <v>1304.3204452073066</v>
      </c>
      <c r="BG26" s="5">
        <f t="shared" si="20"/>
        <v>1357.6540342647609</v>
      </c>
      <c r="BH26" s="5">
        <f t="shared" si="20"/>
        <v>1410.9876233222151</v>
      </c>
    </row>
    <row r="27" spans="3:60">
      <c r="C27">
        <v>332</v>
      </c>
      <c r="D27" t="s">
        <v>91</v>
      </c>
      <c r="E27">
        <f>SUMIFS('MoodysData(Raw)'!H$2:H$180,'MoodysData(Raw)'!$B$2:$B$180,"=GDP",'MoodysData(Raw)'!$D$2:$D$180,"="&amp;'Implied Productivity Ratios'!$C27)/SUMIFS('MoodysData(Raw)'!H$2:H$180,'MoodysData(Raw)'!$B$2:$B$180,"=EMP",'MoodysData(Raw)'!$D$2:$D$180,"="&amp;'Implied Productivity Ratios'!$C27)</f>
        <v>102.84990379167022</v>
      </c>
      <c r="F27">
        <f>SUMIFS('MoodysData(Raw)'!I$2:I$180,'MoodysData(Raw)'!$B$2:$B$180,"=GDP",'MoodysData(Raw)'!$D$2:$D$180,"="&amp;'Implied Productivity Ratios'!$C27)/SUMIFS('MoodysData(Raw)'!I$2:I$180,'MoodysData(Raw)'!$B$2:$B$180,"=EMP",'MoodysData(Raw)'!$D$2:$D$180,"="&amp;'Implied Productivity Ratios'!$C27)</f>
        <v>104.21527130361575</v>
      </c>
      <c r="G27">
        <f>SUMIFS('MoodysData(Raw)'!J$2:J$180,'MoodysData(Raw)'!$B$2:$B$180,"=GDP",'MoodysData(Raw)'!$D$2:$D$180,"="&amp;'Implied Productivity Ratios'!$C27)/SUMIFS('MoodysData(Raw)'!J$2:J$180,'MoodysData(Raw)'!$B$2:$B$180,"=EMP",'MoodysData(Raw)'!$D$2:$D$180,"="&amp;'Implied Productivity Ratios'!$C27)</f>
        <v>108.01104688503533</v>
      </c>
      <c r="H27">
        <f>SUMIFS('MoodysData(Raw)'!K$2:K$180,'MoodysData(Raw)'!$B$2:$B$180,"=GDP",'MoodysData(Raw)'!$D$2:$D$180,"="&amp;'Implied Productivity Ratios'!$C27)/SUMIFS('MoodysData(Raw)'!K$2:K$180,'MoodysData(Raw)'!$B$2:$B$180,"=EMP",'MoodysData(Raw)'!$D$2:$D$180,"="&amp;'Implied Productivity Ratios'!$C27)</f>
        <v>104.32233759911065</v>
      </c>
      <c r="I27">
        <f>SUMIFS('MoodysData(Raw)'!L$2:L$180,'MoodysData(Raw)'!$B$2:$B$180,"=GDP",'MoodysData(Raw)'!$D$2:$D$180,"="&amp;'Implied Productivity Ratios'!$C27)/SUMIFS('MoodysData(Raw)'!L$2:L$180,'MoodysData(Raw)'!$B$2:$B$180,"=EMP",'MoodysData(Raw)'!$D$2:$D$180,"="&amp;'Implied Productivity Ratios'!$C27)</f>
        <v>92.508292120995449</v>
      </c>
      <c r="J27">
        <f>SUMIFS('MoodysData(Raw)'!M$2:M$180,'MoodysData(Raw)'!$B$2:$B$180,"=GDP",'MoodysData(Raw)'!$D$2:$D$180,"="&amp;'Implied Productivity Ratios'!$C27)/SUMIFS('MoodysData(Raw)'!M$2:M$180,'MoodysData(Raw)'!$B$2:$B$180,"=EMP",'MoodysData(Raw)'!$D$2:$D$180,"="&amp;'Implied Productivity Ratios'!$C27)</f>
        <v>104.59512634801021</v>
      </c>
      <c r="K27">
        <f>SUMIFS('MoodysData(Raw)'!N$2:N$180,'MoodysData(Raw)'!$B$2:$B$180,"=GDP",'MoodysData(Raw)'!$D$2:$D$180,"="&amp;'Implied Productivity Ratios'!$C27)/SUMIFS('MoodysData(Raw)'!N$2:N$180,'MoodysData(Raw)'!$B$2:$B$180,"=EMP",'MoodysData(Raw)'!$D$2:$D$180,"="&amp;'Implied Productivity Ratios'!$C27)</f>
        <v>105.53510573874634</v>
      </c>
      <c r="L27">
        <f>SUMIFS('MoodysData(Raw)'!O$2:O$180,'MoodysData(Raw)'!$B$2:$B$180,"=GDP",'MoodysData(Raw)'!$D$2:$D$180,"="&amp;'Implied Productivity Ratios'!$C27)/SUMIFS('MoodysData(Raw)'!O$2:O$180,'MoodysData(Raw)'!$B$2:$B$180,"=EMP",'MoodysData(Raw)'!$D$2:$D$180,"="&amp;'Implied Productivity Ratios'!$C27)</f>
        <v>104.81881511287418</v>
      </c>
      <c r="M27">
        <f>SUMIFS('MoodysData(Raw)'!P$2:P$180,'MoodysData(Raw)'!$B$2:$B$180,"=GDP",'MoodysData(Raw)'!$D$2:$D$180,"="&amp;'Implied Productivity Ratios'!$C27)/SUMIFS('MoodysData(Raw)'!P$2:P$180,'MoodysData(Raw)'!$B$2:$B$180,"=EMP",'MoodysData(Raw)'!$D$2:$D$180,"="&amp;'Implied Productivity Ratios'!$C27)</f>
        <v>102.78963391098941</v>
      </c>
      <c r="N27">
        <f>SUMIFS('MoodysData(Raw)'!Q$2:Q$180,'MoodysData(Raw)'!$B$2:$B$180,"=GDP",'MoodysData(Raw)'!$D$2:$D$180,"="&amp;'Implied Productivity Ratios'!$C27)/SUMIFS('MoodysData(Raw)'!Q$2:Q$180,'MoodysData(Raw)'!$B$2:$B$180,"=EMP",'MoodysData(Raw)'!$D$2:$D$180,"="&amp;'Implied Productivity Ratios'!$C27)</f>
        <v>102.03219797874669</v>
      </c>
      <c r="O27">
        <f>SUMIFS('MoodysData(Raw)'!R$2:R$180,'MoodysData(Raw)'!$B$2:$B$180,"=GDP",'MoodysData(Raw)'!$D$2:$D$180,"="&amp;'Implied Productivity Ratios'!$C27)/SUMIFS('MoodysData(Raw)'!R$2:R$180,'MoodysData(Raw)'!$B$2:$B$180,"=EMP",'MoodysData(Raw)'!$D$2:$D$180,"="&amp;'Implied Productivity Ratios'!$C27)</f>
        <v>97.429649755756245</v>
      </c>
      <c r="P27">
        <f>SUMIFS('MoodysData(Raw)'!S$2:S$180,'MoodysData(Raw)'!$B$2:$B$180,"=GDP",'MoodysData(Raw)'!$D$2:$D$180,"="&amp;'Implied Productivity Ratios'!$C27)/SUMIFS('MoodysData(Raw)'!S$2:S$180,'MoodysData(Raw)'!$B$2:$B$180,"=EMP",'MoodysData(Raw)'!$D$2:$D$180,"="&amp;'Implied Productivity Ratios'!$C27)</f>
        <v>96.454101358559143</v>
      </c>
      <c r="Q27">
        <f>SUMIFS('MoodysData(Raw)'!T$2:T$180,'MoodysData(Raw)'!$B$2:$B$180,"=GDP",'MoodysData(Raw)'!$D$2:$D$180,"="&amp;'Implied Productivity Ratios'!$C27)/SUMIFS('MoodysData(Raw)'!T$2:T$180,'MoodysData(Raw)'!$B$2:$B$180,"=EMP",'MoodysData(Raw)'!$D$2:$D$180,"="&amp;'Implied Productivity Ratios'!$C27)</f>
        <v>101.61095381211807</v>
      </c>
      <c r="R27">
        <f>SUMIFS('MoodysData(Raw)'!U$2:U$180,'MoodysData(Raw)'!$B$2:$B$180,"=GDP",'MoodysData(Raw)'!$D$2:$D$180,"="&amp;'Implied Productivity Ratios'!$C27)/SUMIFS('MoodysData(Raw)'!U$2:U$180,'MoodysData(Raw)'!$B$2:$B$180,"=EMP",'MoodysData(Raw)'!$D$2:$D$180,"="&amp;'Implied Productivity Ratios'!$C27)</f>
        <v>102.70440422980487</v>
      </c>
      <c r="S27">
        <f>SUMIFS('MoodysData(Raw)'!V$2:V$180,'MoodysData(Raw)'!$B$2:$B$180,"=GDP",'MoodysData(Raw)'!$D$2:$D$180,"="&amp;'Implied Productivity Ratios'!$C27)/SUMIFS('MoodysData(Raw)'!V$2:V$180,'MoodysData(Raw)'!$B$2:$B$180,"=EMP",'MoodysData(Raw)'!$D$2:$D$180,"="&amp;'Implied Productivity Ratios'!$C27)</f>
        <v>100.63506659772172</v>
      </c>
      <c r="T27">
        <f>SUMIFS('MoodysData(Raw)'!W$2:W$180,'MoodysData(Raw)'!$B$2:$B$180,"=GDP",'MoodysData(Raw)'!$D$2:$D$180,"="&amp;'Implied Productivity Ratios'!$C27)/SUMIFS('MoodysData(Raw)'!W$2:W$180,'MoodysData(Raw)'!$B$2:$B$180,"=EMP",'MoodysData(Raw)'!$D$2:$D$180,"="&amp;'Implied Productivity Ratios'!$C27)</f>
        <v>98.368348729632544</v>
      </c>
      <c r="U27">
        <f>SUMIFS('MoodysData(Raw)'!X$2:X$180,'MoodysData(Raw)'!$B$2:$B$180,"=GDP",'MoodysData(Raw)'!$D$2:$D$180,"="&amp;'Implied Productivity Ratios'!$C27)/SUMIFS('MoodysData(Raw)'!X$2:X$180,'MoodysData(Raw)'!$B$2:$B$180,"=EMP",'MoodysData(Raw)'!$D$2:$D$180,"="&amp;'Implied Productivity Ratios'!$C27)</f>
        <v>100.5196928831208</v>
      </c>
      <c r="V27">
        <f>SUMIFS('MoodysData(Raw)'!Y$2:Y$180,'MoodysData(Raw)'!$B$2:$B$180,"=GDP",'MoodysData(Raw)'!$D$2:$D$180,"="&amp;'Implied Productivity Ratios'!$C27)/SUMIFS('MoodysData(Raw)'!Y$2:Y$180,'MoodysData(Raw)'!$B$2:$B$180,"=EMP",'MoodysData(Raw)'!$D$2:$D$180,"="&amp;'Implied Productivity Ratios'!$C27)</f>
        <v>93.468315925807104</v>
      </c>
      <c r="W27">
        <f>SUMIFS('MoodysData(Raw)'!Z$2:Z$180,'MoodysData(Raw)'!$B$2:$B$180,"=GDP",'MoodysData(Raw)'!$D$2:$D$180,"="&amp;'Implied Productivity Ratios'!$C27)/SUMIFS('MoodysData(Raw)'!Z$2:Z$180,'MoodysData(Raw)'!$B$2:$B$180,"=EMP",'MoodysData(Raw)'!$D$2:$D$180,"="&amp;'Implied Productivity Ratios'!$C27)</f>
        <v>86.160274672690477</v>
      </c>
      <c r="X27">
        <f>SUMIFS('MoodysData(Raw)'!AA$2:AA$180,'MoodysData(Raw)'!$B$2:$B$180,"=GDP",'MoodysData(Raw)'!$D$2:$D$180,"="&amp;'Implied Productivity Ratios'!$C27)/SUMIFS('MoodysData(Raw)'!AA$2:AA$180,'MoodysData(Raw)'!$B$2:$B$180,"=EMP",'MoodysData(Raw)'!$D$2:$D$180,"="&amp;'Implied Productivity Ratios'!$C27)</f>
        <v>82.593202146690516</v>
      </c>
      <c r="Y27">
        <f>SUMIFS('MoodysData(Raw)'!AB$2:AB$180,'MoodysData(Raw)'!$B$2:$B$180,"=GDP",'MoodysData(Raw)'!$D$2:$D$180,"="&amp;'Implied Productivity Ratios'!$C27)/SUMIFS('MoodysData(Raw)'!AB$2:AB$180,'MoodysData(Raw)'!$B$2:$B$180,"=EMP",'MoodysData(Raw)'!$D$2:$D$180,"="&amp;'Implied Productivity Ratios'!$C27)</f>
        <v>81.736911511317928</v>
      </c>
      <c r="Z27">
        <f>SUMIFS('MoodysData(Raw)'!AC$2:AC$180,'MoodysData(Raw)'!$B$2:$B$180,"=GDP",'MoodysData(Raw)'!$D$2:$D$180,"="&amp;'Implied Productivity Ratios'!$C27)/SUMIFS('MoodysData(Raw)'!AC$2:AC$180,'MoodysData(Raw)'!$B$2:$B$180,"=EMP",'MoodysData(Raw)'!$D$2:$D$180,"="&amp;'Implied Productivity Ratios'!$C27)</f>
        <v>80.326573792022231</v>
      </c>
      <c r="AA27">
        <f>SUMIFS('MoodysData(Raw)'!AD$2:AD$180,'MoodysData(Raw)'!$B$2:$B$180,"=GDP",'MoodysData(Raw)'!$D$2:$D$180,"="&amp;'Implied Productivity Ratios'!$C27)/SUMIFS('MoodysData(Raw)'!AD$2:AD$180,'MoodysData(Raw)'!$B$2:$B$180,"=EMP",'MoodysData(Raw)'!$D$2:$D$180,"="&amp;'Implied Productivity Ratios'!$C27)</f>
        <v>80.498285820117431</v>
      </c>
      <c r="AB27">
        <f>SUMIFS('MoodysData(Raw)'!AE$2:AE$180,'MoodysData(Raw)'!$B$2:$B$180,"=GDP",'MoodysData(Raw)'!$D$2:$D$180,"="&amp;'Implied Productivity Ratios'!$C27)/SUMIFS('MoodysData(Raw)'!AE$2:AE$180,'MoodysData(Raw)'!$B$2:$B$180,"=EMP",'MoodysData(Raw)'!$D$2:$D$180,"="&amp;'Implied Productivity Ratios'!$C27)</f>
        <v>81.702876337407588</v>
      </c>
      <c r="AC27">
        <f>SUMIFS('MoodysData(Raw)'!AF$2:AF$180,'MoodysData(Raw)'!$B$2:$B$180,"=GDP",'MoodysData(Raw)'!$D$2:$D$180,"="&amp;'Implied Productivity Ratios'!$C27)/SUMIFS('MoodysData(Raw)'!AF$2:AF$180,'MoodysData(Raw)'!$B$2:$B$180,"=EMP",'MoodysData(Raw)'!$D$2:$D$180,"="&amp;'Implied Productivity Ratios'!$C27)</f>
        <v>83.318980177344386</v>
      </c>
      <c r="AD27">
        <f>SUMIFS('MoodysData(Raw)'!AG$2:AG$180,'MoodysData(Raw)'!$B$2:$B$180,"=GDP",'MoodysData(Raw)'!$D$2:$D$180,"="&amp;'Implied Productivity Ratios'!$C27)/SUMIFS('MoodysData(Raw)'!AG$2:AG$180,'MoodysData(Raw)'!$B$2:$B$180,"=EMP",'MoodysData(Raw)'!$D$2:$D$180,"="&amp;'Implied Productivity Ratios'!$C27)</f>
        <v>85.037916360645553</v>
      </c>
      <c r="AE27">
        <f>SUMIFS('MoodysData(Raw)'!AH$2:AH$180,'MoodysData(Raw)'!$B$2:$B$180,"=GDP",'MoodysData(Raw)'!$D$2:$D$180,"="&amp;'Implied Productivity Ratios'!$C27)/SUMIFS('MoodysData(Raw)'!AH$2:AH$180,'MoodysData(Raw)'!$B$2:$B$180,"=EMP",'MoodysData(Raw)'!$D$2:$D$180,"="&amp;'Implied Productivity Ratios'!$C27)</f>
        <v>86.517136759348148</v>
      </c>
      <c r="AF27">
        <f>SUMIFS('MoodysData(Raw)'!AI$2:AI$180,'MoodysData(Raw)'!$B$2:$B$180,"=GDP",'MoodysData(Raw)'!$D$2:$D$180,"="&amp;'Implied Productivity Ratios'!$C27)/SUMIFS('MoodysData(Raw)'!AI$2:AI$180,'MoodysData(Raw)'!$B$2:$B$180,"=EMP",'MoodysData(Raw)'!$D$2:$D$180,"="&amp;'Implied Productivity Ratios'!$C27)</f>
        <v>87.931983014542865</v>
      </c>
      <c r="AG27">
        <f>SUMIFS('MoodysData(Raw)'!AJ$2:AJ$180,'MoodysData(Raw)'!$B$2:$B$180,"=GDP",'MoodysData(Raw)'!$D$2:$D$180,"="&amp;'Implied Productivity Ratios'!$C27)/SUMIFS('MoodysData(Raw)'!AJ$2:AJ$180,'MoodysData(Raw)'!$B$2:$B$180,"=EMP",'MoodysData(Raw)'!$D$2:$D$180,"="&amp;'Implied Productivity Ratios'!$C27)</f>
        <v>89.282815795928371</v>
      </c>
      <c r="AH27">
        <f>SUMIFS('MoodysData(Raw)'!AK$2:AK$180,'MoodysData(Raw)'!$B$2:$B$180,"=GDP",'MoodysData(Raw)'!$D$2:$D$180,"="&amp;'Implied Productivity Ratios'!$C27)/SUMIFS('MoodysData(Raw)'!AK$2:AK$180,'MoodysData(Raw)'!$B$2:$B$180,"=EMP",'MoodysData(Raw)'!$D$2:$D$180,"="&amp;'Implied Productivity Ratios'!$C27)</f>
        <v>90.431548112841895</v>
      </c>
      <c r="AI27">
        <f>SUMIFS('MoodysData(Raw)'!AL$2:AL$180,'MoodysData(Raw)'!$B$2:$B$180,"=GDP",'MoodysData(Raw)'!$D$2:$D$180,"="&amp;'Implied Productivity Ratios'!$C27)/SUMIFS('MoodysData(Raw)'!AL$2:AL$180,'MoodysData(Raw)'!$B$2:$B$180,"=EMP",'MoodysData(Raw)'!$D$2:$D$180,"="&amp;'Implied Productivity Ratios'!$C27)</f>
        <v>91.427574922187631</v>
      </c>
      <c r="AJ27">
        <f>SUMIFS('MoodysData(Raw)'!AM$2:AM$180,'MoodysData(Raw)'!$B$2:$B$180,"=GDP",'MoodysData(Raw)'!$D$2:$D$180,"="&amp;'Implied Productivity Ratios'!$C27)/SUMIFS('MoodysData(Raw)'!AM$2:AM$180,'MoodysData(Raw)'!$B$2:$B$180,"=EMP",'MoodysData(Raw)'!$D$2:$D$180,"="&amp;'Implied Productivity Ratios'!$C27)</f>
        <v>92.478593302862251</v>
      </c>
      <c r="AK27">
        <f>SUMIFS('MoodysData(Raw)'!AN$2:AN$180,'MoodysData(Raw)'!$B$2:$B$180,"=GDP",'MoodysData(Raw)'!$D$2:$D$180,"="&amp;'Implied Productivity Ratios'!$C27)/SUMIFS('MoodysData(Raw)'!AN$2:AN$180,'MoodysData(Raw)'!$B$2:$B$180,"=EMP",'MoodysData(Raw)'!$D$2:$D$180,"="&amp;'Implied Productivity Ratios'!$C27)</f>
        <v>93.624379540520295</v>
      </c>
      <c r="AL27">
        <f>SUMIFS('MoodysData(Raw)'!AO$2:AO$180,'MoodysData(Raw)'!$B$2:$B$180,"=GDP",'MoodysData(Raw)'!$D$2:$D$180,"="&amp;'Implied Productivity Ratios'!$C27)/SUMIFS('MoodysData(Raw)'!AO$2:AO$180,'MoodysData(Raw)'!$B$2:$B$180,"=EMP",'MoodysData(Raw)'!$D$2:$D$180,"="&amp;'Implied Productivity Ratios'!$C27)</f>
        <v>94.804182262879266</v>
      </c>
      <c r="AM27">
        <f>SUMIFS('MoodysData(Raw)'!AP$2:AP$180,'MoodysData(Raw)'!$B$2:$B$180,"=GDP",'MoodysData(Raw)'!$D$2:$D$180,"="&amp;'Implied Productivity Ratios'!$C27)/SUMIFS('MoodysData(Raw)'!AP$2:AP$180,'MoodysData(Raw)'!$B$2:$B$180,"=EMP",'MoodysData(Raw)'!$D$2:$D$180,"="&amp;'Implied Productivity Ratios'!$C27)</f>
        <v>96.042080639129637</v>
      </c>
      <c r="AN27">
        <f>SUMIFS('MoodysData(Raw)'!AQ$2:AQ$180,'MoodysData(Raw)'!$B$2:$B$180,"=GDP",'MoodysData(Raw)'!$D$2:$D$180,"="&amp;'Implied Productivity Ratios'!$C27)/SUMIFS('MoodysData(Raw)'!AQ$2:AQ$180,'MoodysData(Raw)'!$B$2:$B$180,"=EMP",'MoodysData(Raw)'!$D$2:$D$180,"="&amp;'Implied Productivity Ratios'!$C27)</f>
        <v>97.250081282508376</v>
      </c>
      <c r="AO27">
        <f>SUMIFS('MoodysData(Raw)'!AR$2:AR$180,'MoodysData(Raw)'!$B$2:$B$180,"=GDP",'MoodysData(Raw)'!$D$2:$D$180,"="&amp;'Implied Productivity Ratios'!$C27)/SUMIFS('MoodysData(Raw)'!AR$2:AR$180,'MoodysData(Raw)'!$B$2:$B$180,"=EMP",'MoodysData(Raw)'!$D$2:$D$180,"="&amp;'Implied Productivity Ratios'!$C27)</f>
        <v>98.376612614845484</v>
      </c>
      <c r="AP27">
        <f>SUMIFS('MoodysData(Raw)'!AS$2:AS$180,'MoodysData(Raw)'!$B$2:$B$180,"=GDP",'MoodysData(Raw)'!$D$2:$D$180,"="&amp;'Implied Productivity Ratios'!$C27)/SUMIFS('MoodysData(Raw)'!AS$2:AS$180,'MoodysData(Raw)'!$B$2:$B$180,"=EMP",'MoodysData(Raw)'!$D$2:$D$180,"="&amp;'Implied Productivity Ratios'!$C27)</f>
        <v>99.49059223746697</v>
      </c>
      <c r="AQ27">
        <f>SUMIFS('MoodysData(Raw)'!AT$2:AT$180,'MoodysData(Raw)'!$B$2:$B$180,"=GDP",'MoodysData(Raw)'!$D$2:$D$180,"="&amp;'Implied Productivity Ratios'!$C27)/SUMIFS('MoodysData(Raw)'!AT$2:AT$180,'MoodysData(Raw)'!$B$2:$B$180,"=EMP",'MoodysData(Raw)'!$D$2:$D$180,"="&amp;'Implied Productivity Ratios'!$C27)</f>
        <v>100.59988873000403</v>
      </c>
      <c r="AR27">
        <f>SUMIFS('MoodysData(Raw)'!AU$2:AU$180,'MoodysData(Raw)'!$B$2:$B$180,"=GDP",'MoodysData(Raw)'!$D$2:$D$180,"="&amp;'Implied Productivity Ratios'!$C27)/SUMIFS('MoodysData(Raw)'!AU$2:AU$180,'MoodysData(Raw)'!$B$2:$B$180,"=EMP",'MoodysData(Raw)'!$D$2:$D$180,"="&amp;'Implied Productivity Ratios'!$C27)</f>
        <v>101.74131680791652</v>
      </c>
      <c r="AS27">
        <f>SUMIFS('MoodysData(Raw)'!AV$2:AV$180,'MoodysData(Raw)'!$B$2:$B$180,"=GDP",'MoodysData(Raw)'!$D$2:$D$180,"="&amp;'Implied Productivity Ratios'!$C27)/SUMIFS('MoodysData(Raw)'!AV$2:AV$180,'MoodysData(Raw)'!$B$2:$B$180,"=EMP",'MoodysData(Raw)'!$D$2:$D$180,"="&amp;'Implied Productivity Ratios'!$C27)</f>
        <v>102.9370066887696</v>
      </c>
      <c r="AT27">
        <f>SUMIFS('MoodysData(Raw)'!AW$2:AW$180,'MoodysData(Raw)'!$B$2:$B$180,"=GDP",'MoodysData(Raw)'!$D$2:$D$180,"="&amp;'Implied Productivity Ratios'!$C27)/SUMIFS('MoodysData(Raw)'!AW$2:AW$180,'MoodysData(Raw)'!$B$2:$B$180,"=EMP",'MoodysData(Raw)'!$D$2:$D$180,"="&amp;'Implied Productivity Ratios'!$C27)</f>
        <v>104.20974286526017</v>
      </c>
      <c r="AU27">
        <f>SUMIFS('MoodysData(Raw)'!AX$2:AX$180,'MoodysData(Raw)'!$B$2:$B$180,"=GDP",'MoodysData(Raw)'!$D$2:$D$180,"="&amp;'Implied Productivity Ratios'!$C27)/SUMIFS('MoodysData(Raw)'!AX$2:AX$180,'MoodysData(Raw)'!$B$2:$B$180,"=EMP",'MoodysData(Raw)'!$D$2:$D$180,"="&amp;'Implied Productivity Ratios'!$C27)</f>
        <v>105.62256861867873</v>
      </c>
      <c r="AV27">
        <f>SUMIFS('MoodysData(Raw)'!AY$2:AY$180,'MoodysData(Raw)'!$B$2:$B$180,"=GDP",'MoodysData(Raw)'!$D$2:$D$180,"="&amp;'Implied Productivity Ratios'!$C27)/SUMIFS('MoodysData(Raw)'!AY$2:AY$180,'MoodysData(Raw)'!$B$2:$B$180,"=EMP",'MoodysData(Raw)'!$D$2:$D$180,"="&amp;'Implied Productivity Ratios'!$C27)</f>
        <v>107.17778171961353</v>
      </c>
      <c r="AW27">
        <f>SUMIFS('MoodysData(Raw)'!AZ$2:AZ$180,'MoodysData(Raw)'!$B$2:$B$180,"=GDP",'MoodysData(Raw)'!$D$2:$D$180,"="&amp;'Implied Productivity Ratios'!$C27)/SUMIFS('MoodysData(Raw)'!AZ$2:AZ$180,'MoodysData(Raw)'!$B$2:$B$180,"=EMP",'MoodysData(Raw)'!$D$2:$D$180,"="&amp;'Implied Productivity Ratios'!$C27)</f>
        <v>108.80299681845712</v>
      </c>
      <c r="AX27">
        <f>SUMIFS('MoodysData(Raw)'!BA$2:BA$180,'MoodysData(Raw)'!$B$2:$B$180,"=GDP",'MoodysData(Raw)'!$D$2:$D$180,"="&amp;'Implied Productivity Ratios'!$C27)/SUMIFS('MoodysData(Raw)'!BA$2:BA$180,'MoodysData(Raw)'!$B$2:$B$180,"=EMP",'MoodysData(Raw)'!$D$2:$D$180,"="&amp;'Implied Productivity Ratios'!$C27)</f>
        <v>110.48858397816633</v>
      </c>
      <c r="AY27">
        <f>SUMIFS('MoodysData(Raw)'!BB$2:BB$180,'MoodysData(Raw)'!$B$2:$B$180,"=GDP",'MoodysData(Raw)'!$D$2:$D$180,"="&amp;'Implied Productivity Ratios'!$C27)/SUMIFS('MoodysData(Raw)'!BB$2:BB$180,'MoodysData(Raw)'!$B$2:$B$180,"=EMP",'MoodysData(Raw)'!$D$2:$D$180,"="&amp;'Implied Productivity Ratios'!$C27)</f>
        <v>112.16902988955555</v>
      </c>
      <c r="AZ27">
        <f>SUMIFS('MoodysData(Raw)'!BC$2:BC$180,'MoodysData(Raw)'!$B$2:$B$180,"=GDP",'MoodysData(Raw)'!$D$2:$D$180,"="&amp;'Implied Productivity Ratios'!$C27)/SUMIFS('MoodysData(Raw)'!BC$2:BC$180,'MoodysData(Raw)'!$B$2:$B$180,"=EMP",'MoodysData(Raw)'!$D$2:$D$180,"="&amp;'Implied Productivity Ratios'!$C27)</f>
        <v>113.93894149522937</v>
      </c>
      <c r="BA27">
        <f>SUMIFS('MoodysData(Raw)'!BD$2:BD$180,'MoodysData(Raw)'!$B$2:$B$180,"=GDP",'MoodysData(Raw)'!$D$2:$D$180,"="&amp;'Implied Productivity Ratios'!$C27)/SUMIFS('MoodysData(Raw)'!BD$2:BD$180,'MoodysData(Raw)'!$B$2:$B$180,"=EMP",'MoodysData(Raw)'!$D$2:$D$180,"="&amp;'Implied Productivity Ratios'!$C27)</f>
        <v>115.83904943368266</v>
      </c>
      <c r="BB27">
        <f>SUMIFS('MoodysData(Raw)'!BE$2:BE$180,'MoodysData(Raw)'!$B$2:$B$180,"=GDP",'MoodysData(Raw)'!$D$2:$D$180,"="&amp;'Implied Productivity Ratios'!$C27)/SUMIFS('MoodysData(Raw)'!BE$2:BE$180,'MoodysData(Raw)'!$B$2:$B$180,"=EMP",'MoodysData(Raw)'!$D$2:$D$180,"="&amp;'Implied Productivity Ratios'!$C27)</f>
        <v>117.90779249951359</v>
      </c>
      <c r="BC27">
        <f>SUMIFS('MoodysData(Raw)'!BF$2:BF$180,'MoodysData(Raw)'!$B$2:$B$180,"=GDP",'MoodysData(Raw)'!$D$2:$D$180,"="&amp;'Implied Productivity Ratios'!$C27)/SUMIFS('MoodysData(Raw)'!BF$2:BF$180,'MoodysData(Raw)'!$B$2:$B$180,"=EMP",'MoodysData(Raw)'!$D$2:$D$180,"="&amp;'Implied Productivity Ratios'!$C27)</f>
        <v>120.10954517578602</v>
      </c>
      <c r="BD27" s="5">
        <f t="shared" ref="BD27:BH27" si="21">BC27+($BC27-$AX27)/5</f>
        <v>122.03373741530996</v>
      </c>
      <c r="BE27" s="5">
        <f t="shared" si="21"/>
        <v>123.95792965483389</v>
      </c>
      <c r="BF27" s="5">
        <f t="shared" si="21"/>
        <v>125.88212189435782</v>
      </c>
      <c r="BG27" s="5">
        <f t="shared" si="21"/>
        <v>127.80631413388176</v>
      </c>
      <c r="BH27" s="5">
        <f t="shared" si="21"/>
        <v>129.73050637340569</v>
      </c>
    </row>
    <row r="28" spans="3:60">
      <c r="C28">
        <v>333</v>
      </c>
      <c r="D28" t="s">
        <v>95</v>
      </c>
      <c r="E28">
        <f>SUMIFS('MoodysData(Raw)'!H$2:H$180,'MoodysData(Raw)'!$B$2:$B$180,"=GDP",'MoodysData(Raw)'!$D$2:$D$180,"="&amp;'Implied Productivity Ratios'!$C28)/SUMIFS('MoodysData(Raw)'!H$2:H$180,'MoodysData(Raw)'!$B$2:$B$180,"=EMP",'MoodysData(Raw)'!$D$2:$D$180,"="&amp;'Implied Productivity Ratios'!$C28)</f>
        <v>124.45076462643053</v>
      </c>
      <c r="F28">
        <f>SUMIFS('MoodysData(Raw)'!I$2:I$180,'MoodysData(Raw)'!$B$2:$B$180,"=GDP",'MoodysData(Raw)'!$D$2:$D$180,"="&amp;'Implied Productivity Ratios'!$C28)/SUMIFS('MoodysData(Raw)'!I$2:I$180,'MoodysData(Raw)'!$B$2:$B$180,"=EMP",'MoodysData(Raw)'!$D$2:$D$180,"="&amp;'Implied Productivity Ratios'!$C28)</f>
        <v>130.40156215232506</v>
      </c>
      <c r="G28">
        <f>SUMIFS('MoodysData(Raw)'!J$2:J$180,'MoodysData(Raw)'!$B$2:$B$180,"=GDP",'MoodysData(Raw)'!$D$2:$D$180,"="&amp;'Implied Productivity Ratios'!$C28)/SUMIFS('MoodysData(Raw)'!J$2:J$180,'MoodysData(Raw)'!$B$2:$B$180,"=EMP",'MoodysData(Raw)'!$D$2:$D$180,"="&amp;'Implied Productivity Ratios'!$C28)</f>
        <v>135.97811102235076</v>
      </c>
      <c r="H28">
        <f>SUMIFS('MoodysData(Raw)'!K$2:K$180,'MoodysData(Raw)'!$B$2:$B$180,"=GDP",'MoodysData(Raw)'!$D$2:$D$180,"="&amp;'Implied Productivity Ratios'!$C28)/SUMIFS('MoodysData(Raw)'!K$2:K$180,'MoodysData(Raw)'!$B$2:$B$180,"=EMP",'MoodysData(Raw)'!$D$2:$D$180,"="&amp;'Implied Productivity Ratios'!$C28)</f>
        <v>139.28838065638564</v>
      </c>
      <c r="I28">
        <f>SUMIFS('MoodysData(Raw)'!L$2:L$180,'MoodysData(Raw)'!$B$2:$B$180,"=GDP",'MoodysData(Raw)'!$D$2:$D$180,"="&amp;'Implied Productivity Ratios'!$C28)/SUMIFS('MoodysData(Raw)'!L$2:L$180,'MoodysData(Raw)'!$B$2:$B$180,"=EMP",'MoodysData(Raw)'!$D$2:$D$180,"="&amp;'Implied Productivity Ratios'!$C28)</f>
        <v>128.37564702018858</v>
      </c>
      <c r="J28">
        <f>SUMIFS('MoodysData(Raw)'!M$2:M$180,'MoodysData(Raw)'!$B$2:$B$180,"=GDP",'MoodysData(Raw)'!$D$2:$D$180,"="&amp;'Implied Productivity Ratios'!$C28)/SUMIFS('MoodysData(Raw)'!M$2:M$180,'MoodysData(Raw)'!$B$2:$B$180,"=EMP",'MoodysData(Raw)'!$D$2:$D$180,"="&amp;'Implied Productivity Ratios'!$C28)</f>
        <v>149.36800561058294</v>
      </c>
      <c r="K28">
        <f>SUMIFS('MoodysData(Raw)'!N$2:N$180,'MoodysData(Raw)'!$B$2:$B$180,"=GDP",'MoodysData(Raw)'!$D$2:$D$180,"="&amp;'Implied Productivity Ratios'!$C28)/SUMIFS('MoodysData(Raw)'!N$2:N$180,'MoodysData(Raw)'!$B$2:$B$180,"=EMP",'MoodysData(Raw)'!$D$2:$D$180,"="&amp;'Implied Productivity Ratios'!$C28)</f>
        <v>161.38190009134871</v>
      </c>
      <c r="L28">
        <f>SUMIFS('MoodysData(Raw)'!O$2:O$180,'MoodysData(Raw)'!$B$2:$B$180,"=GDP",'MoodysData(Raw)'!$D$2:$D$180,"="&amp;'Implied Productivity Ratios'!$C28)/SUMIFS('MoodysData(Raw)'!O$2:O$180,'MoodysData(Raw)'!$B$2:$B$180,"=EMP",'MoodysData(Raw)'!$D$2:$D$180,"="&amp;'Implied Productivity Ratios'!$C28)</f>
        <v>157.1634628921986</v>
      </c>
      <c r="M28">
        <f>SUMIFS('MoodysData(Raw)'!P$2:P$180,'MoodysData(Raw)'!$B$2:$B$180,"=GDP",'MoodysData(Raw)'!$D$2:$D$180,"="&amp;'Implied Productivity Ratios'!$C28)/SUMIFS('MoodysData(Raw)'!P$2:P$180,'MoodysData(Raw)'!$B$2:$B$180,"=EMP",'MoodysData(Raw)'!$D$2:$D$180,"="&amp;'Implied Productivity Ratios'!$C28)</f>
        <v>154.78026402258922</v>
      </c>
      <c r="N28">
        <f>SUMIFS('MoodysData(Raw)'!Q$2:Q$180,'MoodysData(Raw)'!$B$2:$B$180,"=GDP",'MoodysData(Raw)'!$D$2:$D$180,"="&amp;'Implied Productivity Ratios'!$C28)/SUMIFS('MoodysData(Raw)'!Q$2:Q$180,'MoodysData(Raw)'!$B$2:$B$180,"=EMP",'MoodysData(Raw)'!$D$2:$D$180,"="&amp;'Implied Productivity Ratios'!$C28)</f>
        <v>149.65474712703937</v>
      </c>
      <c r="O28">
        <f>SUMIFS('MoodysData(Raw)'!R$2:R$180,'MoodysData(Raw)'!$B$2:$B$180,"=GDP",'MoodysData(Raw)'!$D$2:$D$180,"="&amp;'Implied Productivity Ratios'!$C28)/SUMIFS('MoodysData(Raw)'!R$2:R$180,'MoodysData(Raw)'!$B$2:$B$180,"=EMP",'MoodysData(Raw)'!$D$2:$D$180,"="&amp;'Implied Productivity Ratios'!$C28)</f>
        <v>133.54165198534574</v>
      </c>
      <c r="P28">
        <f>SUMIFS('MoodysData(Raw)'!S$2:S$180,'MoodysData(Raw)'!$B$2:$B$180,"=GDP",'MoodysData(Raw)'!$D$2:$D$180,"="&amp;'Implied Productivity Ratios'!$C28)/SUMIFS('MoodysData(Raw)'!S$2:S$180,'MoodysData(Raw)'!$B$2:$B$180,"=EMP",'MoodysData(Raw)'!$D$2:$D$180,"="&amp;'Implied Productivity Ratios'!$C28)</f>
        <v>126.80255153532616</v>
      </c>
      <c r="Q28">
        <f>SUMIFS('MoodysData(Raw)'!T$2:T$180,'MoodysData(Raw)'!$B$2:$B$180,"=GDP",'MoodysData(Raw)'!$D$2:$D$180,"="&amp;'Implied Productivity Ratios'!$C28)/SUMIFS('MoodysData(Raw)'!T$2:T$180,'MoodysData(Raw)'!$B$2:$B$180,"=EMP",'MoodysData(Raw)'!$D$2:$D$180,"="&amp;'Implied Productivity Ratios'!$C28)</f>
        <v>136.89631320595865</v>
      </c>
      <c r="R28">
        <f>SUMIFS('MoodysData(Raw)'!U$2:U$180,'MoodysData(Raw)'!$B$2:$B$180,"=GDP",'MoodysData(Raw)'!$D$2:$D$180,"="&amp;'Implied Productivity Ratios'!$C28)/SUMIFS('MoodysData(Raw)'!U$2:U$180,'MoodysData(Raw)'!$B$2:$B$180,"=EMP",'MoodysData(Raw)'!$D$2:$D$180,"="&amp;'Implied Productivity Ratios'!$C28)</f>
        <v>140.22830906914285</v>
      </c>
      <c r="S28">
        <f>SUMIFS('MoodysData(Raw)'!V$2:V$180,'MoodysData(Raw)'!$B$2:$B$180,"=GDP",'MoodysData(Raw)'!$D$2:$D$180,"="&amp;'Implied Productivity Ratios'!$C28)/SUMIFS('MoodysData(Raw)'!V$2:V$180,'MoodysData(Raw)'!$B$2:$B$180,"=EMP",'MoodysData(Raw)'!$D$2:$D$180,"="&amp;'Implied Productivity Ratios'!$C28)</f>
        <v>136.95179255134008</v>
      </c>
      <c r="T28">
        <f>SUMIFS('MoodysData(Raw)'!W$2:W$180,'MoodysData(Raw)'!$B$2:$B$180,"=GDP",'MoodysData(Raw)'!$D$2:$D$180,"="&amp;'Implied Productivity Ratios'!$C28)/SUMIFS('MoodysData(Raw)'!W$2:W$180,'MoodysData(Raw)'!$B$2:$B$180,"=EMP",'MoodysData(Raw)'!$D$2:$D$180,"="&amp;'Implied Productivity Ratios'!$C28)</f>
        <v>132.27891529758693</v>
      </c>
      <c r="U28">
        <f>SUMIFS('MoodysData(Raw)'!X$2:X$180,'MoodysData(Raw)'!$B$2:$B$180,"=GDP",'MoodysData(Raw)'!$D$2:$D$180,"="&amp;'Implied Productivity Ratios'!$C28)/SUMIFS('MoodysData(Raw)'!X$2:X$180,'MoodysData(Raw)'!$B$2:$B$180,"=EMP",'MoodysData(Raw)'!$D$2:$D$180,"="&amp;'Implied Productivity Ratios'!$C28)</f>
        <v>147.62503893339999</v>
      </c>
      <c r="V28">
        <f>SUMIFS('MoodysData(Raw)'!Y$2:Y$180,'MoodysData(Raw)'!$B$2:$B$180,"=GDP",'MoodysData(Raw)'!$D$2:$D$180,"="&amp;'Implied Productivity Ratios'!$C28)/SUMIFS('MoodysData(Raw)'!Y$2:Y$180,'MoodysData(Raw)'!$B$2:$B$180,"=EMP",'MoodysData(Raw)'!$D$2:$D$180,"="&amp;'Implied Productivity Ratios'!$C28)</f>
        <v>141.66450980001773</v>
      </c>
      <c r="W28">
        <f>SUMIFS('MoodysData(Raw)'!Z$2:Z$180,'MoodysData(Raw)'!$B$2:$B$180,"=GDP",'MoodysData(Raw)'!$D$2:$D$180,"="&amp;'Implied Productivity Ratios'!$C28)/SUMIFS('MoodysData(Raw)'!Z$2:Z$180,'MoodysData(Raw)'!$B$2:$B$180,"=EMP",'MoodysData(Raw)'!$D$2:$D$180,"="&amp;'Implied Productivity Ratios'!$C28)</f>
        <v>130.09049753581692</v>
      </c>
      <c r="X28">
        <f>SUMIFS('MoodysData(Raw)'!AA$2:AA$180,'MoodysData(Raw)'!$B$2:$B$180,"=GDP",'MoodysData(Raw)'!$D$2:$D$180,"="&amp;'Implied Productivity Ratios'!$C28)/SUMIFS('MoodysData(Raw)'!AA$2:AA$180,'MoodysData(Raw)'!$B$2:$B$180,"=EMP",'MoodysData(Raw)'!$D$2:$D$180,"="&amp;'Implied Productivity Ratios'!$C28)</f>
        <v>129.34064199514989</v>
      </c>
      <c r="Y28">
        <f>SUMIFS('MoodysData(Raw)'!AB$2:AB$180,'MoodysData(Raw)'!$B$2:$B$180,"=GDP",'MoodysData(Raw)'!$D$2:$D$180,"="&amp;'Implied Productivity Ratios'!$C28)/SUMIFS('MoodysData(Raw)'!AB$2:AB$180,'MoodysData(Raw)'!$B$2:$B$180,"=EMP",'MoodysData(Raw)'!$D$2:$D$180,"="&amp;'Implied Productivity Ratios'!$C28)</f>
        <v>128.90813448637877</v>
      </c>
      <c r="Z28">
        <f>SUMIFS('MoodysData(Raw)'!AC$2:AC$180,'MoodysData(Raw)'!$B$2:$B$180,"=GDP",'MoodysData(Raw)'!$D$2:$D$180,"="&amp;'Implied Productivity Ratios'!$C28)/SUMIFS('MoodysData(Raw)'!AC$2:AC$180,'MoodysData(Raw)'!$B$2:$B$180,"=EMP",'MoodysData(Raw)'!$D$2:$D$180,"="&amp;'Implied Productivity Ratios'!$C28)</f>
        <v>125.97671938202771</v>
      </c>
      <c r="AA28">
        <f>SUMIFS('MoodysData(Raw)'!AD$2:AD$180,'MoodysData(Raw)'!$B$2:$B$180,"=GDP",'MoodysData(Raw)'!$D$2:$D$180,"="&amp;'Implied Productivity Ratios'!$C28)/SUMIFS('MoodysData(Raw)'!AD$2:AD$180,'MoodysData(Raw)'!$B$2:$B$180,"=EMP",'MoodysData(Raw)'!$D$2:$D$180,"="&amp;'Implied Productivity Ratios'!$C28)</f>
        <v>125.79789598287594</v>
      </c>
      <c r="AB28">
        <f>SUMIFS('MoodysData(Raw)'!AE$2:AE$180,'MoodysData(Raw)'!$B$2:$B$180,"=GDP",'MoodysData(Raw)'!$D$2:$D$180,"="&amp;'Implied Productivity Ratios'!$C28)/SUMIFS('MoodysData(Raw)'!AE$2:AE$180,'MoodysData(Raw)'!$B$2:$B$180,"=EMP",'MoodysData(Raw)'!$D$2:$D$180,"="&amp;'Implied Productivity Ratios'!$C28)</f>
        <v>127.4639950674884</v>
      </c>
      <c r="AC28">
        <f>SUMIFS('MoodysData(Raw)'!AF$2:AF$180,'MoodysData(Raw)'!$B$2:$B$180,"=GDP",'MoodysData(Raw)'!$D$2:$D$180,"="&amp;'Implied Productivity Ratios'!$C28)/SUMIFS('MoodysData(Raw)'!AF$2:AF$180,'MoodysData(Raw)'!$B$2:$B$180,"=EMP",'MoodysData(Raw)'!$D$2:$D$180,"="&amp;'Implied Productivity Ratios'!$C28)</f>
        <v>129.63556360628147</v>
      </c>
      <c r="AD28">
        <f>SUMIFS('MoodysData(Raw)'!AG$2:AG$180,'MoodysData(Raw)'!$B$2:$B$180,"=GDP",'MoodysData(Raw)'!$D$2:$D$180,"="&amp;'Implied Productivity Ratios'!$C28)/SUMIFS('MoodysData(Raw)'!AG$2:AG$180,'MoodysData(Raw)'!$B$2:$B$180,"=EMP",'MoodysData(Raw)'!$D$2:$D$180,"="&amp;'Implied Productivity Ratios'!$C28)</f>
        <v>132.07639118375886</v>
      </c>
      <c r="AE28">
        <f>SUMIFS('MoodysData(Raw)'!AH$2:AH$180,'MoodysData(Raw)'!$B$2:$B$180,"=GDP",'MoodysData(Raw)'!$D$2:$D$180,"="&amp;'Implied Productivity Ratios'!$C28)/SUMIFS('MoodysData(Raw)'!AH$2:AH$180,'MoodysData(Raw)'!$B$2:$B$180,"=EMP",'MoodysData(Raw)'!$D$2:$D$180,"="&amp;'Implied Productivity Ratios'!$C28)</f>
        <v>134.45869658971918</v>
      </c>
      <c r="AF28">
        <f>SUMIFS('MoodysData(Raw)'!AI$2:AI$180,'MoodysData(Raw)'!$B$2:$B$180,"=GDP",'MoodysData(Raw)'!$D$2:$D$180,"="&amp;'Implied Productivity Ratios'!$C28)/SUMIFS('MoodysData(Raw)'!AI$2:AI$180,'MoodysData(Raw)'!$B$2:$B$180,"=EMP",'MoodysData(Raw)'!$D$2:$D$180,"="&amp;'Implied Productivity Ratios'!$C28)</f>
        <v>136.80932704782305</v>
      </c>
      <c r="AG28">
        <f>SUMIFS('MoodysData(Raw)'!AJ$2:AJ$180,'MoodysData(Raw)'!$B$2:$B$180,"=GDP",'MoodysData(Raw)'!$D$2:$D$180,"="&amp;'Implied Productivity Ratios'!$C28)/SUMIFS('MoodysData(Raw)'!AJ$2:AJ$180,'MoodysData(Raw)'!$B$2:$B$180,"=EMP",'MoodysData(Raw)'!$D$2:$D$180,"="&amp;'Implied Productivity Ratios'!$C28)</f>
        <v>139.12027737336598</v>
      </c>
      <c r="AH28">
        <f>SUMIFS('MoodysData(Raw)'!AK$2:AK$180,'MoodysData(Raw)'!$B$2:$B$180,"=GDP",'MoodysData(Raw)'!$D$2:$D$180,"="&amp;'Implied Productivity Ratios'!$C28)/SUMIFS('MoodysData(Raw)'!AK$2:AK$180,'MoodysData(Raw)'!$B$2:$B$180,"=EMP",'MoodysData(Raw)'!$D$2:$D$180,"="&amp;'Implied Productivity Ratios'!$C28)</f>
        <v>141.04407610288729</v>
      </c>
      <c r="AI28">
        <f>SUMIFS('MoodysData(Raw)'!AL$2:AL$180,'MoodysData(Raw)'!$B$2:$B$180,"=GDP",'MoodysData(Raw)'!$D$2:$D$180,"="&amp;'Implied Productivity Ratios'!$C28)/SUMIFS('MoodysData(Raw)'!AL$2:AL$180,'MoodysData(Raw)'!$B$2:$B$180,"=EMP",'MoodysData(Raw)'!$D$2:$D$180,"="&amp;'Implied Productivity Ratios'!$C28)</f>
        <v>142.54756071256728</v>
      </c>
      <c r="AJ28">
        <f>SUMIFS('MoodysData(Raw)'!AM$2:AM$180,'MoodysData(Raw)'!$B$2:$B$180,"=GDP",'MoodysData(Raw)'!$D$2:$D$180,"="&amp;'Implied Productivity Ratios'!$C28)/SUMIFS('MoodysData(Raw)'!AM$2:AM$180,'MoodysData(Raw)'!$B$2:$B$180,"=EMP",'MoodysData(Raw)'!$D$2:$D$180,"="&amp;'Implied Productivity Ratios'!$C28)</f>
        <v>144.14205898278433</v>
      </c>
      <c r="AK28">
        <f>SUMIFS('MoodysData(Raw)'!AN$2:AN$180,'MoodysData(Raw)'!$B$2:$B$180,"=GDP",'MoodysData(Raw)'!$D$2:$D$180,"="&amp;'Implied Productivity Ratios'!$C28)/SUMIFS('MoodysData(Raw)'!AN$2:AN$180,'MoodysData(Raw)'!$B$2:$B$180,"=EMP",'MoodysData(Raw)'!$D$2:$D$180,"="&amp;'Implied Productivity Ratios'!$C28)</f>
        <v>145.68909291085856</v>
      </c>
      <c r="AL28">
        <f>SUMIFS('MoodysData(Raw)'!AO$2:AO$180,'MoodysData(Raw)'!$B$2:$B$180,"=GDP",'MoodysData(Raw)'!$D$2:$D$180,"="&amp;'Implied Productivity Ratios'!$C28)/SUMIFS('MoodysData(Raw)'!AO$2:AO$180,'MoodysData(Raw)'!$B$2:$B$180,"=EMP",'MoodysData(Raw)'!$D$2:$D$180,"="&amp;'Implied Productivity Ratios'!$C28)</f>
        <v>147.16387913691767</v>
      </c>
      <c r="AM28">
        <f>SUMIFS('MoodysData(Raw)'!AP$2:AP$180,'MoodysData(Raw)'!$B$2:$B$180,"=GDP",'MoodysData(Raw)'!$D$2:$D$180,"="&amp;'Implied Productivity Ratios'!$C28)/SUMIFS('MoodysData(Raw)'!AP$2:AP$180,'MoodysData(Raw)'!$B$2:$B$180,"=EMP",'MoodysData(Raw)'!$D$2:$D$180,"="&amp;'Implied Productivity Ratios'!$C28)</f>
        <v>148.74037170351036</v>
      </c>
      <c r="AN28">
        <f>SUMIFS('MoodysData(Raw)'!AQ$2:AQ$180,'MoodysData(Raw)'!$B$2:$B$180,"=GDP",'MoodysData(Raw)'!$D$2:$D$180,"="&amp;'Implied Productivity Ratios'!$C28)/SUMIFS('MoodysData(Raw)'!AQ$2:AQ$180,'MoodysData(Raw)'!$B$2:$B$180,"=EMP",'MoodysData(Raw)'!$D$2:$D$180,"="&amp;'Implied Productivity Ratios'!$C28)</f>
        <v>150.40131886731453</v>
      </c>
      <c r="AO28">
        <f>SUMIFS('MoodysData(Raw)'!AR$2:AR$180,'MoodysData(Raw)'!$B$2:$B$180,"=GDP",'MoodysData(Raw)'!$D$2:$D$180,"="&amp;'Implied Productivity Ratios'!$C28)/SUMIFS('MoodysData(Raw)'!AR$2:AR$180,'MoodysData(Raw)'!$B$2:$B$180,"=EMP",'MoodysData(Raw)'!$D$2:$D$180,"="&amp;'Implied Productivity Ratios'!$C28)</f>
        <v>152.00017318071741</v>
      </c>
      <c r="AP28">
        <f>SUMIFS('MoodysData(Raw)'!AS$2:AS$180,'MoodysData(Raw)'!$B$2:$B$180,"=GDP",'MoodysData(Raw)'!$D$2:$D$180,"="&amp;'Implied Productivity Ratios'!$C28)/SUMIFS('MoodysData(Raw)'!AS$2:AS$180,'MoodysData(Raw)'!$B$2:$B$180,"=EMP",'MoodysData(Raw)'!$D$2:$D$180,"="&amp;'Implied Productivity Ratios'!$C28)</f>
        <v>153.57657052183191</v>
      </c>
      <c r="AQ28">
        <f>SUMIFS('MoodysData(Raw)'!AT$2:AT$180,'MoodysData(Raw)'!$B$2:$B$180,"=GDP",'MoodysData(Raw)'!$D$2:$D$180,"="&amp;'Implied Productivity Ratios'!$C28)/SUMIFS('MoodysData(Raw)'!AT$2:AT$180,'MoodysData(Raw)'!$B$2:$B$180,"=EMP",'MoodysData(Raw)'!$D$2:$D$180,"="&amp;'Implied Productivity Ratios'!$C28)</f>
        <v>155.19135767170434</v>
      </c>
      <c r="AR28">
        <f>SUMIFS('MoodysData(Raw)'!AU$2:AU$180,'MoodysData(Raw)'!$B$2:$B$180,"=GDP",'MoodysData(Raw)'!$D$2:$D$180,"="&amp;'Implied Productivity Ratios'!$C28)/SUMIFS('MoodysData(Raw)'!AU$2:AU$180,'MoodysData(Raw)'!$B$2:$B$180,"=EMP",'MoodysData(Raw)'!$D$2:$D$180,"="&amp;'Implied Productivity Ratios'!$C28)</f>
        <v>156.86914705483574</v>
      </c>
      <c r="AS28">
        <f>SUMIFS('MoodysData(Raw)'!AV$2:AV$180,'MoodysData(Raw)'!$B$2:$B$180,"=GDP",'MoodysData(Raw)'!$D$2:$D$180,"="&amp;'Implied Productivity Ratios'!$C28)/SUMIFS('MoodysData(Raw)'!AV$2:AV$180,'MoodysData(Raw)'!$B$2:$B$180,"=EMP",'MoodysData(Raw)'!$D$2:$D$180,"="&amp;'Implied Productivity Ratios'!$C28)</f>
        <v>158.70242217250407</v>
      </c>
      <c r="AT28">
        <f>SUMIFS('MoodysData(Raw)'!AW$2:AW$180,'MoodysData(Raw)'!$B$2:$B$180,"=GDP",'MoodysData(Raw)'!$D$2:$D$180,"="&amp;'Implied Productivity Ratios'!$C28)/SUMIFS('MoodysData(Raw)'!AW$2:AW$180,'MoodysData(Raw)'!$B$2:$B$180,"=EMP",'MoodysData(Raw)'!$D$2:$D$180,"="&amp;'Implied Productivity Ratios'!$C28)</f>
        <v>160.69010091947979</v>
      </c>
      <c r="AU28">
        <f>SUMIFS('MoodysData(Raw)'!AX$2:AX$180,'MoodysData(Raw)'!$B$2:$B$180,"=GDP",'MoodysData(Raw)'!$D$2:$D$180,"="&amp;'Implied Productivity Ratios'!$C28)/SUMIFS('MoodysData(Raw)'!AX$2:AX$180,'MoodysData(Raw)'!$B$2:$B$180,"=EMP",'MoodysData(Raw)'!$D$2:$D$180,"="&amp;'Implied Productivity Ratios'!$C28)</f>
        <v>162.89217858208212</v>
      </c>
      <c r="AV28">
        <f>SUMIFS('MoodysData(Raw)'!AY$2:AY$180,'MoodysData(Raw)'!$B$2:$B$180,"=GDP",'MoodysData(Raw)'!$D$2:$D$180,"="&amp;'Implied Productivity Ratios'!$C28)/SUMIFS('MoodysData(Raw)'!AY$2:AY$180,'MoodysData(Raw)'!$B$2:$B$180,"=EMP",'MoodysData(Raw)'!$D$2:$D$180,"="&amp;'Implied Productivity Ratios'!$C28)</f>
        <v>165.35176814889846</v>
      </c>
      <c r="AW28">
        <f>SUMIFS('MoodysData(Raw)'!AZ$2:AZ$180,'MoodysData(Raw)'!$B$2:$B$180,"=GDP",'MoodysData(Raw)'!$D$2:$D$180,"="&amp;'Implied Productivity Ratios'!$C28)/SUMIFS('MoodysData(Raw)'!AZ$2:AZ$180,'MoodysData(Raw)'!$B$2:$B$180,"=EMP",'MoodysData(Raw)'!$D$2:$D$180,"="&amp;'Implied Productivity Ratios'!$C28)</f>
        <v>167.93721958184005</v>
      </c>
      <c r="AX28">
        <f>SUMIFS('MoodysData(Raw)'!BA$2:BA$180,'MoodysData(Raw)'!$B$2:$B$180,"=GDP",'MoodysData(Raw)'!$D$2:$D$180,"="&amp;'Implied Productivity Ratios'!$C28)/SUMIFS('MoodysData(Raw)'!BA$2:BA$180,'MoodysData(Raw)'!$B$2:$B$180,"=EMP",'MoodysData(Raw)'!$D$2:$D$180,"="&amp;'Implied Productivity Ratios'!$C28)</f>
        <v>170.51041122804742</v>
      </c>
      <c r="AY28">
        <f>SUMIFS('MoodysData(Raw)'!BB$2:BB$180,'MoodysData(Raw)'!$B$2:$B$180,"=GDP",'MoodysData(Raw)'!$D$2:$D$180,"="&amp;'Implied Productivity Ratios'!$C28)/SUMIFS('MoodysData(Raw)'!BB$2:BB$180,'MoodysData(Raw)'!$B$2:$B$180,"=EMP",'MoodysData(Raw)'!$D$2:$D$180,"="&amp;'Implied Productivity Ratios'!$C28)</f>
        <v>173.08451310376338</v>
      </c>
      <c r="AZ28">
        <f>SUMIFS('MoodysData(Raw)'!BC$2:BC$180,'MoodysData(Raw)'!$B$2:$B$180,"=GDP",'MoodysData(Raw)'!$D$2:$D$180,"="&amp;'Implied Productivity Ratios'!$C28)/SUMIFS('MoodysData(Raw)'!BC$2:BC$180,'MoodysData(Raw)'!$B$2:$B$180,"=EMP",'MoodysData(Raw)'!$D$2:$D$180,"="&amp;'Implied Productivity Ratios'!$C28)</f>
        <v>175.81248640663151</v>
      </c>
      <c r="BA28">
        <f>SUMIFS('MoodysData(Raw)'!BD$2:BD$180,'MoodysData(Raw)'!$B$2:$B$180,"=GDP",'MoodysData(Raw)'!$D$2:$D$180,"="&amp;'Implied Productivity Ratios'!$C28)/SUMIFS('MoodysData(Raw)'!BD$2:BD$180,'MoodysData(Raw)'!$B$2:$B$180,"=EMP",'MoodysData(Raw)'!$D$2:$D$180,"="&amp;'Implied Productivity Ratios'!$C28)</f>
        <v>178.73092020854386</v>
      </c>
      <c r="BB28">
        <f>SUMIFS('MoodysData(Raw)'!BE$2:BE$180,'MoodysData(Raw)'!$B$2:$B$180,"=GDP",'MoodysData(Raw)'!$D$2:$D$180,"="&amp;'Implied Productivity Ratios'!$C28)/SUMIFS('MoodysData(Raw)'!BE$2:BE$180,'MoodysData(Raw)'!$B$2:$B$180,"=EMP",'MoodysData(Raw)'!$D$2:$D$180,"="&amp;'Implied Productivity Ratios'!$C28)</f>
        <v>181.89330251737553</v>
      </c>
      <c r="BC28">
        <f>SUMIFS('MoodysData(Raw)'!BF$2:BF$180,'MoodysData(Raw)'!$B$2:$B$180,"=GDP",'MoodysData(Raw)'!$D$2:$D$180,"="&amp;'Implied Productivity Ratios'!$C28)/SUMIFS('MoodysData(Raw)'!BF$2:BF$180,'MoodysData(Raw)'!$B$2:$B$180,"=EMP",'MoodysData(Raw)'!$D$2:$D$180,"="&amp;'Implied Productivity Ratios'!$C28)</f>
        <v>185.27246795526037</v>
      </c>
      <c r="BD28" s="5">
        <f t="shared" ref="BD28:BH28" si="22">BC28+($BC28-$AX28)/5</f>
        <v>188.22487930070295</v>
      </c>
      <c r="BE28" s="5">
        <f t="shared" si="22"/>
        <v>191.17729064614554</v>
      </c>
      <c r="BF28" s="5">
        <f t="shared" si="22"/>
        <v>194.12970199158812</v>
      </c>
      <c r="BG28" s="5">
        <f t="shared" si="22"/>
        <v>197.08211333703071</v>
      </c>
      <c r="BH28" s="5">
        <f t="shared" si="22"/>
        <v>200.03452468247329</v>
      </c>
    </row>
    <row r="29" spans="3:60">
      <c r="C29">
        <v>334</v>
      </c>
      <c r="D29" t="s">
        <v>99</v>
      </c>
      <c r="E29">
        <f>SUMIFS('MoodysData(Raw)'!H$2:H$180,'MoodysData(Raw)'!$B$2:$B$180,"=GDP",'MoodysData(Raw)'!$D$2:$D$180,"="&amp;'Implied Productivity Ratios'!$C29)/SUMIFS('MoodysData(Raw)'!H$2:H$180,'MoodysData(Raw)'!$B$2:$B$180,"=EMP",'MoodysData(Raw)'!$D$2:$D$180,"="&amp;'Implied Productivity Ratios'!$C29)</f>
        <v>82.859322990496182</v>
      </c>
      <c r="F29">
        <f>SUMIFS('MoodysData(Raw)'!I$2:I$180,'MoodysData(Raw)'!$B$2:$B$180,"=GDP",'MoodysData(Raw)'!$D$2:$D$180,"="&amp;'Implied Productivity Ratios'!$C29)/SUMIFS('MoodysData(Raw)'!I$2:I$180,'MoodysData(Raw)'!$B$2:$B$180,"=EMP",'MoodysData(Raw)'!$D$2:$D$180,"="&amp;'Implied Productivity Ratios'!$C29)</f>
        <v>99.526621820855397</v>
      </c>
      <c r="G29">
        <f>SUMIFS('MoodysData(Raw)'!J$2:J$180,'MoodysData(Raw)'!$B$2:$B$180,"=GDP",'MoodysData(Raw)'!$D$2:$D$180,"="&amp;'Implied Productivity Ratios'!$C29)/SUMIFS('MoodysData(Raw)'!J$2:J$180,'MoodysData(Raw)'!$B$2:$B$180,"=EMP",'MoodysData(Raw)'!$D$2:$D$180,"="&amp;'Implied Productivity Ratios'!$C29)</f>
        <v>116.44827400017373</v>
      </c>
      <c r="H29">
        <f>SUMIFS('MoodysData(Raw)'!K$2:K$180,'MoodysData(Raw)'!$B$2:$B$180,"=GDP",'MoodysData(Raw)'!$D$2:$D$180,"="&amp;'Implied Productivity Ratios'!$C29)/SUMIFS('MoodysData(Raw)'!K$2:K$180,'MoodysData(Raw)'!$B$2:$B$180,"=EMP",'MoodysData(Raw)'!$D$2:$D$180,"="&amp;'Implied Productivity Ratios'!$C29)</f>
        <v>137.12620977128034</v>
      </c>
      <c r="I29">
        <f>SUMIFS('MoodysData(Raw)'!L$2:L$180,'MoodysData(Raw)'!$B$2:$B$180,"=GDP",'MoodysData(Raw)'!$D$2:$D$180,"="&amp;'Implied Productivity Ratios'!$C29)/SUMIFS('MoodysData(Raw)'!L$2:L$180,'MoodysData(Raw)'!$B$2:$B$180,"=EMP",'MoodysData(Raw)'!$D$2:$D$180,"="&amp;'Implied Productivity Ratios'!$C29)</f>
        <v>152.42531897783272</v>
      </c>
      <c r="J29">
        <f>SUMIFS('MoodysData(Raw)'!M$2:M$180,'MoodysData(Raw)'!$B$2:$B$180,"=GDP",'MoodysData(Raw)'!$D$2:$D$180,"="&amp;'Implied Productivity Ratios'!$C29)/SUMIFS('MoodysData(Raw)'!M$2:M$180,'MoodysData(Raw)'!$B$2:$B$180,"=EMP",'MoodysData(Raw)'!$D$2:$D$180,"="&amp;'Implied Productivity Ratios'!$C29)</f>
        <v>175.01583099831771</v>
      </c>
      <c r="K29">
        <f>SUMIFS('MoodysData(Raw)'!N$2:N$180,'MoodysData(Raw)'!$B$2:$B$180,"=GDP",'MoodysData(Raw)'!$D$2:$D$180,"="&amp;'Implied Productivity Ratios'!$C29)/SUMIFS('MoodysData(Raw)'!N$2:N$180,'MoodysData(Raw)'!$B$2:$B$180,"=EMP",'MoodysData(Raw)'!$D$2:$D$180,"="&amp;'Implied Productivity Ratios'!$C29)</f>
        <v>179.03942005158368</v>
      </c>
      <c r="L29">
        <f>SUMIFS('MoodysData(Raw)'!O$2:O$180,'MoodysData(Raw)'!$B$2:$B$180,"=GDP",'MoodysData(Raw)'!$D$2:$D$180,"="&amp;'Implied Productivity Ratios'!$C29)/SUMIFS('MoodysData(Raw)'!O$2:O$180,'MoodysData(Raw)'!$B$2:$B$180,"=EMP",'MoodysData(Raw)'!$D$2:$D$180,"="&amp;'Implied Productivity Ratios'!$C29)</f>
        <v>186.35311229993135</v>
      </c>
      <c r="M29">
        <f>SUMIFS('MoodysData(Raw)'!P$2:P$180,'MoodysData(Raw)'!$B$2:$B$180,"=GDP",'MoodysData(Raw)'!$D$2:$D$180,"="&amp;'Implied Productivity Ratios'!$C29)/SUMIFS('MoodysData(Raw)'!P$2:P$180,'MoodysData(Raw)'!$B$2:$B$180,"=EMP",'MoodysData(Raw)'!$D$2:$D$180,"="&amp;'Implied Productivity Ratios'!$C29)</f>
        <v>194.73935639715009</v>
      </c>
      <c r="N29">
        <f>SUMIFS('MoodysData(Raw)'!Q$2:Q$180,'MoodysData(Raw)'!$B$2:$B$180,"=GDP",'MoodysData(Raw)'!$D$2:$D$180,"="&amp;'Implied Productivity Ratios'!$C29)/SUMIFS('MoodysData(Raw)'!Q$2:Q$180,'MoodysData(Raw)'!$B$2:$B$180,"=EMP",'MoodysData(Raw)'!$D$2:$D$180,"="&amp;'Implied Productivity Ratios'!$C29)</f>
        <v>205.84784152357034</v>
      </c>
      <c r="O29">
        <f>SUMIFS('MoodysData(Raw)'!R$2:R$180,'MoodysData(Raw)'!$B$2:$B$180,"=GDP",'MoodysData(Raw)'!$D$2:$D$180,"="&amp;'Implied Productivity Ratios'!$C29)/SUMIFS('MoodysData(Raw)'!R$2:R$180,'MoodysData(Raw)'!$B$2:$B$180,"=EMP",'MoodysData(Raw)'!$D$2:$D$180,"="&amp;'Implied Productivity Ratios'!$C29)</f>
        <v>219.09087821455057</v>
      </c>
      <c r="P29">
        <f>SUMIFS('MoodysData(Raw)'!S$2:S$180,'MoodysData(Raw)'!$B$2:$B$180,"=GDP",'MoodysData(Raw)'!$D$2:$D$180,"="&amp;'Implied Productivity Ratios'!$C29)/SUMIFS('MoodysData(Raw)'!S$2:S$180,'MoodysData(Raw)'!$B$2:$B$180,"=EMP",'MoodysData(Raw)'!$D$2:$D$180,"="&amp;'Implied Productivity Ratios'!$C29)</f>
        <v>226.56218798555392</v>
      </c>
      <c r="Q29">
        <f>SUMIFS('MoodysData(Raw)'!T$2:T$180,'MoodysData(Raw)'!$B$2:$B$180,"=GDP",'MoodysData(Raw)'!$D$2:$D$180,"="&amp;'Implied Productivity Ratios'!$C29)/SUMIFS('MoodysData(Raw)'!T$2:T$180,'MoodysData(Raw)'!$B$2:$B$180,"=EMP",'MoodysData(Raw)'!$D$2:$D$180,"="&amp;'Implied Productivity Ratios'!$C29)</f>
        <v>237.90821479673428</v>
      </c>
      <c r="R29">
        <f>SUMIFS('MoodysData(Raw)'!U$2:U$180,'MoodysData(Raw)'!$B$2:$B$180,"=GDP",'MoodysData(Raw)'!$D$2:$D$180,"="&amp;'Implied Productivity Ratios'!$C29)/SUMIFS('MoodysData(Raw)'!U$2:U$180,'MoodysData(Raw)'!$B$2:$B$180,"=EMP",'MoodysData(Raw)'!$D$2:$D$180,"="&amp;'Implied Productivity Ratios'!$C29)</f>
        <v>249.72810181076642</v>
      </c>
      <c r="S29">
        <f>SUMIFS('MoodysData(Raw)'!V$2:V$180,'MoodysData(Raw)'!$B$2:$B$180,"=GDP",'MoodysData(Raw)'!$D$2:$D$180,"="&amp;'Implied Productivity Ratios'!$C29)/SUMIFS('MoodysData(Raw)'!V$2:V$180,'MoodysData(Raw)'!$B$2:$B$180,"=EMP",'MoodysData(Raw)'!$D$2:$D$180,"="&amp;'Implied Productivity Ratios'!$C29)</f>
        <v>253.93019594284365</v>
      </c>
      <c r="T29">
        <f>SUMIFS('MoodysData(Raw)'!W$2:W$180,'MoodysData(Raw)'!$B$2:$B$180,"=GDP",'MoodysData(Raw)'!$D$2:$D$180,"="&amp;'Implied Productivity Ratios'!$C29)/SUMIFS('MoodysData(Raw)'!W$2:W$180,'MoodysData(Raw)'!$B$2:$B$180,"=EMP",'MoodysData(Raw)'!$D$2:$D$180,"="&amp;'Implied Productivity Ratios'!$C29)</f>
        <v>265.3490286576083</v>
      </c>
      <c r="U29">
        <f>SUMIFS('MoodysData(Raw)'!X$2:X$180,'MoodysData(Raw)'!$B$2:$B$180,"=GDP",'MoodysData(Raw)'!$D$2:$D$180,"="&amp;'Implied Productivity Ratios'!$C29)/SUMIFS('MoodysData(Raw)'!X$2:X$180,'MoodysData(Raw)'!$B$2:$B$180,"=EMP",'MoodysData(Raw)'!$D$2:$D$180,"="&amp;'Implied Productivity Ratios'!$C29)</f>
        <v>289.57440420878066</v>
      </c>
      <c r="V29">
        <f>SUMIFS('MoodysData(Raw)'!Y$2:Y$180,'MoodysData(Raw)'!$B$2:$B$180,"=GDP",'MoodysData(Raw)'!$D$2:$D$180,"="&amp;'Implied Productivity Ratios'!$C29)/SUMIFS('MoodysData(Raw)'!Y$2:Y$180,'MoodysData(Raw)'!$B$2:$B$180,"=EMP",'MoodysData(Raw)'!$D$2:$D$180,"="&amp;'Implied Productivity Ratios'!$C29)</f>
        <v>277.66522664259463</v>
      </c>
      <c r="W29">
        <f>SUMIFS('MoodysData(Raw)'!Z$2:Z$180,'MoodysData(Raw)'!$B$2:$B$180,"=GDP",'MoodysData(Raw)'!$D$2:$D$180,"="&amp;'Implied Productivity Ratios'!$C29)/SUMIFS('MoodysData(Raw)'!Z$2:Z$180,'MoodysData(Raw)'!$B$2:$B$180,"=EMP",'MoodysData(Raw)'!$D$2:$D$180,"="&amp;'Implied Productivity Ratios'!$C29)</f>
        <v>273.873049017357</v>
      </c>
      <c r="X29">
        <f>SUMIFS('MoodysData(Raw)'!AA$2:AA$180,'MoodysData(Raw)'!$B$2:$B$180,"=GDP",'MoodysData(Raw)'!$D$2:$D$180,"="&amp;'Implied Productivity Ratios'!$C29)/SUMIFS('MoodysData(Raw)'!AA$2:AA$180,'MoodysData(Raw)'!$B$2:$B$180,"=EMP",'MoodysData(Raw)'!$D$2:$D$180,"="&amp;'Implied Productivity Ratios'!$C29)</f>
        <v>270.77645025423999</v>
      </c>
      <c r="Y29">
        <f>SUMIFS('MoodysData(Raw)'!AB$2:AB$180,'MoodysData(Raw)'!$B$2:$B$180,"=GDP",'MoodysData(Raw)'!$D$2:$D$180,"="&amp;'Implied Productivity Ratios'!$C29)/SUMIFS('MoodysData(Raw)'!AB$2:AB$180,'MoodysData(Raw)'!$B$2:$B$180,"=EMP",'MoodysData(Raw)'!$D$2:$D$180,"="&amp;'Implied Productivity Ratios'!$C29)</f>
        <v>285.54459586591491</v>
      </c>
      <c r="Z29">
        <f>SUMIFS('MoodysData(Raw)'!AC$2:AC$180,'MoodysData(Raw)'!$B$2:$B$180,"=GDP",'MoodysData(Raw)'!$D$2:$D$180,"="&amp;'Implied Productivity Ratios'!$C29)/SUMIFS('MoodysData(Raw)'!AC$2:AC$180,'MoodysData(Raw)'!$B$2:$B$180,"=EMP",'MoodysData(Raw)'!$D$2:$D$180,"="&amp;'Implied Productivity Ratios'!$C29)</f>
        <v>296.94053734766186</v>
      </c>
      <c r="AA29">
        <f>SUMIFS('MoodysData(Raw)'!AD$2:AD$180,'MoodysData(Raw)'!$B$2:$B$180,"=GDP",'MoodysData(Raw)'!$D$2:$D$180,"="&amp;'Implied Productivity Ratios'!$C29)/SUMIFS('MoodysData(Raw)'!AD$2:AD$180,'MoodysData(Raw)'!$B$2:$B$180,"=EMP",'MoodysData(Raw)'!$D$2:$D$180,"="&amp;'Implied Productivity Ratios'!$C29)</f>
        <v>310.80163564997127</v>
      </c>
      <c r="AB29">
        <f>SUMIFS('MoodysData(Raw)'!AE$2:AE$180,'MoodysData(Raw)'!$B$2:$B$180,"=GDP",'MoodysData(Raw)'!$D$2:$D$180,"="&amp;'Implied Productivity Ratios'!$C29)/SUMIFS('MoodysData(Raw)'!AE$2:AE$180,'MoodysData(Raw)'!$B$2:$B$180,"=EMP",'MoodysData(Raw)'!$D$2:$D$180,"="&amp;'Implied Productivity Ratios'!$C29)</f>
        <v>329.66355712261486</v>
      </c>
      <c r="AC29">
        <f>SUMIFS('MoodysData(Raw)'!AF$2:AF$180,'MoodysData(Raw)'!$B$2:$B$180,"=GDP",'MoodysData(Raw)'!$D$2:$D$180,"="&amp;'Implied Productivity Ratios'!$C29)/SUMIFS('MoodysData(Raw)'!AF$2:AF$180,'MoodysData(Raw)'!$B$2:$B$180,"=EMP",'MoodysData(Raw)'!$D$2:$D$180,"="&amp;'Implied Productivity Ratios'!$C29)</f>
        <v>351.93539361143763</v>
      </c>
      <c r="AD29">
        <f>SUMIFS('MoodysData(Raw)'!AG$2:AG$180,'MoodysData(Raw)'!$B$2:$B$180,"=GDP",'MoodysData(Raw)'!$D$2:$D$180,"="&amp;'Implied Productivity Ratios'!$C29)/SUMIFS('MoodysData(Raw)'!AG$2:AG$180,'MoodysData(Raw)'!$B$2:$B$180,"=EMP",'MoodysData(Raw)'!$D$2:$D$180,"="&amp;'Implied Productivity Ratios'!$C29)</f>
        <v>376.19077153527348</v>
      </c>
      <c r="AE29">
        <f>SUMIFS('MoodysData(Raw)'!AH$2:AH$180,'MoodysData(Raw)'!$B$2:$B$180,"=GDP",'MoodysData(Raw)'!$D$2:$D$180,"="&amp;'Implied Productivity Ratios'!$C29)/SUMIFS('MoodysData(Raw)'!AH$2:AH$180,'MoodysData(Raw)'!$B$2:$B$180,"=EMP",'MoodysData(Raw)'!$D$2:$D$180,"="&amp;'Implied Productivity Ratios'!$C29)</f>
        <v>400.93880773267199</v>
      </c>
      <c r="AF29">
        <f>SUMIFS('MoodysData(Raw)'!AI$2:AI$180,'MoodysData(Raw)'!$B$2:$B$180,"=GDP",'MoodysData(Raw)'!$D$2:$D$180,"="&amp;'Implied Productivity Ratios'!$C29)/SUMIFS('MoodysData(Raw)'!AI$2:AI$180,'MoodysData(Raw)'!$B$2:$B$180,"=EMP",'MoodysData(Raw)'!$D$2:$D$180,"="&amp;'Implied Productivity Ratios'!$C29)</f>
        <v>425.83723492176966</v>
      </c>
      <c r="AG29">
        <f>SUMIFS('MoodysData(Raw)'!AJ$2:AJ$180,'MoodysData(Raw)'!$B$2:$B$180,"=GDP",'MoodysData(Raw)'!$D$2:$D$180,"="&amp;'Implied Productivity Ratios'!$C29)/SUMIFS('MoodysData(Raw)'!AJ$2:AJ$180,'MoodysData(Raw)'!$B$2:$B$180,"=EMP",'MoodysData(Raw)'!$D$2:$D$180,"="&amp;'Implied Productivity Ratios'!$C29)</f>
        <v>451.7366590674917</v>
      </c>
      <c r="AH29">
        <f>SUMIFS('MoodysData(Raw)'!AK$2:AK$180,'MoodysData(Raw)'!$B$2:$B$180,"=GDP",'MoodysData(Raw)'!$D$2:$D$180,"="&amp;'Implied Productivity Ratios'!$C29)/SUMIFS('MoodysData(Raw)'!AK$2:AK$180,'MoodysData(Raw)'!$B$2:$B$180,"=EMP",'MoodysData(Raw)'!$D$2:$D$180,"="&amp;'Implied Productivity Ratios'!$C29)</f>
        <v>476.68958351306014</v>
      </c>
      <c r="AI29">
        <f>SUMIFS('MoodysData(Raw)'!AL$2:AL$180,'MoodysData(Raw)'!$B$2:$B$180,"=GDP",'MoodysData(Raw)'!$D$2:$D$180,"="&amp;'Implied Productivity Ratios'!$C29)/SUMIFS('MoodysData(Raw)'!AL$2:AL$180,'MoodysData(Raw)'!$B$2:$B$180,"=EMP",'MoodysData(Raw)'!$D$2:$D$180,"="&amp;'Implied Productivity Ratios'!$C29)</f>
        <v>499.80502555694858</v>
      </c>
      <c r="AJ29">
        <f>SUMIFS('MoodysData(Raw)'!AM$2:AM$180,'MoodysData(Raw)'!$B$2:$B$180,"=GDP",'MoodysData(Raw)'!$D$2:$D$180,"="&amp;'Implied Productivity Ratios'!$C29)/SUMIFS('MoodysData(Raw)'!AM$2:AM$180,'MoodysData(Raw)'!$B$2:$B$180,"=EMP",'MoodysData(Raw)'!$D$2:$D$180,"="&amp;'Implied Productivity Ratios'!$C29)</f>
        <v>523.51752357870453</v>
      </c>
      <c r="AK29">
        <f>SUMIFS('MoodysData(Raw)'!AN$2:AN$180,'MoodysData(Raw)'!$B$2:$B$180,"=GDP",'MoodysData(Raw)'!$D$2:$D$180,"="&amp;'Implied Productivity Ratios'!$C29)/SUMIFS('MoodysData(Raw)'!AN$2:AN$180,'MoodysData(Raw)'!$B$2:$B$180,"=EMP",'MoodysData(Raw)'!$D$2:$D$180,"="&amp;'Implied Productivity Ratios'!$C29)</f>
        <v>549.04065295488738</v>
      </c>
      <c r="AL29">
        <f>SUMIFS('MoodysData(Raw)'!AO$2:AO$180,'MoodysData(Raw)'!$B$2:$B$180,"=GDP",'MoodysData(Raw)'!$D$2:$D$180,"="&amp;'Implied Productivity Ratios'!$C29)/SUMIFS('MoodysData(Raw)'!AO$2:AO$180,'MoodysData(Raw)'!$B$2:$B$180,"=EMP",'MoodysData(Raw)'!$D$2:$D$180,"="&amp;'Implied Productivity Ratios'!$C29)</f>
        <v>575.7973369872924</v>
      </c>
      <c r="AM29">
        <f>SUMIFS('MoodysData(Raw)'!AP$2:AP$180,'MoodysData(Raw)'!$B$2:$B$180,"=GDP",'MoodysData(Raw)'!$D$2:$D$180,"="&amp;'Implied Productivity Ratios'!$C29)/SUMIFS('MoodysData(Raw)'!AP$2:AP$180,'MoodysData(Raw)'!$B$2:$B$180,"=EMP",'MoodysData(Raw)'!$D$2:$D$180,"="&amp;'Implied Productivity Ratios'!$C29)</f>
        <v>603.69654473253456</v>
      </c>
      <c r="AN29">
        <f>SUMIFS('MoodysData(Raw)'!AQ$2:AQ$180,'MoodysData(Raw)'!$B$2:$B$180,"=GDP",'MoodysData(Raw)'!$D$2:$D$180,"="&amp;'Implied Productivity Ratios'!$C29)/SUMIFS('MoodysData(Raw)'!AQ$2:AQ$180,'MoodysData(Raw)'!$B$2:$B$180,"=EMP",'MoodysData(Raw)'!$D$2:$D$180,"="&amp;'Implied Productivity Ratios'!$C29)</f>
        <v>632.80309502860541</v>
      </c>
      <c r="AO29">
        <f>SUMIFS('MoodysData(Raw)'!AR$2:AR$180,'MoodysData(Raw)'!$B$2:$B$180,"=GDP",'MoodysData(Raw)'!$D$2:$D$180,"="&amp;'Implied Productivity Ratios'!$C29)/SUMIFS('MoodysData(Raw)'!AR$2:AR$180,'MoodysData(Raw)'!$B$2:$B$180,"=EMP",'MoodysData(Raw)'!$D$2:$D$180,"="&amp;'Implied Productivity Ratios'!$C29)</f>
        <v>662.65522970066206</v>
      </c>
      <c r="AP29">
        <f>SUMIFS('MoodysData(Raw)'!AS$2:AS$180,'MoodysData(Raw)'!$B$2:$B$180,"=GDP",'MoodysData(Raw)'!$D$2:$D$180,"="&amp;'Implied Productivity Ratios'!$C29)/SUMIFS('MoodysData(Raw)'!AS$2:AS$180,'MoodysData(Raw)'!$B$2:$B$180,"=EMP",'MoodysData(Raw)'!$D$2:$D$180,"="&amp;'Implied Productivity Ratios'!$C29)</f>
        <v>693.10702725573856</v>
      </c>
      <c r="AQ29">
        <f>SUMIFS('MoodysData(Raw)'!AT$2:AT$180,'MoodysData(Raw)'!$B$2:$B$180,"=GDP",'MoodysData(Raw)'!$D$2:$D$180,"="&amp;'Implied Productivity Ratios'!$C29)/SUMIFS('MoodysData(Raw)'!AT$2:AT$180,'MoodysData(Raw)'!$B$2:$B$180,"=EMP",'MoodysData(Raw)'!$D$2:$D$180,"="&amp;'Implied Productivity Ratios'!$C29)</f>
        <v>724.52518717802639</v>
      </c>
      <c r="AR29">
        <f>SUMIFS('MoodysData(Raw)'!AU$2:AU$180,'MoodysData(Raw)'!$B$2:$B$180,"=GDP",'MoodysData(Raw)'!$D$2:$D$180,"="&amp;'Implied Productivity Ratios'!$C29)/SUMIFS('MoodysData(Raw)'!AU$2:AU$180,'MoodysData(Raw)'!$B$2:$B$180,"=EMP",'MoodysData(Raw)'!$D$2:$D$180,"="&amp;'Implied Productivity Ratios'!$C29)</f>
        <v>757.08580277644023</v>
      </c>
      <c r="AS29">
        <f>SUMIFS('MoodysData(Raw)'!AV$2:AV$180,'MoodysData(Raw)'!$B$2:$B$180,"=GDP",'MoodysData(Raw)'!$D$2:$D$180,"="&amp;'Implied Productivity Ratios'!$C29)/SUMIFS('MoodysData(Raw)'!AV$2:AV$180,'MoodysData(Raw)'!$B$2:$B$180,"=EMP",'MoodysData(Raw)'!$D$2:$D$180,"="&amp;'Implied Productivity Ratios'!$C29)</f>
        <v>791.1422262436746</v>
      </c>
      <c r="AT29">
        <f>SUMIFS('MoodysData(Raw)'!AW$2:AW$180,'MoodysData(Raw)'!$B$2:$B$180,"=GDP",'MoodysData(Raw)'!$D$2:$D$180,"="&amp;'Implied Productivity Ratios'!$C29)/SUMIFS('MoodysData(Raw)'!AW$2:AW$180,'MoodysData(Raw)'!$B$2:$B$180,"=EMP",'MoodysData(Raw)'!$D$2:$D$180,"="&amp;'Implied Productivity Ratios'!$C29)</f>
        <v>826.72738140790307</v>
      </c>
      <c r="AU29">
        <f>SUMIFS('MoodysData(Raw)'!AX$2:AX$180,'MoodysData(Raw)'!$B$2:$B$180,"=GDP",'MoodysData(Raw)'!$D$2:$D$180,"="&amp;'Implied Productivity Ratios'!$C29)/SUMIFS('MoodysData(Raw)'!AX$2:AX$180,'MoodysData(Raw)'!$B$2:$B$180,"=EMP",'MoodysData(Raw)'!$D$2:$D$180,"="&amp;'Implied Productivity Ratios'!$C29)</f>
        <v>864.30617379866555</v>
      </c>
      <c r="AV29">
        <f>SUMIFS('MoodysData(Raw)'!AY$2:AY$180,'MoodysData(Raw)'!$B$2:$B$180,"=GDP",'MoodysData(Raw)'!$D$2:$D$180,"="&amp;'Implied Productivity Ratios'!$C29)/SUMIFS('MoodysData(Raw)'!AY$2:AY$180,'MoodysData(Raw)'!$B$2:$B$180,"=EMP",'MoodysData(Raw)'!$D$2:$D$180,"="&amp;'Implied Productivity Ratios'!$C29)</f>
        <v>904.27140986716074</v>
      </c>
      <c r="AW29">
        <f>SUMIFS('MoodysData(Raw)'!AZ$2:AZ$180,'MoodysData(Raw)'!$B$2:$B$180,"=GDP",'MoodysData(Raw)'!$D$2:$D$180,"="&amp;'Implied Productivity Ratios'!$C29)/SUMIFS('MoodysData(Raw)'!AZ$2:AZ$180,'MoodysData(Raw)'!$B$2:$B$180,"=EMP",'MoodysData(Raw)'!$D$2:$D$180,"="&amp;'Implied Productivity Ratios'!$C29)</f>
        <v>945.78910180526782</v>
      </c>
      <c r="AX29">
        <f>SUMIFS('MoodysData(Raw)'!BA$2:BA$180,'MoodysData(Raw)'!$B$2:$B$180,"=GDP",'MoodysData(Raw)'!$D$2:$D$180,"="&amp;'Implied Productivity Ratios'!$C29)/SUMIFS('MoodysData(Raw)'!BA$2:BA$180,'MoodysData(Raw)'!$B$2:$B$180,"=EMP",'MoodysData(Raw)'!$D$2:$D$180,"="&amp;'Implied Productivity Ratios'!$C29)</f>
        <v>988.27301610286077</v>
      </c>
      <c r="AY29">
        <f>SUMIFS('MoodysData(Raw)'!BB$2:BB$180,'MoodysData(Raw)'!$B$2:$B$180,"=GDP",'MoodysData(Raw)'!$D$2:$D$180,"="&amp;'Implied Productivity Ratios'!$C29)/SUMIFS('MoodysData(Raw)'!BB$2:BB$180,'MoodysData(Raw)'!$B$2:$B$180,"=EMP",'MoodysData(Raw)'!$D$2:$D$180,"="&amp;'Implied Productivity Ratios'!$C29)</f>
        <v>1031.8564794606787</v>
      </c>
      <c r="AZ29">
        <f>SUMIFS('MoodysData(Raw)'!BC$2:BC$180,'MoodysData(Raw)'!$B$2:$B$180,"=GDP",'MoodysData(Raw)'!$D$2:$D$180,"="&amp;'Implied Productivity Ratios'!$C29)/SUMIFS('MoodysData(Raw)'!BC$2:BC$180,'MoodysData(Raw)'!$B$2:$B$180,"=EMP",'MoodysData(Raw)'!$D$2:$D$180,"="&amp;'Implied Productivity Ratios'!$C29)</f>
        <v>1076.9825764999368</v>
      </c>
      <c r="BA29">
        <f>SUMIFS('MoodysData(Raw)'!BD$2:BD$180,'MoodysData(Raw)'!$B$2:$B$180,"=GDP",'MoodysData(Raw)'!$D$2:$D$180,"="&amp;'Implied Productivity Ratios'!$C29)/SUMIFS('MoodysData(Raw)'!BD$2:BD$180,'MoodysData(Raw)'!$B$2:$B$180,"=EMP",'MoodysData(Raw)'!$D$2:$D$180,"="&amp;'Implied Productivity Ratios'!$C29)</f>
        <v>1123.9436617878391</v>
      </c>
      <c r="BB29">
        <f>SUMIFS('MoodysData(Raw)'!BE$2:BE$180,'MoodysData(Raw)'!$B$2:$B$180,"=GDP",'MoodysData(Raw)'!$D$2:$D$180,"="&amp;'Implied Productivity Ratios'!$C29)/SUMIFS('MoodysData(Raw)'!BE$2:BE$180,'MoodysData(Raw)'!$B$2:$B$180,"=EMP",'MoodysData(Raw)'!$D$2:$D$180,"="&amp;'Implied Productivity Ratios'!$C29)</f>
        <v>1173.8468987121551</v>
      </c>
      <c r="BC29">
        <f>SUMIFS('MoodysData(Raw)'!BF$2:BF$180,'MoodysData(Raw)'!$B$2:$B$180,"=GDP",'MoodysData(Raw)'!$D$2:$D$180,"="&amp;'Implied Productivity Ratios'!$C29)/SUMIFS('MoodysData(Raw)'!BF$2:BF$180,'MoodysData(Raw)'!$B$2:$B$180,"=EMP",'MoodysData(Raw)'!$D$2:$D$180,"="&amp;'Implied Productivity Ratios'!$C29)</f>
        <v>1227.2510395384506</v>
      </c>
      <c r="BD29" s="5">
        <f t="shared" ref="BD29:BH29" si="23">BC29+($BC29-$AX29)/5</f>
        <v>1275.0466442255686</v>
      </c>
      <c r="BE29" s="5">
        <f t="shared" si="23"/>
        <v>1322.8422489126865</v>
      </c>
      <c r="BF29" s="5">
        <f t="shared" si="23"/>
        <v>1370.6378535998044</v>
      </c>
      <c r="BG29" s="5">
        <f t="shared" si="23"/>
        <v>1418.4334582869224</v>
      </c>
      <c r="BH29" s="5">
        <f t="shared" si="23"/>
        <v>1466.2290629740403</v>
      </c>
    </row>
    <row r="30" spans="3:60">
      <c r="C30">
        <v>335</v>
      </c>
      <c r="D30" t="s">
        <v>103</v>
      </c>
      <c r="E30">
        <f>SUMIFS('MoodysData(Raw)'!H$2:H$180,'MoodysData(Raw)'!$B$2:$B$180,"=GDP",'MoodysData(Raw)'!$D$2:$D$180,"="&amp;'Implied Productivity Ratios'!$C30)/SUMIFS('MoodysData(Raw)'!H$2:H$180,'MoodysData(Raw)'!$B$2:$B$180,"=EMP",'MoodysData(Raw)'!$D$2:$D$180,"="&amp;'Implied Productivity Ratios'!$C30)</f>
        <v>120.64685430577113</v>
      </c>
      <c r="F30">
        <f>SUMIFS('MoodysData(Raw)'!I$2:I$180,'MoodysData(Raw)'!$B$2:$B$180,"=GDP",'MoodysData(Raw)'!$D$2:$D$180,"="&amp;'Implied Productivity Ratios'!$C30)/SUMIFS('MoodysData(Raw)'!I$2:I$180,'MoodysData(Raw)'!$B$2:$B$180,"=EMP",'MoodysData(Raw)'!$D$2:$D$180,"="&amp;'Implied Productivity Ratios'!$C30)</f>
        <v>139.10935271656624</v>
      </c>
      <c r="G30">
        <f>SUMIFS('MoodysData(Raw)'!J$2:J$180,'MoodysData(Raw)'!$B$2:$B$180,"=GDP",'MoodysData(Raw)'!$D$2:$D$180,"="&amp;'Implied Productivity Ratios'!$C30)/SUMIFS('MoodysData(Raw)'!J$2:J$180,'MoodysData(Raw)'!$B$2:$B$180,"=EMP",'MoodysData(Raw)'!$D$2:$D$180,"="&amp;'Implied Productivity Ratios'!$C30)</f>
        <v>131.81153119311793</v>
      </c>
      <c r="H30">
        <f>SUMIFS('MoodysData(Raw)'!K$2:K$180,'MoodysData(Raw)'!$B$2:$B$180,"=GDP",'MoodysData(Raw)'!$D$2:$D$180,"="&amp;'Implied Productivity Ratios'!$C30)/SUMIFS('MoodysData(Raw)'!K$2:K$180,'MoodysData(Raw)'!$B$2:$B$180,"=EMP",'MoodysData(Raw)'!$D$2:$D$180,"="&amp;'Implied Productivity Ratios'!$C30)</f>
        <v>143.00241652640784</v>
      </c>
      <c r="I30">
        <f>SUMIFS('MoodysData(Raw)'!L$2:L$180,'MoodysData(Raw)'!$B$2:$B$180,"=GDP",'MoodysData(Raw)'!$D$2:$D$180,"="&amp;'Implied Productivity Ratios'!$C30)/SUMIFS('MoodysData(Raw)'!L$2:L$180,'MoodysData(Raw)'!$B$2:$B$180,"=EMP",'MoodysData(Raw)'!$D$2:$D$180,"="&amp;'Implied Productivity Ratios'!$C30)</f>
        <v>136.15300599110171</v>
      </c>
      <c r="J30">
        <f>SUMIFS('MoodysData(Raw)'!M$2:M$180,'MoodysData(Raw)'!$B$2:$B$180,"=GDP",'MoodysData(Raw)'!$D$2:$D$180,"="&amp;'Implied Productivity Ratios'!$C30)/SUMIFS('MoodysData(Raw)'!M$2:M$180,'MoodysData(Raw)'!$B$2:$B$180,"=EMP",'MoodysData(Raw)'!$D$2:$D$180,"="&amp;'Implied Productivity Ratios'!$C30)</f>
        <v>146.44141106175206</v>
      </c>
      <c r="K30">
        <f>SUMIFS('MoodysData(Raw)'!N$2:N$180,'MoodysData(Raw)'!$B$2:$B$180,"=GDP",'MoodysData(Raw)'!$D$2:$D$180,"="&amp;'Implied Productivity Ratios'!$C30)/SUMIFS('MoodysData(Raw)'!N$2:N$180,'MoodysData(Raw)'!$B$2:$B$180,"=EMP",'MoodysData(Raw)'!$D$2:$D$180,"="&amp;'Implied Productivity Ratios'!$C30)</f>
        <v>137.51509021501516</v>
      </c>
      <c r="L30">
        <f>SUMIFS('MoodysData(Raw)'!O$2:O$180,'MoodysData(Raw)'!$B$2:$B$180,"=GDP",'MoodysData(Raw)'!$D$2:$D$180,"="&amp;'Implied Productivity Ratios'!$C30)/SUMIFS('MoodysData(Raw)'!O$2:O$180,'MoodysData(Raw)'!$B$2:$B$180,"=EMP",'MoodysData(Raw)'!$D$2:$D$180,"="&amp;'Implied Productivity Ratios'!$C30)</f>
        <v>138.34694589506034</v>
      </c>
      <c r="M30">
        <f>SUMIFS('MoodysData(Raw)'!P$2:P$180,'MoodysData(Raw)'!$B$2:$B$180,"=GDP",'MoodysData(Raw)'!$D$2:$D$180,"="&amp;'Implied Productivity Ratios'!$C30)/SUMIFS('MoodysData(Raw)'!P$2:P$180,'MoodysData(Raw)'!$B$2:$B$180,"=EMP",'MoodysData(Raw)'!$D$2:$D$180,"="&amp;'Implied Productivity Ratios'!$C30)</f>
        <v>151.3710875331565</v>
      </c>
      <c r="N30">
        <f>SUMIFS('MoodysData(Raw)'!Q$2:Q$180,'MoodysData(Raw)'!$B$2:$B$180,"=GDP",'MoodysData(Raw)'!$D$2:$D$180,"="&amp;'Implied Productivity Ratios'!$C30)/SUMIFS('MoodysData(Raw)'!Q$2:Q$180,'MoodysData(Raw)'!$B$2:$B$180,"=EMP",'MoodysData(Raw)'!$D$2:$D$180,"="&amp;'Implied Productivity Ratios'!$C30)</f>
        <v>138.84052582936465</v>
      </c>
      <c r="O30">
        <f>SUMIFS('MoodysData(Raw)'!R$2:R$180,'MoodysData(Raw)'!$B$2:$B$180,"=GDP",'MoodysData(Raw)'!$D$2:$D$180,"="&amp;'Implied Productivity Ratios'!$C30)/SUMIFS('MoodysData(Raw)'!R$2:R$180,'MoodysData(Raw)'!$B$2:$B$180,"=EMP",'MoodysData(Raw)'!$D$2:$D$180,"="&amp;'Implied Productivity Ratios'!$C30)</f>
        <v>155.94366372729257</v>
      </c>
      <c r="P30">
        <f>SUMIFS('MoodysData(Raw)'!S$2:S$180,'MoodysData(Raw)'!$B$2:$B$180,"=GDP",'MoodysData(Raw)'!$D$2:$D$180,"="&amp;'Implied Productivity Ratios'!$C30)/SUMIFS('MoodysData(Raw)'!S$2:S$180,'MoodysData(Raw)'!$B$2:$B$180,"=EMP",'MoodysData(Raw)'!$D$2:$D$180,"="&amp;'Implied Productivity Ratios'!$C30)</f>
        <v>143.44642421283868</v>
      </c>
      <c r="Q30">
        <f>SUMIFS('MoodysData(Raw)'!T$2:T$180,'MoodysData(Raw)'!$B$2:$B$180,"=GDP",'MoodysData(Raw)'!$D$2:$D$180,"="&amp;'Implied Productivity Ratios'!$C30)/SUMIFS('MoodysData(Raw)'!T$2:T$180,'MoodysData(Raw)'!$B$2:$B$180,"=EMP",'MoodysData(Raw)'!$D$2:$D$180,"="&amp;'Implied Productivity Ratios'!$C30)</f>
        <v>148.43574526834195</v>
      </c>
      <c r="R30">
        <f>SUMIFS('MoodysData(Raw)'!U$2:U$180,'MoodysData(Raw)'!$B$2:$B$180,"=GDP",'MoodysData(Raw)'!$D$2:$D$180,"="&amp;'Implied Productivity Ratios'!$C30)/SUMIFS('MoodysData(Raw)'!U$2:U$180,'MoodysData(Raw)'!$B$2:$B$180,"=EMP",'MoodysData(Raw)'!$D$2:$D$180,"="&amp;'Implied Productivity Ratios'!$C30)</f>
        <v>144.352963042965</v>
      </c>
      <c r="S30">
        <f>SUMIFS('MoodysData(Raw)'!V$2:V$180,'MoodysData(Raw)'!$B$2:$B$180,"=GDP",'MoodysData(Raw)'!$D$2:$D$180,"="&amp;'Implied Productivity Ratios'!$C30)/SUMIFS('MoodysData(Raw)'!V$2:V$180,'MoodysData(Raw)'!$B$2:$B$180,"=EMP",'MoodysData(Raw)'!$D$2:$D$180,"="&amp;'Implied Productivity Ratios'!$C30)</f>
        <v>137.86389145591454</v>
      </c>
      <c r="T30">
        <f>SUMIFS('MoodysData(Raw)'!W$2:W$180,'MoodysData(Raw)'!$B$2:$B$180,"=GDP",'MoodysData(Raw)'!$D$2:$D$180,"="&amp;'Implied Productivity Ratios'!$C30)/SUMIFS('MoodysData(Raw)'!W$2:W$180,'MoodysData(Raw)'!$B$2:$B$180,"=EMP",'MoodysData(Raw)'!$D$2:$D$180,"="&amp;'Implied Productivity Ratios'!$C30)</f>
        <v>138.40589003556948</v>
      </c>
      <c r="U30">
        <f>SUMIFS('MoodysData(Raw)'!X$2:X$180,'MoodysData(Raw)'!$B$2:$B$180,"=GDP",'MoodysData(Raw)'!$D$2:$D$180,"="&amp;'Implied Productivity Ratios'!$C30)/SUMIFS('MoodysData(Raw)'!X$2:X$180,'MoodysData(Raw)'!$B$2:$B$180,"=EMP",'MoodysData(Raw)'!$D$2:$D$180,"="&amp;'Implied Productivity Ratios'!$C30)</f>
        <v>144.68997783544998</v>
      </c>
      <c r="V30">
        <f>SUMIFS('MoodysData(Raw)'!Y$2:Y$180,'MoodysData(Raw)'!$B$2:$B$180,"=GDP",'MoodysData(Raw)'!$D$2:$D$180,"="&amp;'Implied Productivity Ratios'!$C30)/SUMIFS('MoodysData(Raw)'!Y$2:Y$180,'MoodysData(Raw)'!$B$2:$B$180,"=EMP",'MoodysData(Raw)'!$D$2:$D$180,"="&amp;'Implied Productivity Ratios'!$C30)</f>
        <v>136.4137391201607</v>
      </c>
      <c r="W30">
        <f>SUMIFS('MoodysData(Raw)'!Z$2:Z$180,'MoodysData(Raw)'!$B$2:$B$180,"=GDP",'MoodysData(Raw)'!$D$2:$D$180,"="&amp;'Implied Productivity Ratios'!$C30)/SUMIFS('MoodysData(Raw)'!Z$2:Z$180,'MoodysData(Raw)'!$B$2:$B$180,"=EMP",'MoodysData(Raw)'!$D$2:$D$180,"="&amp;'Implied Productivity Ratios'!$C30)</f>
        <v>121.22399199941458</v>
      </c>
      <c r="X30">
        <f>SUMIFS('MoodysData(Raw)'!AA$2:AA$180,'MoodysData(Raw)'!$B$2:$B$180,"=GDP",'MoodysData(Raw)'!$D$2:$D$180,"="&amp;'Implied Productivity Ratios'!$C30)/SUMIFS('MoodysData(Raw)'!AA$2:AA$180,'MoodysData(Raw)'!$B$2:$B$180,"=EMP",'MoodysData(Raw)'!$D$2:$D$180,"="&amp;'Implied Productivity Ratios'!$C30)</f>
        <v>118.21923674963577</v>
      </c>
      <c r="Y30">
        <f>SUMIFS('MoodysData(Raw)'!AB$2:AB$180,'MoodysData(Raw)'!$B$2:$B$180,"=GDP",'MoodysData(Raw)'!$D$2:$D$180,"="&amp;'Implied Productivity Ratios'!$C30)/SUMIFS('MoodysData(Raw)'!AB$2:AB$180,'MoodysData(Raw)'!$B$2:$B$180,"=EMP",'MoodysData(Raw)'!$D$2:$D$180,"="&amp;'Implied Productivity Ratios'!$C30)</f>
        <v>120.73112092980944</v>
      </c>
      <c r="Z30">
        <f>SUMIFS('MoodysData(Raw)'!AC$2:AC$180,'MoodysData(Raw)'!$B$2:$B$180,"=GDP",'MoodysData(Raw)'!$D$2:$D$180,"="&amp;'Implied Productivity Ratios'!$C30)/SUMIFS('MoodysData(Raw)'!AC$2:AC$180,'MoodysData(Raw)'!$B$2:$B$180,"=EMP",'MoodysData(Raw)'!$D$2:$D$180,"="&amp;'Implied Productivity Ratios'!$C30)</f>
        <v>123.54424691064403</v>
      </c>
      <c r="AA30">
        <f>SUMIFS('MoodysData(Raw)'!AD$2:AD$180,'MoodysData(Raw)'!$B$2:$B$180,"=GDP",'MoodysData(Raw)'!$D$2:$D$180,"="&amp;'Implied Productivity Ratios'!$C30)/SUMIFS('MoodysData(Raw)'!AD$2:AD$180,'MoodysData(Raw)'!$B$2:$B$180,"=EMP",'MoodysData(Raw)'!$D$2:$D$180,"="&amp;'Implied Productivity Ratios'!$C30)</f>
        <v>127.65849738750214</v>
      </c>
      <c r="AB30">
        <f>SUMIFS('MoodysData(Raw)'!AE$2:AE$180,'MoodysData(Raw)'!$B$2:$B$180,"=GDP",'MoodysData(Raw)'!$D$2:$D$180,"="&amp;'Implied Productivity Ratios'!$C30)/SUMIFS('MoodysData(Raw)'!AE$2:AE$180,'MoodysData(Raw)'!$B$2:$B$180,"=EMP",'MoodysData(Raw)'!$D$2:$D$180,"="&amp;'Implied Productivity Ratios'!$C30)</f>
        <v>133.63207439249771</v>
      </c>
      <c r="AC30">
        <f>SUMIFS('MoodysData(Raw)'!AF$2:AF$180,'MoodysData(Raw)'!$B$2:$B$180,"=GDP",'MoodysData(Raw)'!$D$2:$D$180,"="&amp;'Implied Productivity Ratios'!$C30)/SUMIFS('MoodysData(Raw)'!AF$2:AF$180,'MoodysData(Raw)'!$B$2:$B$180,"=EMP",'MoodysData(Raw)'!$D$2:$D$180,"="&amp;'Implied Productivity Ratios'!$C30)</f>
        <v>140.63286793671296</v>
      </c>
      <c r="AD30">
        <f>SUMIFS('MoodysData(Raw)'!AG$2:AG$180,'MoodysData(Raw)'!$B$2:$B$180,"=GDP",'MoodysData(Raw)'!$D$2:$D$180,"="&amp;'Implied Productivity Ratios'!$C30)/SUMIFS('MoodysData(Raw)'!AG$2:AG$180,'MoodysData(Raw)'!$B$2:$B$180,"=EMP",'MoodysData(Raw)'!$D$2:$D$180,"="&amp;'Implied Productivity Ratios'!$C30)</f>
        <v>148.13753409093897</v>
      </c>
      <c r="AE30">
        <f>SUMIFS('MoodysData(Raw)'!AH$2:AH$180,'MoodysData(Raw)'!$B$2:$B$180,"=GDP",'MoodysData(Raw)'!$D$2:$D$180,"="&amp;'Implied Productivity Ratios'!$C30)/SUMIFS('MoodysData(Raw)'!AH$2:AH$180,'MoodysData(Raw)'!$B$2:$B$180,"=EMP",'MoodysData(Raw)'!$D$2:$D$180,"="&amp;'Implied Productivity Ratios'!$C30)</f>
        <v>155.30534661952211</v>
      </c>
      <c r="AF30">
        <f>SUMIFS('MoodysData(Raw)'!AI$2:AI$180,'MoodysData(Raw)'!$B$2:$B$180,"=GDP",'MoodysData(Raw)'!$D$2:$D$180,"="&amp;'Implied Productivity Ratios'!$C30)/SUMIFS('MoodysData(Raw)'!AI$2:AI$180,'MoodysData(Raw)'!$B$2:$B$180,"=EMP",'MoodysData(Raw)'!$D$2:$D$180,"="&amp;'Implied Productivity Ratios'!$C30)</f>
        <v>162.13500008187279</v>
      </c>
      <c r="AG30">
        <f>SUMIFS('MoodysData(Raw)'!AJ$2:AJ$180,'MoodysData(Raw)'!$B$2:$B$180,"=GDP",'MoodysData(Raw)'!$D$2:$D$180,"="&amp;'Implied Productivity Ratios'!$C30)/SUMIFS('MoodysData(Raw)'!AJ$2:AJ$180,'MoodysData(Raw)'!$B$2:$B$180,"=EMP",'MoodysData(Raw)'!$D$2:$D$180,"="&amp;'Implied Productivity Ratios'!$C30)</f>
        <v>168.8573691670604</v>
      </c>
      <c r="AH30">
        <f>SUMIFS('MoodysData(Raw)'!AK$2:AK$180,'MoodysData(Raw)'!$B$2:$B$180,"=GDP",'MoodysData(Raw)'!$D$2:$D$180,"="&amp;'Implied Productivity Ratios'!$C30)/SUMIFS('MoodysData(Raw)'!AK$2:AK$180,'MoodysData(Raw)'!$B$2:$B$180,"=EMP",'MoodysData(Raw)'!$D$2:$D$180,"="&amp;'Implied Productivity Ratios'!$C30)</f>
        <v>175.48059192642262</v>
      </c>
      <c r="AI30">
        <f>SUMIFS('MoodysData(Raw)'!AL$2:AL$180,'MoodysData(Raw)'!$B$2:$B$180,"=GDP",'MoodysData(Raw)'!$D$2:$D$180,"="&amp;'Implied Productivity Ratios'!$C30)/SUMIFS('MoodysData(Raw)'!AL$2:AL$180,'MoodysData(Raw)'!$B$2:$B$180,"=EMP",'MoodysData(Raw)'!$D$2:$D$180,"="&amp;'Implied Productivity Ratios'!$C30)</f>
        <v>182.04633694667675</v>
      </c>
      <c r="AJ30">
        <f>SUMIFS('MoodysData(Raw)'!AM$2:AM$180,'MoodysData(Raw)'!$B$2:$B$180,"=GDP",'MoodysData(Raw)'!$D$2:$D$180,"="&amp;'Implied Productivity Ratios'!$C30)/SUMIFS('MoodysData(Raw)'!AM$2:AM$180,'MoodysData(Raw)'!$B$2:$B$180,"=EMP",'MoodysData(Raw)'!$D$2:$D$180,"="&amp;'Implied Productivity Ratios'!$C30)</f>
        <v>188.95277145249673</v>
      </c>
      <c r="AK30">
        <f>SUMIFS('MoodysData(Raw)'!AN$2:AN$180,'MoodysData(Raw)'!$B$2:$B$180,"=GDP",'MoodysData(Raw)'!$D$2:$D$180,"="&amp;'Implied Productivity Ratios'!$C30)/SUMIFS('MoodysData(Raw)'!AN$2:AN$180,'MoodysData(Raw)'!$B$2:$B$180,"=EMP",'MoodysData(Raw)'!$D$2:$D$180,"="&amp;'Implied Productivity Ratios'!$C30)</f>
        <v>196.26412981311967</v>
      </c>
      <c r="AL30">
        <f>SUMIFS('MoodysData(Raw)'!AO$2:AO$180,'MoodysData(Raw)'!$B$2:$B$180,"=GDP",'MoodysData(Raw)'!$D$2:$D$180,"="&amp;'Implied Productivity Ratios'!$C30)/SUMIFS('MoodysData(Raw)'!AO$2:AO$180,'MoodysData(Raw)'!$B$2:$B$180,"=EMP",'MoodysData(Raw)'!$D$2:$D$180,"="&amp;'Implied Productivity Ratios'!$C30)</f>
        <v>203.78008792455935</v>
      </c>
      <c r="AM30">
        <f>SUMIFS('MoodysData(Raw)'!AP$2:AP$180,'MoodysData(Raw)'!$B$2:$B$180,"=GDP",'MoodysData(Raw)'!$D$2:$D$180,"="&amp;'Implied Productivity Ratios'!$C30)/SUMIFS('MoodysData(Raw)'!AP$2:AP$180,'MoodysData(Raw)'!$B$2:$B$180,"=EMP",'MoodysData(Raw)'!$D$2:$D$180,"="&amp;'Implied Productivity Ratios'!$C30)</f>
        <v>211.41769896671704</v>
      </c>
      <c r="AN30">
        <f>SUMIFS('MoodysData(Raw)'!AQ$2:AQ$180,'MoodysData(Raw)'!$B$2:$B$180,"=GDP",'MoodysData(Raw)'!$D$2:$D$180,"="&amp;'Implied Productivity Ratios'!$C30)/SUMIFS('MoodysData(Raw)'!AQ$2:AQ$180,'MoodysData(Raw)'!$B$2:$B$180,"=EMP",'MoodysData(Raw)'!$D$2:$D$180,"="&amp;'Implied Productivity Ratios'!$C30)</f>
        <v>219.18944964402093</v>
      </c>
      <c r="AO30">
        <f>SUMIFS('MoodysData(Raw)'!AR$2:AR$180,'MoodysData(Raw)'!$B$2:$B$180,"=GDP",'MoodysData(Raw)'!$D$2:$D$180,"="&amp;'Implied Productivity Ratios'!$C30)/SUMIFS('MoodysData(Raw)'!AR$2:AR$180,'MoodysData(Raw)'!$B$2:$B$180,"=EMP",'MoodysData(Raw)'!$D$2:$D$180,"="&amp;'Implied Productivity Ratios'!$C30)</f>
        <v>227.19864303233282</v>
      </c>
      <c r="AP30">
        <f>SUMIFS('MoodysData(Raw)'!AS$2:AS$180,'MoodysData(Raw)'!$B$2:$B$180,"=GDP",'MoodysData(Raw)'!$D$2:$D$180,"="&amp;'Implied Productivity Ratios'!$C30)/SUMIFS('MoodysData(Raw)'!AS$2:AS$180,'MoodysData(Raw)'!$B$2:$B$180,"=EMP",'MoodysData(Raw)'!$D$2:$D$180,"="&amp;'Implied Productivity Ratios'!$C30)</f>
        <v>235.41304955048591</v>
      </c>
      <c r="AQ30">
        <f>SUMIFS('MoodysData(Raw)'!AT$2:AT$180,'MoodysData(Raw)'!$B$2:$B$180,"=GDP",'MoodysData(Raw)'!$D$2:$D$180,"="&amp;'Implied Productivity Ratios'!$C30)/SUMIFS('MoodysData(Raw)'!AT$2:AT$180,'MoodysData(Raw)'!$B$2:$B$180,"=EMP",'MoodysData(Raw)'!$D$2:$D$180,"="&amp;'Implied Productivity Ratios'!$C30)</f>
        <v>243.71532998133017</v>
      </c>
      <c r="AR30">
        <f>SUMIFS('MoodysData(Raw)'!AU$2:AU$180,'MoodysData(Raw)'!$B$2:$B$180,"=GDP",'MoodysData(Raw)'!$D$2:$D$180,"="&amp;'Implied Productivity Ratios'!$C30)/SUMIFS('MoodysData(Raw)'!AU$2:AU$180,'MoodysData(Raw)'!$B$2:$B$180,"=EMP",'MoodysData(Raw)'!$D$2:$D$180,"="&amp;'Implied Productivity Ratios'!$C30)</f>
        <v>252.25283701313649</v>
      </c>
      <c r="AS30">
        <f>SUMIFS('MoodysData(Raw)'!AV$2:AV$180,'MoodysData(Raw)'!$B$2:$B$180,"=GDP",'MoodysData(Raw)'!$D$2:$D$180,"="&amp;'Implied Productivity Ratios'!$C30)/SUMIFS('MoodysData(Raw)'!AV$2:AV$180,'MoodysData(Raw)'!$B$2:$B$180,"=EMP",'MoodysData(Raw)'!$D$2:$D$180,"="&amp;'Implied Productivity Ratios'!$C30)</f>
        <v>261.39363022850665</v>
      </c>
      <c r="AT30">
        <f>SUMIFS('MoodysData(Raw)'!AW$2:AW$180,'MoodysData(Raw)'!$B$2:$B$180,"=GDP",'MoodysData(Raw)'!$D$2:$D$180,"="&amp;'Implied Productivity Ratios'!$C30)/SUMIFS('MoodysData(Raw)'!AW$2:AW$180,'MoodysData(Raw)'!$B$2:$B$180,"=EMP",'MoodysData(Raw)'!$D$2:$D$180,"="&amp;'Implied Productivity Ratios'!$C30)</f>
        <v>271.08650310115814</v>
      </c>
      <c r="AU30">
        <f>SUMIFS('MoodysData(Raw)'!AX$2:AX$180,'MoodysData(Raw)'!$B$2:$B$180,"=GDP",'MoodysData(Raw)'!$D$2:$D$180,"="&amp;'Implied Productivity Ratios'!$C30)/SUMIFS('MoodysData(Raw)'!AX$2:AX$180,'MoodysData(Raw)'!$B$2:$B$180,"=EMP",'MoodysData(Raw)'!$D$2:$D$180,"="&amp;'Implied Productivity Ratios'!$C30)</f>
        <v>281.34924275115185</v>
      </c>
      <c r="AV30">
        <f>SUMIFS('MoodysData(Raw)'!AY$2:AY$180,'MoodysData(Raw)'!$B$2:$B$180,"=GDP",'MoodysData(Raw)'!$D$2:$D$180,"="&amp;'Implied Productivity Ratios'!$C30)/SUMIFS('MoodysData(Raw)'!AY$2:AY$180,'MoodysData(Raw)'!$B$2:$B$180,"=EMP",'MoodysData(Raw)'!$D$2:$D$180,"="&amp;'Implied Productivity Ratios'!$C30)</f>
        <v>292.33442244247738</v>
      </c>
      <c r="AW30">
        <f>SUMIFS('MoodysData(Raw)'!AZ$2:AZ$180,'MoodysData(Raw)'!$B$2:$B$180,"=GDP",'MoodysData(Raw)'!$D$2:$D$180,"="&amp;'Implied Productivity Ratios'!$C30)/SUMIFS('MoodysData(Raw)'!AZ$2:AZ$180,'MoodysData(Raw)'!$B$2:$B$180,"=EMP",'MoodysData(Raw)'!$D$2:$D$180,"="&amp;'Implied Productivity Ratios'!$C30)</f>
        <v>303.77527590336393</v>
      </c>
      <c r="AX30">
        <f>SUMIFS('MoodysData(Raw)'!BA$2:BA$180,'MoodysData(Raw)'!$B$2:$B$180,"=GDP",'MoodysData(Raw)'!$D$2:$D$180,"="&amp;'Implied Productivity Ratios'!$C30)/SUMIFS('MoodysData(Raw)'!BA$2:BA$180,'MoodysData(Raw)'!$B$2:$B$180,"=EMP",'MoodysData(Raw)'!$D$2:$D$180,"="&amp;'Implied Productivity Ratios'!$C30)</f>
        <v>315.60890386532844</v>
      </c>
      <c r="AY30">
        <f>SUMIFS('MoodysData(Raw)'!BB$2:BB$180,'MoodysData(Raw)'!$B$2:$B$180,"=GDP",'MoodysData(Raw)'!$D$2:$D$180,"="&amp;'Implied Productivity Ratios'!$C30)/SUMIFS('MoodysData(Raw)'!BB$2:BB$180,'MoodysData(Raw)'!$B$2:$B$180,"=EMP",'MoodysData(Raw)'!$D$2:$D$180,"="&amp;'Implied Productivity Ratios'!$C30)</f>
        <v>327.7487590852686</v>
      </c>
      <c r="AZ30">
        <f>SUMIFS('MoodysData(Raw)'!BC$2:BC$180,'MoodysData(Raw)'!$B$2:$B$180,"=GDP",'MoodysData(Raw)'!$D$2:$D$180,"="&amp;'Implied Productivity Ratios'!$C30)/SUMIFS('MoodysData(Raw)'!BC$2:BC$180,'MoodysData(Raw)'!$B$2:$B$180,"=EMP",'MoodysData(Raw)'!$D$2:$D$180,"="&amp;'Implied Productivity Ratios'!$C30)</f>
        <v>340.32754548930518</v>
      </c>
      <c r="BA30">
        <f>SUMIFS('MoodysData(Raw)'!BD$2:BD$180,'MoodysData(Raw)'!$B$2:$B$180,"=GDP",'MoodysData(Raw)'!$D$2:$D$180,"="&amp;'Implied Productivity Ratios'!$C30)/SUMIFS('MoodysData(Raw)'!BD$2:BD$180,'MoodysData(Raw)'!$B$2:$B$180,"=EMP",'MoodysData(Raw)'!$D$2:$D$180,"="&amp;'Implied Productivity Ratios'!$C30)</f>
        <v>353.45552938131971</v>
      </c>
      <c r="BB30">
        <f>SUMIFS('MoodysData(Raw)'!BE$2:BE$180,'MoodysData(Raw)'!$B$2:$B$180,"=GDP",'MoodysData(Raw)'!$D$2:$D$180,"="&amp;'Implied Productivity Ratios'!$C30)/SUMIFS('MoodysData(Raw)'!BE$2:BE$180,'MoodysData(Raw)'!$B$2:$B$180,"=EMP",'MoodysData(Raw)'!$D$2:$D$180,"="&amp;'Implied Productivity Ratios'!$C30)</f>
        <v>367.43053928561767</v>
      </c>
      <c r="BC30">
        <f>SUMIFS('MoodysData(Raw)'!BF$2:BF$180,'MoodysData(Raw)'!$B$2:$B$180,"=GDP",'MoodysData(Raw)'!$D$2:$D$180,"="&amp;'Implied Productivity Ratios'!$C30)/SUMIFS('MoodysData(Raw)'!BF$2:BF$180,'MoodysData(Raw)'!$B$2:$B$180,"=EMP",'MoodysData(Raw)'!$D$2:$D$180,"="&amp;'Implied Productivity Ratios'!$C30)</f>
        <v>382.28283534872025</v>
      </c>
      <c r="BD30" s="5">
        <f t="shared" ref="BD30:BH30" si="24">BC30+($BC30-$AX30)/5</f>
        <v>395.61762164539863</v>
      </c>
      <c r="BE30" s="5">
        <f t="shared" si="24"/>
        <v>408.952407942077</v>
      </c>
      <c r="BF30" s="5">
        <f t="shared" si="24"/>
        <v>422.28719423875538</v>
      </c>
      <c r="BG30" s="5">
        <f t="shared" si="24"/>
        <v>435.62198053543375</v>
      </c>
      <c r="BH30" s="5">
        <f t="shared" si="24"/>
        <v>448.95676683211212</v>
      </c>
    </row>
    <row r="31" spans="3:60">
      <c r="C31">
        <v>336</v>
      </c>
      <c r="D31" t="s">
        <v>107</v>
      </c>
      <c r="E31">
        <f>SUMIFS('MoodysData(Raw)'!H$2:H$180,'MoodysData(Raw)'!$B$2:$B$180,"=GDP",'MoodysData(Raw)'!$D$2:$D$180,"="&amp;'Implied Productivity Ratios'!$C31)/SUMIFS('MoodysData(Raw)'!H$2:H$180,'MoodysData(Raw)'!$B$2:$B$180,"=EMP",'MoodysData(Raw)'!$D$2:$D$180,"="&amp;'Implied Productivity Ratios'!$C31)</f>
        <v>141.64372192047207</v>
      </c>
      <c r="F31">
        <f>SUMIFS('MoodysData(Raw)'!I$2:I$180,'MoodysData(Raw)'!$B$2:$B$180,"=GDP",'MoodysData(Raw)'!$D$2:$D$180,"="&amp;'Implied Productivity Ratios'!$C31)/SUMIFS('MoodysData(Raw)'!I$2:I$180,'MoodysData(Raw)'!$B$2:$B$180,"=EMP",'MoodysData(Raw)'!$D$2:$D$180,"="&amp;'Implied Productivity Ratios'!$C31)</f>
        <v>155.10271926288121</v>
      </c>
      <c r="G31">
        <f>SUMIFS('MoodysData(Raw)'!J$2:J$180,'MoodysData(Raw)'!$B$2:$B$180,"=GDP",'MoodysData(Raw)'!$D$2:$D$180,"="&amp;'Implied Productivity Ratios'!$C31)/SUMIFS('MoodysData(Raw)'!J$2:J$180,'MoodysData(Raw)'!$B$2:$B$180,"=EMP",'MoodysData(Raw)'!$D$2:$D$180,"="&amp;'Implied Productivity Ratios'!$C31)</f>
        <v>168.62432300732559</v>
      </c>
      <c r="H31">
        <f>SUMIFS('MoodysData(Raw)'!K$2:K$180,'MoodysData(Raw)'!$B$2:$B$180,"=GDP",'MoodysData(Raw)'!$D$2:$D$180,"="&amp;'Implied Productivity Ratios'!$C31)/SUMIFS('MoodysData(Raw)'!K$2:K$180,'MoodysData(Raw)'!$B$2:$B$180,"=EMP",'MoodysData(Raw)'!$D$2:$D$180,"="&amp;'Implied Productivity Ratios'!$C31)</f>
        <v>157.66804962860033</v>
      </c>
      <c r="I31">
        <f>SUMIFS('MoodysData(Raw)'!L$2:L$180,'MoodysData(Raw)'!$B$2:$B$180,"=GDP",'MoodysData(Raw)'!$D$2:$D$180,"="&amp;'Implied Productivity Ratios'!$C31)/SUMIFS('MoodysData(Raw)'!L$2:L$180,'MoodysData(Raw)'!$B$2:$B$180,"=EMP",'MoodysData(Raw)'!$D$2:$D$180,"="&amp;'Implied Productivity Ratios'!$C31)</f>
        <v>130.57542624709146</v>
      </c>
      <c r="J31">
        <f>SUMIFS('MoodysData(Raw)'!M$2:M$180,'MoodysData(Raw)'!$B$2:$B$180,"=GDP",'MoodysData(Raw)'!$D$2:$D$180,"="&amp;'Implied Productivity Ratios'!$C31)/SUMIFS('MoodysData(Raw)'!M$2:M$180,'MoodysData(Raw)'!$B$2:$B$180,"=EMP",'MoodysData(Raw)'!$D$2:$D$180,"="&amp;'Implied Productivity Ratios'!$C31)</f>
        <v>173.41191098513968</v>
      </c>
      <c r="K31">
        <f>SUMIFS('MoodysData(Raw)'!N$2:N$180,'MoodysData(Raw)'!$B$2:$B$180,"=GDP",'MoodysData(Raw)'!$D$2:$D$180,"="&amp;'Implied Productivity Ratios'!$C31)/SUMIFS('MoodysData(Raw)'!N$2:N$180,'MoodysData(Raw)'!$B$2:$B$180,"=EMP",'MoodysData(Raw)'!$D$2:$D$180,"="&amp;'Implied Productivity Ratios'!$C31)</f>
        <v>188.77809338715304</v>
      </c>
      <c r="L31">
        <f>SUMIFS('MoodysData(Raw)'!O$2:O$180,'MoodysData(Raw)'!$B$2:$B$180,"=GDP",'MoodysData(Raw)'!$D$2:$D$180,"="&amp;'Implied Productivity Ratios'!$C31)/SUMIFS('MoodysData(Raw)'!O$2:O$180,'MoodysData(Raw)'!$B$2:$B$180,"=EMP",'MoodysData(Raw)'!$D$2:$D$180,"="&amp;'Implied Productivity Ratios'!$C31)</f>
        <v>182.19710858961867</v>
      </c>
      <c r="M31">
        <f>SUMIFS('MoodysData(Raw)'!P$2:P$180,'MoodysData(Raw)'!$B$2:$B$180,"=GDP",'MoodysData(Raw)'!$D$2:$D$180,"="&amp;'Implied Productivity Ratios'!$C31)/SUMIFS('MoodysData(Raw)'!P$2:P$180,'MoodysData(Raw)'!$B$2:$B$180,"=EMP",'MoodysData(Raw)'!$D$2:$D$180,"="&amp;'Implied Productivity Ratios'!$C31)</f>
        <v>184.79582452493634</v>
      </c>
      <c r="N31">
        <f>SUMIFS('MoodysData(Raw)'!Q$2:Q$180,'MoodysData(Raw)'!$B$2:$B$180,"=GDP",'MoodysData(Raw)'!$D$2:$D$180,"="&amp;'Implied Productivity Ratios'!$C31)/SUMIFS('MoodysData(Raw)'!Q$2:Q$180,'MoodysData(Raw)'!$B$2:$B$180,"=EMP",'MoodysData(Raw)'!$D$2:$D$180,"="&amp;'Implied Productivity Ratios'!$C31)</f>
        <v>184.37452201130782</v>
      </c>
      <c r="O31">
        <f>SUMIFS('MoodysData(Raw)'!R$2:R$180,'MoodysData(Raw)'!$B$2:$B$180,"=GDP",'MoodysData(Raw)'!$D$2:$D$180,"="&amp;'Implied Productivity Ratios'!$C31)/SUMIFS('MoodysData(Raw)'!R$2:R$180,'MoodysData(Raw)'!$B$2:$B$180,"=EMP",'MoodysData(Raw)'!$D$2:$D$180,"="&amp;'Implied Productivity Ratios'!$C31)</f>
        <v>181.05726021266747</v>
      </c>
      <c r="P31">
        <f>SUMIFS('MoodysData(Raw)'!S$2:S$180,'MoodysData(Raw)'!$B$2:$B$180,"=GDP",'MoodysData(Raw)'!$D$2:$D$180,"="&amp;'Implied Productivity Ratios'!$C31)/SUMIFS('MoodysData(Raw)'!S$2:S$180,'MoodysData(Raw)'!$B$2:$B$180,"=EMP",'MoodysData(Raw)'!$D$2:$D$180,"="&amp;'Implied Productivity Ratios'!$C31)</f>
        <v>181.93320796151488</v>
      </c>
      <c r="Q31">
        <f>SUMIFS('MoodysData(Raw)'!T$2:T$180,'MoodysData(Raw)'!$B$2:$B$180,"=GDP",'MoodysData(Raw)'!$D$2:$D$180,"="&amp;'Implied Productivity Ratios'!$C31)/SUMIFS('MoodysData(Raw)'!T$2:T$180,'MoodysData(Raw)'!$B$2:$B$180,"=EMP",'MoodysData(Raw)'!$D$2:$D$180,"="&amp;'Implied Productivity Ratios'!$C31)</f>
        <v>186.62501587637914</v>
      </c>
      <c r="R31">
        <f>SUMIFS('MoodysData(Raw)'!U$2:U$180,'MoodysData(Raw)'!$B$2:$B$180,"=GDP",'MoodysData(Raw)'!$D$2:$D$180,"="&amp;'Implied Productivity Ratios'!$C31)/SUMIFS('MoodysData(Raw)'!U$2:U$180,'MoodysData(Raw)'!$B$2:$B$180,"=EMP",'MoodysData(Raw)'!$D$2:$D$180,"="&amp;'Implied Productivity Ratios'!$C31)</f>
        <v>190.01456067768399</v>
      </c>
      <c r="S31">
        <f>SUMIFS('MoodysData(Raw)'!V$2:V$180,'MoodysData(Raw)'!$B$2:$B$180,"=GDP",'MoodysData(Raw)'!$D$2:$D$180,"="&amp;'Implied Productivity Ratios'!$C31)/SUMIFS('MoodysData(Raw)'!V$2:V$180,'MoodysData(Raw)'!$B$2:$B$180,"=EMP",'MoodysData(Raw)'!$D$2:$D$180,"="&amp;'Implied Productivity Ratios'!$C31)</f>
        <v>189.47260701525275</v>
      </c>
      <c r="T31">
        <f>SUMIFS('MoodysData(Raw)'!W$2:W$180,'MoodysData(Raw)'!$B$2:$B$180,"=GDP",'MoodysData(Raw)'!$D$2:$D$180,"="&amp;'Implied Productivity Ratios'!$C31)/SUMIFS('MoodysData(Raw)'!W$2:W$180,'MoodysData(Raw)'!$B$2:$B$180,"=EMP",'MoodysData(Raw)'!$D$2:$D$180,"="&amp;'Implied Productivity Ratios'!$C31)</f>
        <v>179.03326684632751</v>
      </c>
      <c r="U31">
        <f>SUMIFS('MoodysData(Raw)'!X$2:X$180,'MoodysData(Raw)'!$B$2:$B$180,"=GDP",'MoodysData(Raw)'!$D$2:$D$180,"="&amp;'Implied Productivity Ratios'!$C31)/SUMIFS('MoodysData(Raw)'!X$2:X$180,'MoodysData(Raw)'!$B$2:$B$180,"=EMP",'MoodysData(Raw)'!$D$2:$D$180,"="&amp;'Implied Productivity Ratios'!$C31)</f>
        <v>198.88470481959982</v>
      </c>
      <c r="V31">
        <f>SUMIFS('MoodysData(Raw)'!Y$2:Y$180,'MoodysData(Raw)'!$B$2:$B$180,"=GDP",'MoodysData(Raw)'!$D$2:$D$180,"="&amp;'Implied Productivity Ratios'!$C31)/SUMIFS('MoodysData(Raw)'!Y$2:Y$180,'MoodysData(Raw)'!$B$2:$B$180,"=EMP",'MoodysData(Raw)'!$D$2:$D$180,"="&amp;'Implied Productivity Ratios'!$C31)</f>
        <v>210.56190231302375</v>
      </c>
      <c r="W31">
        <f>SUMIFS('MoodysData(Raw)'!Z$2:Z$180,'MoodysData(Raw)'!$B$2:$B$180,"=GDP",'MoodysData(Raw)'!$D$2:$D$180,"="&amp;'Implied Productivity Ratios'!$C31)/SUMIFS('MoodysData(Raw)'!Z$2:Z$180,'MoodysData(Raw)'!$B$2:$B$180,"=EMP",'MoodysData(Raw)'!$D$2:$D$180,"="&amp;'Implied Productivity Ratios'!$C31)</f>
        <v>209.19383885314343</v>
      </c>
      <c r="X31">
        <f>SUMIFS('MoodysData(Raw)'!AA$2:AA$180,'MoodysData(Raw)'!$B$2:$B$180,"=GDP",'MoodysData(Raw)'!$D$2:$D$180,"="&amp;'Implied Productivity Ratios'!$C31)/SUMIFS('MoodysData(Raw)'!AA$2:AA$180,'MoodysData(Raw)'!$B$2:$B$180,"=EMP",'MoodysData(Raw)'!$D$2:$D$180,"="&amp;'Implied Productivity Ratios'!$C31)</f>
        <v>216.25640838830031</v>
      </c>
      <c r="Y31">
        <f>SUMIFS('MoodysData(Raw)'!AB$2:AB$180,'MoodysData(Raw)'!$B$2:$B$180,"=GDP",'MoodysData(Raw)'!$D$2:$D$180,"="&amp;'Implied Productivity Ratios'!$C31)/SUMIFS('MoodysData(Raw)'!AB$2:AB$180,'MoodysData(Raw)'!$B$2:$B$180,"=EMP",'MoodysData(Raw)'!$D$2:$D$180,"="&amp;'Implied Productivity Ratios'!$C31)</f>
        <v>225.90031646392444</v>
      </c>
      <c r="Z31">
        <f>SUMIFS('MoodysData(Raw)'!AC$2:AC$180,'MoodysData(Raw)'!$B$2:$B$180,"=GDP",'MoodysData(Raw)'!$D$2:$D$180,"="&amp;'Implied Productivity Ratios'!$C31)/SUMIFS('MoodysData(Raw)'!AC$2:AC$180,'MoodysData(Raw)'!$B$2:$B$180,"=EMP",'MoodysData(Raw)'!$D$2:$D$180,"="&amp;'Implied Productivity Ratios'!$C31)</f>
        <v>215.11507638715176</v>
      </c>
      <c r="AA31">
        <f>SUMIFS('MoodysData(Raw)'!AD$2:AD$180,'MoodysData(Raw)'!$B$2:$B$180,"=GDP",'MoodysData(Raw)'!$D$2:$D$180,"="&amp;'Implied Productivity Ratios'!$C31)/SUMIFS('MoodysData(Raw)'!AD$2:AD$180,'MoodysData(Raw)'!$B$2:$B$180,"=EMP",'MoodysData(Raw)'!$D$2:$D$180,"="&amp;'Implied Productivity Ratios'!$C31)</f>
        <v>215.46256588663661</v>
      </c>
      <c r="AB31">
        <f>SUMIFS('MoodysData(Raw)'!AE$2:AE$180,'MoodysData(Raw)'!$B$2:$B$180,"=GDP",'MoodysData(Raw)'!$D$2:$D$180,"="&amp;'Implied Productivity Ratios'!$C31)/SUMIFS('MoodysData(Raw)'!AE$2:AE$180,'MoodysData(Raw)'!$B$2:$B$180,"=EMP",'MoodysData(Raw)'!$D$2:$D$180,"="&amp;'Implied Productivity Ratios'!$C31)</f>
        <v>221.7544379426846</v>
      </c>
      <c r="AC31">
        <f>SUMIFS('MoodysData(Raw)'!AF$2:AF$180,'MoodysData(Raw)'!$B$2:$B$180,"=GDP",'MoodysData(Raw)'!$D$2:$D$180,"="&amp;'Implied Productivity Ratios'!$C31)/SUMIFS('MoodysData(Raw)'!AF$2:AF$180,'MoodysData(Raw)'!$B$2:$B$180,"=EMP",'MoodysData(Raw)'!$D$2:$D$180,"="&amp;'Implied Productivity Ratios'!$C31)</f>
        <v>229.19956130243676</v>
      </c>
      <c r="AD31">
        <f>SUMIFS('MoodysData(Raw)'!AG$2:AG$180,'MoodysData(Raw)'!$B$2:$B$180,"=GDP",'MoodysData(Raw)'!$D$2:$D$180,"="&amp;'Implied Productivity Ratios'!$C31)/SUMIFS('MoodysData(Raw)'!AG$2:AG$180,'MoodysData(Raw)'!$B$2:$B$180,"=EMP",'MoodysData(Raw)'!$D$2:$D$180,"="&amp;'Implied Productivity Ratios'!$C31)</f>
        <v>236.53035805865736</v>
      </c>
      <c r="AE31">
        <f>SUMIFS('MoodysData(Raw)'!AH$2:AH$180,'MoodysData(Raw)'!$B$2:$B$180,"=GDP",'MoodysData(Raw)'!$D$2:$D$180,"="&amp;'Implied Productivity Ratios'!$C31)/SUMIFS('MoodysData(Raw)'!AH$2:AH$180,'MoodysData(Raw)'!$B$2:$B$180,"=EMP",'MoodysData(Raw)'!$D$2:$D$180,"="&amp;'Implied Productivity Ratios'!$C31)</f>
        <v>243.48838548915376</v>
      </c>
      <c r="AF31">
        <f>SUMIFS('MoodysData(Raw)'!AI$2:AI$180,'MoodysData(Raw)'!$B$2:$B$180,"=GDP",'MoodysData(Raw)'!$D$2:$D$180,"="&amp;'Implied Productivity Ratios'!$C31)/SUMIFS('MoodysData(Raw)'!AI$2:AI$180,'MoodysData(Raw)'!$B$2:$B$180,"=EMP",'MoodysData(Raw)'!$D$2:$D$180,"="&amp;'Implied Productivity Ratios'!$C31)</f>
        <v>250.32409395150609</v>
      </c>
      <c r="AG31">
        <f>SUMIFS('MoodysData(Raw)'!AJ$2:AJ$180,'MoodysData(Raw)'!$B$2:$B$180,"=GDP",'MoodysData(Raw)'!$D$2:$D$180,"="&amp;'Implied Productivity Ratios'!$C31)/SUMIFS('MoodysData(Raw)'!AJ$2:AJ$180,'MoodysData(Raw)'!$B$2:$B$180,"=EMP",'MoodysData(Raw)'!$D$2:$D$180,"="&amp;'Implied Productivity Ratios'!$C31)</f>
        <v>256.41600167438332</v>
      </c>
      <c r="AH31">
        <f>SUMIFS('MoodysData(Raw)'!AK$2:AK$180,'MoodysData(Raw)'!$B$2:$B$180,"=GDP",'MoodysData(Raw)'!$D$2:$D$180,"="&amp;'Implied Productivity Ratios'!$C31)/SUMIFS('MoodysData(Raw)'!AK$2:AK$180,'MoodysData(Raw)'!$B$2:$B$180,"=EMP",'MoodysData(Raw)'!$D$2:$D$180,"="&amp;'Implied Productivity Ratios'!$C31)</f>
        <v>260.71175136214026</v>
      </c>
      <c r="AI31">
        <f>SUMIFS('MoodysData(Raw)'!AL$2:AL$180,'MoodysData(Raw)'!$B$2:$B$180,"=GDP",'MoodysData(Raw)'!$D$2:$D$180,"="&amp;'Implied Productivity Ratios'!$C31)/SUMIFS('MoodysData(Raw)'!AL$2:AL$180,'MoodysData(Raw)'!$B$2:$B$180,"=EMP",'MoodysData(Raw)'!$D$2:$D$180,"="&amp;'Implied Productivity Ratios'!$C31)</f>
        <v>264.20641018260824</v>
      </c>
      <c r="AJ31">
        <f>SUMIFS('MoodysData(Raw)'!AM$2:AM$180,'MoodysData(Raw)'!$B$2:$B$180,"=GDP",'MoodysData(Raw)'!$D$2:$D$180,"="&amp;'Implied Productivity Ratios'!$C31)/SUMIFS('MoodysData(Raw)'!AM$2:AM$180,'MoodysData(Raw)'!$B$2:$B$180,"=EMP",'MoodysData(Raw)'!$D$2:$D$180,"="&amp;'Implied Productivity Ratios'!$C31)</f>
        <v>268.45356219583113</v>
      </c>
      <c r="AK31">
        <f>SUMIFS('MoodysData(Raw)'!AN$2:AN$180,'MoodysData(Raw)'!$B$2:$B$180,"=GDP",'MoodysData(Raw)'!$D$2:$D$180,"="&amp;'Implied Productivity Ratios'!$C31)/SUMIFS('MoodysData(Raw)'!AN$2:AN$180,'MoodysData(Raw)'!$B$2:$B$180,"=EMP",'MoodysData(Raw)'!$D$2:$D$180,"="&amp;'Implied Productivity Ratios'!$C31)</f>
        <v>273.26289689882316</v>
      </c>
      <c r="AL31">
        <f>SUMIFS('MoodysData(Raw)'!AO$2:AO$180,'MoodysData(Raw)'!$B$2:$B$180,"=GDP",'MoodysData(Raw)'!$D$2:$D$180,"="&amp;'Implied Productivity Ratios'!$C31)/SUMIFS('MoodysData(Raw)'!AO$2:AO$180,'MoodysData(Raw)'!$B$2:$B$180,"=EMP",'MoodysData(Raw)'!$D$2:$D$180,"="&amp;'Implied Productivity Ratios'!$C31)</f>
        <v>278.27083127028033</v>
      </c>
      <c r="AM31">
        <f>SUMIFS('MoodysData(Raw)'!AP$2:AP$180,'MoodysData(Raw)'!$B$2:$B$180,"=GDP",'MoodysData(Raw)'!$D$2:$D$180,"="&amp;'Implied Productivity Ratios'!$C31)/SUMIFS('MoodysData(Raw)'!AP$2:AP$180,'MoodysData(Raw)'!$B$2:$B$180,"=EMP",'MoodysData(Raw)'!$D$2:$D$180,"="&amp;'Implied Productivity Ratios'!$C31)</f>
        <v>283.17700373518983</v>
      </c>
      <c r="AN31">
        <f>SUMIFS('MoodysData(Raw)'!AQ$2:AQ$180,'MoodysData(Raw)'!$B$2:$B$180,"=GDP",'MoodysData(Raw)'!$D$2:$D$180,"="&amp;'Implied Productivity Ratios'!$C31)/SUMIFS('MoodysData(Raw)'!AQ$2:AQ$180,'MoodysData(Raw)'!$B$2:$B$180,"=EMP",'MoodysData(Raw)'!$D$2:$D$180,"="&amp;'Implied Productivity Ratios'!$C31)</f>
        <v>287.6769216309234</v>
      </c>
      <c r="AO31">
        <f>SUMIFS('MoodysData(Raw)'!AR$2:AR$180,'MoodysData(Raw)'!$B$2:$B$180,"=GDP",'MoodysData(Raw)'!$D$2:$D$180,"="&amp;'Implied Productivity Ratios'!$C31)/SUMIFS('MoodysData(Raw)'!AR$2:AR$180,'MoodysData(Raw)'!$B$2:$B$180,"=EMP",'MoodysData(Raw)'!$D$2:$D$180,"="&amp;'Implied Productivity Ratios'!$C31)</f>
        <v>291.30726452015233</v>
      </c>
      <c r="AP31">
        <f>SUMIFS('MoodysData(Raw)'!AS$2:AS$180,'MoodysData(Raw)'!$B$2:$B$180,"=GDP",'MoodysData(Raw)'!$D$2:$D$180,"="&amp;'Implied Productivity Ratios'!$C31)/SUMIFS('MoodysData(Raw)'!AS$2:AS$180,'MoodysData(Raw)'!$B$2:$B$180,"=EMP",'MoodysData(Raw)'!$D$2:$D$180,"="&amp;'Implied Productivity Ratios'!$C31)</f>
        <v>294.81159052923977</v>
      </c>
      <c r="AQ31">
        <f>SUMIFS('MoodysData(Raw)'!AT$2:AT$180,'MoodysData(Raw)'!$B$2:$B$180,"=GDP",'MoodysData(Raw)'!$D$2:$D$180,"="&amp;'Implied Productivity Ratios'!$C31)/SUMIFS('MoodysData(Raw)'!AT$2:AT$180,'MoodysData(Raw)'!$B$2:$B$180,"=EMP",'MoodysData(Raw)'!$D$2:$D$180,"="&amp;'Implied Productivity Ratios'!$C31)</f>
        <v>298.24093067521363</v>
      </c>
      <c r="AR31">
        <f>SUMIFS('MoodysData(Raw)'!AU$2:AU$180,'MoodysData(Raw)'!$B$2:$B$180,"=GDP",'MoodysData(Raw)'!$D$2:$D$180,"="&amp;'Implied Productivity Ratios'!$C31)/SUMIFS('MoodysData(Raw)'!AU$2:AU$180,'MoodysData(Raw)'!$B$2:$B$180,"=EMP",'MoodysData(Raw)'!$D$2:$D$180,"="&amp;'Implied Productivity Ratios'!$C31)</f>
        <v>302.12532660690601</v>
      </c>
      <c r="AS31">
        <f>SUMIFS('MoodysData(Raw)'!AV$2:AV$180,'MoodysData(Raw)'!$B$2:$B$180,"=GDP",'MoodysData(Raw)'!$D$2:$D$180,"="&amp;'Implied Productivity Ratios'!$C31)/SUMIFS('MoodysData(Raw)'!AV$2:AV$180,'MoodysData(Raw)'!$B$2:$B$180,"=EMP",'MoodysData(Raw)'!$D$2:$D$180,"="&amp;'Implied Productivity Ratios'!$C31)</f>
        <v>306.2408013721377</v>
      </c>
      <c r="AT31">
        <f>SUMIFS('MoodysData(Raw)'!AW$2:AW$180,'MoodysData(Raw)'!$B$2:$B$180,"=GDP",'MoodysData(Raw)'!$D$2:$D$180,"="&amp;'Implied Productivity Ratios'!$C31)/SUMIFS('MoodysData(Raw)'!AW$2:AW$180,'MoodysData(Raw)'!$B$2:$B$180,"=EMP",'MoodysData(Raw)'!$D$2:$D$180,"="&amp;'Implied Productivity Ratios'!$C31)</f>
        <v>310.22310091440772</v>
      </c>
      <c r="AU31">
        <f>SUMIFS('MoodysData(Raw)'!AX$2:AX$180,'MoodysData(Raw)'!$B$2:$B$180,"=GDP",'MoodysData(Raw)'!$D$2:$D$180,"="&amp;'Implied Productivity Ratios'!$C31)/SUMIFS('MoodysData(Raw)'!AX$2:AX$180,'MoodysData(Raw)'!$B$2:$B$180,"=EMP",'MoodysData(Raw)'!$D$2:$D$180,"="&amp;'Implied Productivity Ratios'!$C31)</f>
        <v>314.7996863873758</v>
      </c>
      <c r="AV31">
        <f>SUMIFS('MoodysData(Raw)'!AY$2:AY$180,'MoodysData(Raw)'!$B$2:$B$180,"=GDP",'MoodysData(Raw)'!$D$2:$D$180,"="&amp;'Implied Productivity Ratios'!$C31)/SUMIFS('MoodysData(Raw)'!AY$2:AY$180,'MoodysData(Raw)'!$B$2:$B$180,"=EMP",'MoodysData(Raw)'!$D$2:$D$180,"="&amp;'Implied Productivity Ratios'!$C31)</f>
        <v>320.02057567238199</v>
      </c>
      <c r="AW31">
        <f>SUMIFS('MoodysData(Raw)'!AZ$2:AZ$180,'MoodysData(Raw)'!$B$2:$B$180,"=GDP",'MoodysData(Raw)'!$D$2:$D$180,"="&amp;'Implied Productivity Ratios'!$C31)/SUMIFS('MoodysData(Raw)'!AZ$2:AZ$180,'MoodysData(Raw)'!$B$2:$B$180,"=EMP",'MoodysData(Raw)'!$D$2:$D$180,"="&amp;'Implied Productivity Ratios'!$C31)</f>
        <v>325.32179848555865</v>
      </c>
      <c r="AX31">
        <f>SUMIFS('MoodysData(Raw)'!BA$2:BA$180,'MoodysData(Raw)'!$B$2:$B$180,"=GDP",'MoodysData(Raw)'!$D$2:$D$180,"="&amp;'Implied Productivity Ratios'!$C31)/SUMIFS('MoodysData(Raw)'!BA$2:BA$180,'MoodysData(Raw)'!$B$2:$B$180,"=EMP",'MoodysData(Raw)'!$D$2:$D$180,"="&amp;'Implied Productivity Ratios'!$C31)</f>
        <v>330.69487872787153</v>
      </c>
      <c r="AY31">
        <f>SUMIFS('MoodysData(Raw)'!BB$2:BB$180,'MoodysData(Raw)'!$B$2:$B$180,"=GDP",'MoodysData(Raw)'!$D$2:$D$180,"="&amp;'Implied Productivity Ratios'!$C31)/SUMIFS('MoodysData(Raw)'!BB$2:BB$180,'MoodysData(Raw)'!$B$2:$B$180,"=EMP",'MoodysData(Raw)'!$D$2:$D$180,"="&amp;'Implied Productivity Ratios'!$C31)</f>
        <v>335.98187238146761</v>
      </c>
      <c r="AZ31">
        <f>SUMIFS('MoodysData(Raw)'!BC$2:BC$180,'MoodysData(Raw)'!$B$2:$B$180,"=GDP",'MoodysData(Raw)'!$D$2:$D$180,"="&amp;'Implied Productivity Ratios'!$C31)/SUMIFS('MoodysData(Raw)'!BC$2:BC$180,'MoodysData(Raw)'!$B$2:$B$180,"=EMP",'MoodysData(Raw)'!$D$2:$D$180,"="&amp;'Implied Productivity Ratios'!$C31)</f>
        <v>341.59274095370671</v>
      </c>
      <c r="BA31">
        <f>SUMIFS('MoodysData(Raw)'!BD$2:BD$180,'MoodysData(Raw)'!$B$2:$B$180,"=GDP",'MoodysData(Raw)'!$D$2:$D$180,"="&amp;'Implied Productivity Ratios'!$C31)/SUMIFS('MoodysData(Raw)'!BD$2:BD$180,'MoodysData(Raw)'!$B$2:$B$180,"=EMP",'MoodysData(Raw)'!$D$2:$D$180,"="&amp;'Implied Productivity Ratios'!$C31)</f>
        <v>347.38916642317639</v>
      </c>
      <c r="BB31">
        <f>SUMIFS('MoodysData(Raw)'!BE$2:BE$180,'MoodysData(Raw)'!$B$2:$B$180,"=GDP",'MoodysData(Raw)'!$D$2:$D$180,"="&amp;'Implied Productivity Ratios'!$C31)/SUMIFS('MoodysData(Raw)'!BE$2:BE$180,'MoodysData(Raw)'!$B$2:$B$180,"=EMP",'MoodysData(Raw)'!$D$2:$D$180,"="&amp;'Implied Productivity Ratios'!$C31)</f>
        <v>353.40284377258757</v>
      </c>
      <c r="BC31">
        <f>SUMIFS('MoodysData(Raw)'!BF$2:BF$180,'MoodysData(Raw)'!$B$2:$B$180,"=GDP",'MoodysData(Raw)'!$D$2:$D$180,"="&amp;'Implied Productivity Ratios'!$C31)/SUMIFS('MoodysData(Raw)'!BF$2:BF$180,'MoodysData(Raw)'!$B$2:$B$180,"=EMP",'MoodysData(Raw)'!$D$2:$D$180,"="&amp;'Implied Productivity Ratios'!$C31)</f>
        <v>359.79937006536636</v>
      </c>
      <c r="BD31" s="5">
        <f t="shared" ref="BD31:BH31" si="25">BC31+($BC31-$AX31)/5</f>
        <v>365.62026833286535</v>
      </c>
      <c r="BE31" s="5">
        <f t="shared" si="25"/>
        <v>371.44116660036434</v>
      </c>
      <c r="BF31" s="5">
        <f t="shared" si="25"/>
        <v>377.26206486786333</v>
      </c>
      <c r="BG31" s="5">
        <f t="shared" si="25"/>
        <v>383.08296313536232</v>
      </c>
      <c r="BH31" s="5">
        <f t="shared" si="25"/>
        <v>388.90386140286131</v>
      </c>
    </row>
    <row r="32" spans="3:60">
      <c r="C32">
        <v>337</v>
      </c>
      <c r="D32" t="s">
        <v>111</v>
      </c>
      <c r="E32">
        <f>SUMIFS('MoodysData(Raw)'!H$2:H$180,'MoodysData(Raw)'!$B$2:$B$180,"=GDP",'MoodysData(Raw)'!$D$2:$D$180,"="&amp;'Implied Productivity Ratios'!$C32)/SUMIFS('MoodysData(Raw)'!H$2:H$180,'MoodysData(Raw)'!$B$2:$B$180,"=EMP",'MoodysData(Raw)'!$D$2:$D$180,"="&amp;'Implied Productivity Ratios'!$C32)</f>
        <v>72.498282976081114</v>
      </c>
      <c r="F32">
        <f>SUMIFS('MoodysData(Raw)'!I$2:I$180,'MoodysData(Raw)'!$B$2:$B$180,"=GDP",'MoodysData(Raw)'!$D$2:$D$180,"="&amp;'Implied Productivity Ratios'!$C32)/SUMIFS('MoodysData(Raw)'!I$2:I$180,'MoodysData(Raw)'!$B$2:$B$180,"=EMP",'MoodysData(Raw)'!$D$2:$D$180,"="&amp;'Implied Productivity Ratios'!$C32)</f>
        <v>74.523050479980597</v>
      </c>
      <c r="G32">
        <f>SUMIFS('MoodysData(Raw)'!J$2:J$180,'MoodysData(Raw)'!$B$2:$B$180,"=GDP",'MoodysData(Raw)'!$D$2:$D$180,"="&amp;'Implied Productivity Ratios'!$C32)/SUMIFS('MoodysData(Raw)'!J$2:J$180,'MoodysData(Raw)'!$B$2:$B$180,"=EMP",'MoodysData(Raw)'!$D$2:$D$180,"="&amp;'Implied Productivity Ratios'!$C32)</f>
        <v>72.086150160015222</v>
      </c>
      <c r="H32">
        <f>SUMIFS('MoodysData(Raw)'!K$2:K$180,'MoodysData(Raw)'!$B$2:$B$180,"=GDP",'MoodysData(Raw)'!$D$2:$D$180,"="&amp;'Implied Productivity Ratios'!$C32)/SUMIFS('MoodysData(Raw)'!K$2:K$180,'MoodysData(Raw)'!$B$2:$B$180,"=EMP",'MoodysData(Raw)'!$D$2:$D$180,"="&amp;'Implied Productivity Ratios'!$C32)</f>
        <v>67.821396912858376</v>
      </c>
      <c r="I32">
        <f>SUMIFS('MoodysData(Raw)'!L$2:L$180,'MoodysData(Raw)'!$B$2:$B$180,"=GDP",'MoodysData(Raw)'!$D$2:$D$180,"="&amp;'Implied Productivity Ratios'!$C32)/SUMIFS('MoodysData(Raw)'!L$2:L$180,'MoodysData(Raw)'!$B$2:$B$180,"=EMP",'MoodysData(Raw)'!$D$2:$D$180,"="&amp;'Implied Productivity Ratios'!$C32)</f>
        <v>61.84863459037711</v>
      </c>
      <c r="J32">
        <f>SUMIFS('MoodysData(Raw)'!M$2:M$180,'MoodysData(Raw)'!$B$2:$B$180,"=GDP",'MoodysData(Raw)'!$D$2:$D$180,"="&amp;'Implied Productivity Ratios'!$C32)/SUMIFS('MoodysData(Raw)'!M$2:M$180,'MoodysData(Raw)'!$B$2:$B$180,"=EMP",'MoodysData(Raw)'!$D$2:$D$180,"="&amp;'Implied Productivity Ratios'!$C32)</f>
        <v>67.184064664480189</v>
      </c>
      <c r="K32">
        <f>SUMIFS('MoodysData(Raw)'!N$2:N$180,'MoodysData(Raw)'!$B$2:$B$180,"=GDP",'MoodysData(Raw)'!$D$2:$D$180,"="&amp;'Implied Productivity Ratios'!$C32)/SUMIFS('MoodysData(Raw)'!N$2:N$180,'MoodysData(Raw)'!$B$2:$B$180,"=EMP",'MoodysData(Raw)'!$D$2:$D$180,"="&amp;'Implied Productivity Ratios'!$C32)</f>
        <v>68.826171349229966</v>
      </c>
      <c r="L32">
        <f>SUMIFS('MoodysData(Raw)'!O$2:O$180,'MoodysData(Raw)'!$B$2:$B$180,"=GDP",'MoodysData(Raw)'!$D$2:$D$180,"="&amp;'Implied Productivity Ratios'!$C32)/SUMIFS('MoodysData(Raw)'!O$2:O$180,'MoodysData(Raw)'!$B$2:$B$180,"=EMP",'MoodysData(Raw)'!$D$2:$D$180,"="&amp;'Implied Productivity Ratios'!$C32)</f>
        <v>66.797355926309194</v>
      </c>
      <c r="M32">
        <f>SUMIFS('MoodysData(Raw)'!P$2:P$180,'MoodysData(Raw)'!$B$2:$B$180,"=GDP",'MoodysData(Raw)'!$D$2:$D$180,"="&amp;'Implied Productivity Ratios'!$C32)/SUMIFS('MoodysData(Raw)'!P$2:P$180,'MoodysData(Raw)'!$B$2:$B$180,"=EMP",'MoodysData(Raw)'!$D$2:$D$180,"="&amp;'Implied Productivity Ratios'!$C32)</f>
        <v>71.256405627230677</v>
      </c>
      <c r="N32">
        <f>SUMIFS('MoodysData(Raw)'!Q$2:Q$180,'MoodysData(Raw)'!$B$2:$B$180,"=GDP",'MoodysData(Raw)'!$D$2:$D$180,"="&amp;'Implied Productivity Ratios'!$C32)/SUMIFS('MoodysData(Raw)'!Q$2:Q$180,'MoodysData(Raw)'!$B$2:$B$180,"=EMP",'MoodysData(Raw)'!$D$2:$D$180,"="&amp;'Implied Productivity Ratios'!$C32)</f>
        <v>73.690370555861008</v>
      </c>
      <c r="O32">
        <f>SUMIFS('MoodysData(Raw)'!R$2:R$180,'MoodysData(Raw)'!$B$2:$B$180,"=GDP",'MoodysData(Raw)'!$D$2:$D$180,"="&amp;'Implied Productivity Ratios'!$C32)/SUMIFS('MoodysData(Raw)'!R$2:R$180,'MoodysData(Raw)'!$B$2:$B$180,"=EMP",'MoodysData(Raw)'!$D$2:$D$180,"="&amp;'Implied Productivity Ratios'!$C32)</f>
        <v>76.94432102083006</v>
      </c>
      <c r="P32">
        <f>SUMIFS('MoodysData(Raw)'!S$2:S$180,'MoodysData(Raw)'!$B$2:$B$180,"=GDP",'MoodysData(Raw)'!$D$2:$D$180,"="&amp;'Implied Productivity Ratios'!$C32)/SUMIFS('MoodysData(Raw)'!S$2:S$180,'MoodysData(Raw)'!$B$2:$B$180,"=EMP",'MoodysData(Raw)'!$D$2:$D$180,"="&amp;'Implied Productivity Ratios'!$C32)</f>
        <v>76.052347509259093</v>
      </c>
      <c r="Q32">
        <f>SUMIFS('MoodysData(Raw)'!T$2:T$180,'MoodysData(Raw)'!$B$2:$B$180,"=GDP",'MoodysData(Raw)'!$D$2:$D$180,"="&amp;'Implied Productivity Ratios'!$C32)/SUMIFS('MoodysData(Raw)'!T$2:T$180,'MoodysData(Raw)'!$B$2:$B$180,"=EMP",'MoodysData(Raw)'!$D$2:$D$180,"="&amp;'Implied Productivity Ratios'!$C32)</f>
        <v>74.887720380338308</v>
      </c>
      <c r="R32">
        <f>SUMIFS('MoodysData(Raw)'!U$2:U$180,'MoodysData(Raw)'!$B$2:$B$180,"=GDP",'MoodysData(Raw)'!$D$2:$D$180,"="&amp;'Implied Productivity Ratios'!$C32)/SUMIFS('MoodysData(Raw)'!U$2:U$180,'MoodysData(Raw)'!$B$2:$B$180,"=EMP",'MoodysData(Raw)'!$D$2:$D$180,"="&amp;'Implied Productivity Ratios'!$C32)</f>
        <v>78.051061417971965</v>
      </c>
      <c r="S32">
        <f>SUMIFS('MoodysData(Raw)'!V$2:V$180,'MoodysData(Raw)'!$B$2:$B$180,"=GDP",'MoodysData(Raw)'!$D$2:$D$180,"="&amp;'Implied Productivity Ratios'!$C32)/SUMIFS('MoodysData(Raw)'!V$2:V$180,'MoodysData(Raw)'!$B$2:$B$180,"=EMP",'MoodysData(Raw)'!$D$2:$D$180,"="&amp;'Implied Productivity Ratios'!$C32)</f>
        <v>75.285581809798629</v>
      </c>
      <c r="T32">
        <f>SUMIFS('MoodysData(Raw)'!W$2:W$180,'MoodysData(Raw)'!$B$2:$B$180,"=GDP",'MoodysData(Raw)'!$D$2:$D$180,"="&amp;'Implied Productivity Ratios'!$C32)/SUMIFS('MoodysData(Raw)'!W$2:W$180,'MoodysData(Raw)'!$B$2:$B$180,"=EMP",'MoodysData(Raw)'!$D$2:$D$180,"="&amp;'Implied Productivity Ratios'!$C32)</f>
        <v>75.460972936561177</v>
      </c>
      <c r="U32">
        <f>SUMIFS('MoodysData(Raw)'!X$2:X$180,'MoodysData(Raw)'!$B$2:$B$180,"=GDP",'MoodysData(Raw)'!$D$2:$D$180,"="&amp;'Implied Productivity Ratios'!$C32)/SUMIFS('MoodysData(Raw)'!X$2:X$180,'MoodysData(Raw)'!$B$2:$B$180,"=EMP",'MoodysData(Raw)'!$D$2:$D$180,"="&amp;'Implied Productivity Ratios'!$C32)</f>
        <v>77.608935295116467</v>
      </c>
      <c r="V32">
        <f>SUMIFS('MoodysData(Raw)'!Y$2:Y$180,'MoodysData(Raw)'!$B$2:$B$180,"=GDP",'MoodysData(Raw)'!$D$2:$D$180,"="&amp;'Implied Productivity Ratios'!$C32)/SUMIFS('MoodysData(Raw)'!Y$2:Y$180,'MoodysData(Raw)'!$B$2:$B$180,"=EMP",'MoodysData(Raw)'!$D$2:$D$180,"="&amp;'Implied Productivity Ratios'!$C32)</f>
        <v>72.295745494337424</v>
      </c>
      <c r="W32">
        <f>SUMIFS('MoodysData(Raw)'!Z$2:Z$180,'MoodysData(Raw)'!$B$2:$B$180,"=GDP",'MoodysData(Raw)'!$D$2:$D$180,"="&amp;'Implied Productivity Ratios'!$C32)/SUMIFS('MoodysData(Raw)'!Z$2:Z$180,'MoodysData(Raw)'!$B$2:$B$180,"=EMP",'MoodysData(Raw)'!$D$2:$D$180,"="&amp;'Implied Productivity Ratios'!$C32)</f>
        <v>61.813718842387914</v>
      </c>
      <c r="X32">
        <f>SUMIFS('MoodysData(Raw)'!AA$2:AA$180,'MoodysData(Raw)'!$B$2:$B$180,"=GDP",'MoodysData(Raw)'!$D$2:$D$180,"="&amp;'Implied Productivity Ratios'!$C32)/SUMIFS('MoodysData(Raw)'!AA$2:AA$180,'MoodysData(Raw)'!$B$2:$B$180,"=EMP",'MoodysData(Raw)'!$D$2:$D$180,"="&amp;'Implied Productivity Ratios'!$C32)</f>
        <v>61.559739058119867</v>
      </c>
      <c r="Y32">
        <f>SUMIFS('MoodysData(Raw)'!AB$2:AB$180,'MoodysData(Raw)'!$B$2:$B$180,"=GDP",'MoodysData(Raw)'!$D$2:$D$180,"="&amp;'Implied Productivity Ratios'!$C32)/SUMIFS('MoodysData(Raw)'!AB$2:AB$180,'MoodysData(Raw)'!$B$2:$B$180,"=EMP",'MoodysData(Raw)'!$D$2:$D$180,"="&amp;'Implied Productivity Ratios'!$C32)</f>
        <v>62.18369337057667</v>
      </c>
      <c r="Z32">
        <f>SUMIFS('MoodysData(Raw)'!AC$2:AC$180,'MoodysData(Raw)'!$B$2:$B$180,"=GDP",'MoodysData(Raw)'!$D$2:$D$180,"="&amp;'Implied Productivity Ratios'!$C32)/SUMIFS('MoodysData(Raw)'!AC$2:AC$180,'MoodysData(Raw)'!$B$2:$B$180,"=EMP",'MoodysData(Raw)'!$D$2:$D$180,"="&amp;'Implied Productivity Ratios'!$C32)</f>
        <v>63.084119939439987</v>
      </c>
      <c r="AA32">
        <f>SUMIFS('MoodysData(Raw)'!AD$2:AD$180,'MoodysData(Raw)'!$B$2:$B$180,"=GDP",'MoodysData(Raw)'!$D$2:$D$180,"="&amp;'Implied Productivity Ratios'!$C32)/SUMIFS('MoodysData(Raw)'!AD$2:AD$180,'MoodysData(Raw)'!$B$2:$B$180,"=EMP",'MoodysData(Raw)'!$D$2:$D$180,"="&amp;'Implied Productivity Ratios'!$C32)</f>
        <v>63.743503561616926</v>
      </c>
      <c r="AB32">
        <f>SUMIFS('MoodysData(Raw)'!AE$2:AE$180,'MoodysData(Raw)'!$B$2:$B$180,"=GDP",'MoodysData(Raw)'!$D$2:$D$180,"="&amp;'Implied Productivity Ratios'!$C32)/SUMIFS('MoodysData(Raw)'!AE$2:AE$180,'MoodysData(Raw)'!$B$2:$B$180,"=EMP",'MoodysData(Raw)'!$D$2:$D$180,"="&amp;'Implied Productivity Ratios'!$C32)</f>
        <v>64.394039130138381</v>
      </c>
      <c r="AC32">
        <f>SUMIFS('MoodysData(Raw)'!AF$2:AF$180,'MoodysData(Raw)'!$B$2:$B$180,"=GDP",'MoodysData(Raw)'!$D$2:$D$180,"="&amp;'Implied Productivity Ratios'!$C32)/SUMIFS('MoodysData(Raw)'!AF$2:AF$180,'MoodysData(Raw)'!$B$2:$B$180,"=EMP",'MoodysData(Raw)'!$D$2:$D$180,"="&amp;'Implied Productivity Ratios'!$C32)</f>
        <v>65.350233805303944</v>
      </c>
      <c r="AD32">
        <f>SUMIFS('MoodysData(Raw)'!AG$2:AG$180,'MoodysData(Raw)'!$B$2:$B$180,"=GDP",'MoodysData(Raw)'!$D$2:$D$180,"="&amp;'Implied Productivity Ratios'!$C32)/SUMIFS('MoodysData(Raw)'!AG$2:AG$180,'MoodysData(Raw)'!$B$2:$B$180,"=EMP",'MoodysData(Raw)'!$D$2:$D$180,"="&amp;'Implied Productivity Ratios'!$C32)</f>
        <v>66.394431864319955</v>
      </c>
      <c r="AE32">
        <f>SUMIFS('MoodysData(Raw)'!AH$2:AH$180,'MoodysData(Raw)'!$B$2:$B$180,"=GDP",'MoodysData(Raw)'!$D$2:$D$180,"="&amp;'Implied Productivity Ratios'!$C32)/SUMIFS('MoodysData(Raw)'!AH$2:AH$180,'MoodysData(Raw)'!$B$2:$B$180,"=EMP",'MoodysData(Raw)'!$D$2:$D$180,"="&amp;'Implied Productivity Ratios'!$C32)</f>
        <v>67.184923391103965</v>
      </c>
      <c r="AF32">
        <f>SUMIFS('MoodysData(Raw)'!AI$2:AI$180,'MoodysData(Raw)'!$B$2:$B$180,"=GDP",'MoodysData(Raw)'!$D$2:$D$180,"="&amp;'Implied Productivity Ratios'!$C32)/SUMIFS('MoodysData(Raw)'!AI$2:AI$180,'MoodysData(Raw)'!$B$2:$B$180,"=EMP",'MoodysData(Raw)'!$D$2:$D$180,"="&amp;'Implied Productivity Ratios'!$C32)</f>
        <v>68.027203398645568</v>
      </c>
      <c r="AG32">
        <f>SUMIFS('MoodysData(Raw)'!AJ$2:AJ$180,'MoodysData(Raw)'!$B$2:$B$180,"=GDP",'MoodysData(Raw)'!$D$2:$D$180,"="&amp;'Implied Productivity Ratios'!$C32)/SUMIFS('MoodysData(Raw)'!AJ$2:AJ$180,'MoodysData(Raw)'!$B$2:$B$180,"=EMP",'MoodysData(Raw)'!$D$2:$D$180,"="&amp;'Implied Productivity Ratios'!$C32)</f>
        <v>68.952738172168679</v>
      </c>
      <c r="AH32">
        <f>SUMIFS('MoodysData(Raw)'!AK$2:AK$180,'MoodysData(Raw)'!$B$2:$B$180,"=GDP",'MoodysData(Raw)'!$D$2:$D$180,"="&amp;'Implied Productivity Ratios'!$C32)/SUMIFS('MoodysData(Raw)'!AK$2:AK$180,'MoodysData(Raw)'!$B$2:$B$180,"=EMP",'MoodysData(Raw)'!$D$2:$D$180,"="&amp;'Implied Productivity Ratios'!$C32)</f>
        <v>69.847984501487588</v>
      </c>
      <c r="AI32">
        <f>SUMIFS('MoodysData(Raw)'!AL$2:AL$180,'MoodysData(Raw)'!$B$2:$B$180,"=GDP",'MoodysData(Raw)'!$D$2:$D$180,"="&amp;'Implied Productivity Ratios'!$C32)/SUMIFS('MoodysData(Raw)'!AL$2:AL$180,'MoodysData(Raw)'!$B$2:$B$180,"=EMP",'MoodysData(Raw)'!$D$2:$D$180,"="&amp;'Implied Productivity Ratios'!$C32)</f>
        <v>70.763721222956477</v>
      </c>
      <c r="AJ32">
        <f>SUMIFS('MoodysData(Raw)'!AM$2:AM$180,'MoodysData(Raw)'!$B$2:$B$180,"=GDP",'MoodysData(Raw)'!$D$2:$D$180,"="&amp;'Implied Productivity Ratios'!$C32)/SUMIFS('MoodysData(Raw)'!AM$2:AM$180,'MoodysData(Raw)'!$B$2:$B$180,"=EMP",'MoodysData(Raw)'!$D$2:$D$180,"="&amp;'Implied Productivity Ratios'!$C32)</f>
        <v>71.79846985227995</v>
      </c>
      <c r="AK32">
        <f>SUMIFS('MoodysData(Raw)'!AN$2:AN$180,'MoodysData(Raw)'!$B$2:$B$180,"=GDP",'MoodysData(Raw)'!$D$2:$D$180,"="&amp;'Implied Productivity Ratios'!$C32)/SUMIFS('MoodysData(Raw)'!AN$2:AN$180,'MoodysData(Raw)'!$B$2:$B$180,"=EMP",'MoodysData(Raw)'!$D$2:$D$180,"="&amp;'Implied Productivity Ratios'!$C32)</f>
        <v>72.890667027557399</v>
      </c>
      <c r="AL32">
        <f>SUMIFS('MoodysData(Raw)'!AO$2:AO$180,'MoodysData(Raw)'!$B$2:$B$180,"=GDP",'MoodysData(Raw)'!$D$2:$D$180,"="&amp;'Implied Productivity Ratios'!$C32)/SUMIFS('MoodysData(Raw)'!AO$2:AO$180,'MoodysData(Raw)'!$B$2:$B$180,"=EMP",'MoodysData(Raw)'!$D$2:$D$180,"="&amp;'Implied Productivity Ratios'!$C32)</f>
        <v>73.975474272810061</v>
      </c>
      <c r="AM32">
        <f>SUMIFS('MoodysData(Raw)'!AP$2:AP$180,'MoodysData(Raw)'!$B$2:$B$180,"=GDP",'MoodysData(Raw)'!$D$2:$D$180,"="&amp;'Implied Productivity Ratios'!$C32)/SUMIFS('MoodysData(Raw)'!AP$2:AP$180,'MoodysData(Raw)'!$B$2:$B$180,"=EMP",'MoodysData(Raw)'!$D$2:$D$180,"="&amp;'Implied Productivity Ratios'!$C32)</f>
        <v>75.153351504859216</v>
      </c>
      <c r="AN32">
        <f>SUMIFS('MoodysData(Raw)'!AQ$2:AQ$180,'MoodysData(Raw)'!$B$2:$B$180,"=GDP",'MoodysData(Raw)'!$D$2:$D$180,"="&amp;'Implied Productivity Ratios'!$C32)/SUMIFS('MoodysData(Raw)'!AQ$2:AQ$180,'MoodysData(Raw)'!$B$2:$B$180,"=EMP",'MoodysData(Raw)'!$D$2:$D$180,"="&amp;'Implied Productivity Ratios'!$C32)</f>
        <v>76.249807603951297</v>
      </c>
      <c r="AO32">
        <f>SUMIFS('MoodysData(Raw)'!AR$2:AR$180,'MoodysData(Raw)'!$B$2:$B$180,"=GDP",'MoodysData(Raw)'!$D$2:$D$180,"="&amp;'Implied Productivity Ratios'!$C32)/SUMIFS('MoodysData(Raw)'!AR$2:AR$180,'MoodysData(Raw)'!$B$2:$B$180,"=EMP",'MoodysData(Raw)'!$D$2:$D$180,"="&amp;'Implied Productivity Ratios'!$C32)</f>
        <v>77.255173349812594</v>
      </c>
      <c r="AP32">
        <f>SUMIFS('MoodysData(Raw)'!AS$2:AS$180,'MoodysData(Raw)'!$B$2:$B$180,"=GDP",'MoodysData(Raw)'!$D$2:$D$180,"="&amp;'Implied Productivity Ratios'!$C32)/SUMIFS('MoodysData(Raw)'!AS$2:AS$180,'MoodysData(Raw)'!$B$2:$B$180,"=EMP",'MoodysData(Raw)'!$D$2:$D$180,"="&amp;'Implied Productivity Ratios'!$C32)</f>
        <v>78.295647780333127</v>
      </c>
      <c r="AQ32">
        <f>SUMIFS('MoodysData(Raw)'!AT$2:AT$180,'MoodysData(Raw)'!$B$2:$B$180,"=GDP",'MoodysData(Raw)'!$D$2:$D$180,"="&amp;'Implied Productivity Ratios'!$C32)/SUMIFS('MoodysData(Raw)'!AT$2:AT$180,'MoodysData(Raw)'!$B$2:$B$180,"=EMP",'MoodysData(Raw)'!$D$2:$D$180,"="&amp;'Implied Productivity Ratios'!$C32)</f>
        <v>79.341312623991627</v>
      </c>
      <c r="AR32">
        <f>SUMIFS('MoodysData(Raw)'!AU$2:AU$180,'MoodysData(Raw)'!$B$2:$B$180,"=GDP",'MoodysData(Raw)'!$D$2:$D$180,"="&amp;'Implied Productivity Ratios'!$C32)/SUMIFS('MoodysData(Raw)'!AU$2:AU$180,'MoodysData(Raw)'!$B$2:$B$180,"=EMP",'MoodysData(Raw)'!$D$2:$D$180,"="&amp;'Implied Productivity Ratios'!$C32)</f>
        <v>80.492608009608702</v>
      </c>
      <c r="AS32">
        <f>SUMIFS('MoodysData(Raw)'!AV$2:AV$180,'MoodysData(Raw)'!$B$2:$B$180,"=GDP",'MoodysData(Raw)'!$D$2:$D$180,"="&amp;'Implied Productivity Ratios'!$C32)/SUMIFS('MoodysData(Raw)'!AV$2:AV$180,'MoodysData(Raw)'!$B$2:$B$180,"=EMP",'MoodysData(Raw)'!$D$2:$D$180,"="&amp;'Implied Productivity Ratios'!$C32)</f>
        <v>81.659534569062458</v>
      </c>
      <c r="AT32">
        <f>SUMIFS('MoodysData(Raw)'!AW$2:AW$180,'MoodysData(Raw)'!$B$2:$B$180,"=GDP",'MoodysData(Raw)'!$D$2:$D$180,"="&amp;'Implied Productivity Ratios'!$C32)/SUMIFS('MoodysData(Raw)'!AW$2:AW$180,'MoodysData(Raw)'!$B$2:$B$180,"=EMP",'MoodysData(Raw)'!$D$2:$D$180,"="&amp;'Implied Productivity Ratios'!$C32)</f>
        <v>82.780642944638643</v>
      </c>
      <c r="AU32">
        <f>SUMIFS('MoodysData(Raw)'!AX$2:AX$180,'MoodysData(Raw)'!$B$2:$B$180,"=GDP",'MoodysData(Raw)'!$D$2:$D$180,"="&amp;'Implied Productivity Ratios'!$C32)/SUMIFS('MoodysData(Raw)'!AX$2:AX$180,'MoodysData(Raw)'!$B$2:$B$180,"=EMP",'MoodysData(Raw)'!$D$2:$D$180,"="&amp;'Implied Productivity Ratios'!$C32)</f>
        <v>84.036129416829496</v>
      </c>
      <c r="AV32">
        <f>SUMIFS('MoodysData(Raw)'!AY$2:AY$180,'MoodysData(Raw)'!$B$2:$B$180,"=GDP",'MoodysData(Raw)'!$D$2:$D$180,"="&amp;'Implied Productivity Ratios'!$C32)/SUMIFS('MoodysData(Raw)'!AY$2:AY$180,'MoodysData(Raw)'!$B$2:$B$180,"=EMP",'MoodysData(Raw)'!$D$2:$D$180,"="&amp;'Implied Productivity Ratios'!$C32)</f>
        <v>85.432896828170541</v>
      </c>
      <c r="AW32">
        <f>SUMIFS('MoodysData(Raw)'!AZ$2:AZ$180,'MoodysData(Raw)'!$B$2:$B$180,"=GDP",'MoodysData(Raw)'!$D$2:$D$180,"="&amp;'Implied Productivity Ratios'!$C32)/SUMIFS('MoodysData(Raw)'!AZ$2:AZ$180,'MoodysData(Raw)'!$B$2:$B$180,"=EMP",'MoodysData(Raw)'!$D$2:$D$180,"="&amp;'Implied Productivity Ratios'!$C32)</f>
        <v>86.878434921316597</v>
      </c>
      <c r="AX32">
        <f>SUMIFS('MoodysData(Raw)'!BA$2:BA$180,'MoodysData(Raw)'!$B$2:$B$180,"=GDP",'MoodysData(Raw)'!$D$2:$D$180,"="&amp;'Implied Productivity Ratios'!$C32)/SUMIFS('MoodysData(Raw)'!BA$2:BA$180,'MoodysData(Raw)'!$B$2:$B$180,"=EMP",'MoodysData(Raw)'!$D$2:$D$180,"="&amp;'Implied Productivity Ratios'!$C32)</f>
        <v>88.466958648012877</v>
      </c>
      <c r="AY32">
        <f>SUMIFS('MoodysData(Raw)'!BB$2:BB$180,'MoodysData(Raw)'!$B$2:$B$180,"=GDP",'MoodysData(Raw)'!$D$2:$D$180,"="&amp;'Implied Productivity Ratios'!$C32)/SUMIFS('MoodysData(Raw)'!BB$2:BB$180,'MoodysData(Raw)'!$B$2:$B$180,"=EMP",'MoodysData(Raw)'!$D$2:$D$180,"="&amp;'Implied Productivity Ratios'!$C32)</f>
        <v>90.09636495410895</v>
      </c>
      <c r="AZ32">
        <f>SUMIFS('MoodysData(Raw)'!BC$2:BC$180,'MoodysData(Raw)'!$B$2:$B$180,"=GDP",'MoodysData(Raw)'!$D$2:$D$180,"="&amp;'Implied Productivity Ratios'!$C32)/SUMIFS('MoodysData(Raw)'!BC$2:BC$180,'MoodysData(Raw)'!$B$2:$B$180,"=EMP",'MoodysData(Raw)'!$D$2:$D$180,"="&amp;'Implied Productivity Ratios'!$C32)</f>
        <v>91.780911836453882</v>
      </c>
      <c r="BA32">
        <f>SUMIFS('MoodysData(Raw)'!BD$2:BD$180,'MoodysData(Raw)'!$B$2:$B$180,"=GDP",'MoodysData(Raw)'!$D$2:$D$180,"="&amp;'Implied Productivity Ratios'!$C32)/SUMIFS('MoodysData(Raw)'!BD$2:BD$180,'MoodysData(Raw)'!$B$2:$B$180,"=EMP",'MoodysData(Raw)'!$D$2:$D$180,"="&amp;'Implied Productivity Ratios'!$C32)</f>
        <v>93.522164941876028</v>
      </c>
      <c r="BB32">
        <f>SUMIFS('MoodysData(Raw)'!BE$2:BE$180,'MoodysData(Raw)'!$B$2:$B$180,"=GDP",'MoodysData(Raw)'!$D$2:$D$180,"="&amp;'Implied Productivity Ratios'!$C32)/SUMIFS('MoodysData(Raw)'!BE$2:BE$180,'MoodysData(Raw)'!$B$2:$B$180,"=EMP",'MoodysData(Raw)'!$D$2:$D$180,"="&amp;'Implied Productivity Ratios'!$C32)</f>
        <v>95.360991299354481</v>
      </c>
      <c r="BC32">
        <f>SUMIFS('MoodysData(Raw)'!BF$2:BF$180,'MoodysData(Raw)'!$B$2:$B$180,"=GDP",'MoodysData(Raw)'!$D$2:$D$180,"="&amp;'Implied Productivity Ratios'!$C32)/SUMIFS('MoodysData(Raw)'!BF$2:BF$180,'MoodysData(Raw)'!$B$2:$B$180,"=EMP",'MoodysData(Raw)'!$D$2:$D$180,"="&amp;'Implied Productivity Ratios'!$C32)</f>
        <v>97.288877212335223</v>
      </c>
      <c r="BD32" s="5">
        <f t="shared" ref="BD32:BH32" si="26">BC32+($BC32-$AX32)/5</f>
        <v>99.053260925199694</v>
      </c>
      <c r="BE32" s="5">
        <f t="shared" si="26"/>
        <v>100.81764463806417</v>
      </c>
      <c r="BF32" s="5">
        <f t="shared" si="26"/>
        <v>102.58202835092864</v>
      </c>
      <c r="BG32" s="5">
        <f t="shared" si="26"/>
        <v>104.34641206379311</v>
      </c>
      <c r="BH32" s="5">
        <f t="shared" si="26"/>
        <v>106.11079577665758</v>
      </c>
    </row>
    <row r="33" spans="3:60">
      <c r="C33">
        <v>339</v>
      </c>
      <c r="D33" t="s">
        <v>115</v>
      </c>
      <c r="E33">
        <f>SUMIFS('MoodysData(Raw)'!H$2:H$180,'MoodysData(Raw)'!$B$2:$B$180,"=GDP",'MoodysData(Raw)'!$D$2:$D$180,"="&amp;'Implied Productivity Ratios'!$C33)/SUMIFS('MoodysData(Raw)'!H$2:H$180,'MoodysData(Raw)'!$B$2:$B$180,"=EMP",'MoodysData(Raw)'!$D$2:$D$180,"="&amp;'Implied Productivity Ratios'!$C33)</f>
        <v>108.87852626908715</v>
      </c>
      <c r="F33">
        <f>SUMIFS('MoodysData(Raw)'!I$2:I$180,'MoodysData(Raw)'!$B$2:$B$180,"=GDP",'MoodysData(Raw)'!$D$2:$D$180,"="&amp;'Implied Productivity Ratios'!$C33)/SUMIFS('MoodysData(Raw)'!I$2:I$180,'MoodysData(Raw)'!$B$2:$B$180,"=EMP",'MoodysData(Raw)'!$D$2:$D$180,"="&amp;'Implied Productivity Ratios'!$C33)</f>
        <v>117.04017710826237</v>
      </c>
      <c r="G33">
        <f>SUMIFS('MoodysData(Raw)'!J$2:J$180,'MoodysData(Raw)'!$B$2:$B$180,"=GDP",'MoodysData(Raw)'!$D$2:$D$180,"="&amp;'Implied Productivity Ratios'!$C33)/SUMIFS('MoodysData(Raw)'!J$2:J$180,'MoodysData(Raw)'!$B$2:$B$180,"=EMP",'MoodysData(Raw)'!$D$2:$D$180,"="&amp;'Implied Productivity Ratios'!$C33)</f>
        <v>120.46681436639935</v>
      </c>
      <c r="H33">
        <f>SUMIFS('MoodysData(Raw)'!K$2:K$180,'MoodysData(Raw)'!$B$2:$B$180,"=GDP",'MoodysData(Raw)'!$D$2:$D$180,"="&amp;'Implied Productivity Ratios'!$C33)/SUMIFS('MoodysData(Raw)'!K$2:K$180,'MoodysData(Raw)'!$B$2:$B$180,"=EMP",'MoodysData(Raw)'!$D$2:$D$180,"="&amp;'Implied Productivity Ratios'!$C33)</f>
        <v>131.1563813526939</v>
      </c>
      <c r="I33">
        <f>SUMIFS('MoodysData(Raw)'!L$2:L$180,'MoodysData(Raw)'!$B$2:$B$180,"=GDP",'MoodysData(Raw)'!$D$2:$D$180,"="&amp;'Implied Productivity Ratios'!$C33)/SUMIFS('MoodysData(Raw)'!L$2:L$180,'MoodysData(Raw)'!$B$2:$B$180,"=EMP",'MoodysData(Raw)'!$D$2:$D$180,"="&amp;'Implied Productivity Ratios'!$C33)</f>
        <v>144.82455095711245</v>
      </c>
      <c r="J33">
        <f>SUMIFS('MoodysData(Raw)'!M$2:M$180,'MoodysData(Raw)'!$B$2:$B$180,"=GDP",'MoodysData(Raw)'!$D$2:$D$180,"="&amp;'Implied Productivity Ratios'!$C33)/SUMIFS('MoodysData(Raw)'!M$2:M$180,'MoodysData(Raw)'!$B$2:$B$180,"=EMP",'MoodysData(Raw)'!$D$2:$D$180,"="&amp;'Implied Productivity Ratios'!$C33)</f>
        <v>154.31859639228406</v>
      </c>
      <c r="K33">
        <f>SUMIFS('MoodysData(Raw)'!N$2:N$180,'MoodysData(Raw)'!$B$2:$B$180,"=GDP",'MoodysData(Raw)'!$D$2:$D$180,"="&amp;'Implied Productivity Ratios'!$C33)/SUMIFS('MoodysData(Raw)'!N$2:N$180,'MoodysData(Raw)'!$B$2:$B$180,"=EMP",'MoodysData(Raw)'!$D$2:$D$180,"="&amp;'Implied Productivity Ratios'!$C33)</f>
        <v>148.81407001801921</v>
      </c>
      <c r="L33">
        <f>SUMIFS('MoodysData(Raw)'!O$2:O$180,'MoodysData(Raw)'!$B$2:$B$180,"=GDP",'MoodysData(Raw)'!$D$2:$D$180,"="&amp;'Implied Productivity Ratios'!$C33)/SUMIFS('MoodysData(Raw)'!O$2:O$180,'MoodysData(Raw)'!$B$2:$B$180,"=EMP",'MoodysData(Raw)'!$D$2:$D$180,"="&amp;'Implied Productivity Ratios'!$C33)</f>
        <v>146.95927567316591</v>
      </c>
      <c r="M33">
        <f>SUMIFS('MoodysData(Raw)'!P$2:P$180,'MoodysData(Raw)'!$B$2:$B$180,"=GDP",'MoodysData(Raw)'!$D$2:$D$180,"="&amp;'Implied Productivity Ratios'!$C33)/SUMIFS('MoodysData(Raw)'!P$2:P$180,'MoodysData(Raw)'!$B$2:$B$180,"=EMP",'MoodysData(Raw)'!$D$2:$D$180,"="&amp;'Implied Productivity Ratios'!$C33)</f>
        <v>142.0090561044278</v>
      </c>
      <c r="N33">
        <f>SUMIFS('MoodysData(Raw)'!Q$2:Q$180,'MoodysData(Raw)'!$B$2:$B$180,"=GDP",'MoodysData(Raw)'!$D$2:$D$180,"="&amp;'Implied Productivity Ratios'!$C33)/SUMIFS('MoodysData(Raw)'!Q$2:Q$180,'MoodysData(Raw)'!$B$2:$B$180,"=EMP",'MoodysData(Raw)'!$D$2:$D$180,"="&amp;'Implied Productivity Ratios'!$C33)</f>
        <v>141.79694552986507</v>
      </c>
      <c r="O33">
        <f>SUMIFS('MoodysData(Raw)'!R$2:R$180,'MoodysData(Raw)'!$B$2:$B$180,"=GDP",'MoodysData(Raw)'!$D$2:$D$180,"="&amp;'Implied Productivity Ratios'!$C33)/SUMIFS('MoodysData(Raw)'!R$2:R$180,'MoodysData(Raw)'!$B$2:$B$180,"=EMP",'MoodysData(Raw)'!$D$2:$D$180,"="&amp;'Implied Productivity Ratios'!$C33)</f>
        <v>134.71712430744108</v>
      </c>
      <c r="P33">
        <f>SUMIFS('MoodysData(Raw)'!S$2:S$180,'MoodysData(Raw)'!$B$2:$B$180,"=GDP",'MoodysData(Raw)'!$D$2:$D$180,"="&amp;'Implied Productivity Ratios'!$C33)/SUMIFS('MoodysData(Raw)'!S$2:S$180,'MoodysData(Raw)'!$B$2:$B$180,"=EMP",'MoodysData(Raw)'!$D$2:$D$180,"="&amp;'Implied Productivity Ratios'!$C33)</f>
        <v>140.44653404367742</v>
      </c>
      <c r="Q33">
        <f>SUMIFS('MoodysData(Raw)'!T$2:T$180,'MoodysData(Raw)'!$B$2:$B$180,"=GDP",'MoodysData(Raw)'!$D$2:$D$180,"="&amp;'Implied Productivity Ratios'!$C33)/SUMIFS('MoodysData(Raw)'!T$2:T$180,'MoodysData(Raw)'!$B$2:$B$180,"=EMP",'MoodysData(Raw)'!$D$2:$D$180,"="&amp;'Implied Productivity Ratios'!$C33)</f>
        <v>144.98398779959052</v>
      </c>
      <c r="R33">
        <f>SUMIFS('MoodysData(Raw)'!U$2:U$180,'MoodysData(Raw)'!$B$2:$B$180,"=GDP",'MoodysData(Raw)'!$D$2:$D$180,"="&amp;'Implied Productivity Ratios'!$C33)/SUMIFS('MoodysData(Raw)'!U$2:U$180,'MoodysData(Raw)'!$B$2:$B$180,"=EMP",'MoodysData(Raw)'!$D$2:$D$180,"="&amp;'Implied Productivity Ratios'!$C33)</f>
        <v>150.98160376273225</v>
      </c>
      <c r="S33">
        <f>SUMIFS('MoodysData(Raw)'!V$2:V$180,'MoodysData(Raw)'!$B$2:$B$180,"=GDP",'MoodysData(Raw)'!$D$2:$D$180,"="&amp;'Implied Productivity Ratios'!$C33)/SUMIFS('MoodysData(Raw)'!V$2:V$180,'MoodysData(Raw)'!$B$2:$B$180,"=EMP",'MoodysData(Raw)'!$D$2:$D$180,"="&amp;'Implied Productivity Ratios'!$C33)</f>
        <v>143.97356999416985</v>
      </c>
      <c r="T33">
        <f>SUMIFS('MoodysData(Raw)'!W$2:W$180,'MoodysData(Raw)'!$B$2:$B$180,"=GDP",'MoodysData(Raw)'!$D$2:$D$180,"="&amp;'Implied Productivity Ratios'!$C33)/SUMIFS('MoodysData(Raw)'!W$2:W$180,'MoodysData(Raw)'!$B$2:$B$180,"=EMP",'MoodysData(Raw)'!$D$2:$D$180,"="&amp;'Implied Productivity Ratios'!$C33)</f>
        <v>150.60191885267596</v>
      </c>
      <c r="U33">
        <f>SUMIFS('MoodysData(Raw)'!X$2:X$180,'MoodysData(Raw)'!$B$2:$B$180,"=GDP",'MoodysData(Raw)'!$D$2:$D$180,"="&amp;'Implied Productivity Ratios'!$C33)/SUMIFS('MoodysData(Raw)'!X$2:X$180,'MoodysData(Raw)'!$B$2:$B$180,"=EMP",'MoodysData(Raw)'!$D$2:$D$180,"="&amp;'Implied Productivity Ratios'!$C33)</f>
        <v>161.5137417218543</v>
      </c>
      <c r="V33">
        <f>SUMIFS('MoodysData(Raw)'!Y$2:Y$180,'MoodysData(Raw)'!$B$2:$B$180,"=GDP",'MoodysData(Raw)'!$D$2:$D$180,"="&amp;'Implied Productivity Ratios'!$C33)/SUMIFS('MoodysData(Raw)'!Y$2:Y$180,'MoodysData(Raw)'!$B$2:$B$180,"=EMP",'MoodysData(Raw)'!$D$2:$D$180,"="&amp;'Implied Productivity Ratios'!$C33)</f>
        <v>162.94601852324334</v>
      </c>
      <c r="W33">
        <f>SUMIFS('MoodysData(Raw)'!Z$2:Z$180,'MoodysData(Raw)'!$B$2:$B$180,"=GDP",'MoodysData(Raw)'!$D$2:$D$180,"="&amp;'Implied Productivity Ratios'!$C33)/SUMIFS('MoodysData(Raw)'!Z$2:Z$180,'MoodysData(Raw)'!$B$2:$B$180,"=EMP",'MoodysData(Raw)'!$D$2:$D$180,"="&amp;'Implied Productivity Ratios'!$C33)</f>
        <v>165.19604405971521</v>
      </c>
      <c r="X33">
        <f>SUMIFS('MoodysData(Raw)'!AA$2:AA$180,'MoodysData(Raw)'!$B$2:$B$180,"=GDP",'MoodysData(Raw)'!$D$2:$D$180,"="&amp;'Implied Productivity Ratios'!$C33)/SUMIFS('MoodysData(Raw)'!AA$2:AA$180,'MoodysData(Raw)'!$B$2:$B$180,"=EMP",'MoodysData(Raw)'!$D$2:$D$180,"="&amp;'Implied Productivity Ratios'!$C33)</f>
        <v>169.07751680810316</v>
      </c>
      <c r="Y33">
        <f>SUMIFS('MoodysData(Raw)'!AB$2:AB$180,'MoodysData(Raw)'!$B$2:$B$180,"=GDP",'MoodysData(Raw)'!$D$2:$D$180,"="&amp;'Implied Productivity Ratios'!$C33)/SUMIFS('MoodysData(Raw)'!AB$2:AB$180,'MoodysData(Raw)'!$B$2:$B$180,"=EMP",'MoodysData(Raw)'!$D$2:$D$180,"="&amp;'Implied Productivity Ratios'!$C33)</f>
        <v>168.98869768294531</v>
      </c>
      <c r="Z33">
        <f>SUMIFS('MoodysData(Raw)'!AC$2:AC$180,'MoodysData(Raw)'!$B$2:$B$180,"=GDP",'MoodysData(Raw)'!$D$2:$D$180,"="&amp;'Implied Productivity Ratios'!$C33)/SUMIFS('MoodysData(Raw)'!AC$2:AC$180,'MoodysData(Raw)'!$B$2:$B$180,"=EMP",'MoodysData(Raw)'!$D$2:$D$180,"="&amp;'Implied Productivity Ratios'!$C33)</f>
        <v>168.50088583442113</v>
      </c>
      <c r="AA33">
        <f>SUMIFS('MoodysData(Raw)'!AD$2:AD$180,'MoodysData(Raw)'!$B$2:$B$180,"=GDP",'MoodysData(Raw)'!$D$2:$D$180,"="&amp;'Implied Productivity Ratios'!$C33)/SUMIFS('MoodysData(Raw)'!AD$2:AD$180,'MoodysData(Raw)'!$B$2:$B$180,"=EMP",'MoodysData(Raw)'!$D$2:$D$180,"="&amp;'Implied Productivity Ratios'!$C33)</f>
        <v>169.28281558485969</v>
      </c>
      <c r="AB33">
        <f>SUMIFS('MoodysData(Raw)'!AE$2:AE$180,'MoodysData(Raw)'!$B$2:$B$180,"=GDP",'MoodysData(Raw)'!$D$2:$D$180,"="&amp;'Implied Productivity Ratios'!$C33)/SUMIFS('MoodysData(Raw)'!AE$2:AE$180,'MoodysData(Raw)'!$B$2:$B$180,"=EMP",'MoodysData(Raw)'!$D$2:$D$180,"="&amp;'Implied Productivity Ratios'!$C33)</f>
        <v>171.03109233986441</v>
      </c>
      <c r="AC33">
        <f>SUMIFS('MoodysData(Raw)'!AF$2:AF$180,'MoodysData(Raw)'!$B$2:$B$180,"=GDP",'MoodysData(Raw)'!$D$2:$D$180,"="&amp;'Implied Productivity Ratios'!$C33)/SUMIFS('MoodysData(Raw)'!AF$2:AF$180,'MoodysData(Raw)'!$B$2:$B$180,"=EMP",'MoodysData(Raw)'!$D$2:$D$180,"="&amp;'Implied Productivity Ratios'!$C33)</f>
        <v>173.29305672930107</v>
      </c>
      <c r="AD33">
        <f>SUMIFS('MoodysData(Raw)'!AG$2:AG$180,'MoodysData(Raw)'!$B$2:$B$180,"=GDP",'MoodysData(Raw)'!$D$2:$D$180,"="&amp;'Implied Productivity Ratios'!$C33)/SUMIFS('MoodysData(Raw)'!AG$2:AG$180,'MoodysData(Raw)'!$B$2:$B$180,"=EMP",'MoodysData(Raw)'!$D$2:$D$180,"="&amp;'Implied Productivity Ratios'!$C33)</f>
        <v>175.91718955028034</v>
      </c>
      <c r="AE33">
        <f>SUMIFS('MoodysData(Raw)'!AH$2:AH$180,'MoodysData(Raw)'!$B$2:$B$180,"=GDP",'MoodysData(Raw)'!$D$2:$D$180,"="&amp;'Implied Productivity Ratios'!$C33)/SUMIFS('MoodysData(Raw)'!AH$2:AH$180,'MoodysData(Raw)'!$B$2:$B$180,"=EMP",'MoodysData(Raw)'!$D$2:$D$180,"="&amp;'Implied Productivity Ratios'!$C33)</f>
        <v>178.77572830728641</v>
      </c>
      <c r="AF33">
        <f>SUMIFS('MoodysData(Raw)'!AI$2:AI$180,'MoodysData(Raw)'!$B$2:$B$180,"=GDP",'MoodysData(Raw)'!$D$2:$D$180,"="&amp;'Implied Productivity Ratios'!$C33)/SUMIFS('MoodysData(Raw)'!AI$2:AI$180,'MoodysData(Raw)'!$B$2:$B$180,"=EMP",'MoodysData(Raw)'!$D$2:$D$180,"="&amp;'Implied Productivity Ratios'!$C33)</f>
        <v>181.89832937245961</v>
      </c>
      <c r="AG33">
        <f>SUMIFS('MoodysData(Raw)'!AJ$2:AJ$180,'MoodysData(Raw)'!$B$2:$B$180,"=GDP",'MoodysData(Raw)'!$D$2:$D$180,"="&amp;'Implied Productivity Ratios'!$C33)/SUMIFS('MoodysData(Raw)'!AJ$2:AJ$180,'MoodysData(Raw)'!$B$2:$B$180,"=EMP",'MoodysData(Raw)'!$D$2:$D$180,"="&amp;'Implied Productivity Ratios'!$C33)</f>
        <v>185.36202849227311</v>
      </c>
      <c r="AH33">
        <f>SUMIFS('MoodysData(Raw)'!AK$2:AK$180,'MoodysData(Raw)'!$B$2:$B$180,"=GDP",'MoodysData(Raw)'!$D$2:$D$180,"="&amp;'Implied Productivity Ratios'!$C33)/SUMIFS('MoodysData(Raw)'!AK$2:AK$180,'MoodysData(Raw)'!$B$2:$B$180,"=EMP",'MoodysData(Raw)'!$D$2:$D$180,"="&amp;'Implied Productivity Ratios'!$C33)</f>
        <v>188.79374936076326</v>
      </c>
      <c r="AI33">
        <f>SUMIFS('MoodysData(Raw)'!AL$2:AL$180,'MoodysData(Raw)'!$B$2:$B$180,"=GDP",'MoodysData(Raw)'!$D$2:$D$180,"="&amp;'Implied Productivity Ratios'!$C33)/SUMIFS('MoodysData(Raw)'!AL$2:AL$180,'MoodysData(Raw)'!$B$2:$B$180,"=EMP",'MoodysData(Raw)'!$D$2:$D$180,"="&amp;'Implied Productivity Ratios'!$C33)</f>
        <v>192.25265316911751</v>
      </c>
      <c r="AJ33">
        <f>SUMIFS('MoodysData(Raw)'!AM$2:AM$180,'MoodysData(Raw)'!$B$2:$B$180,"=GDP",'MoodysData(Raw)'!$D$2:$D$180,"="&amp;'Implied Productivity Ratios'!$C33)/SUMIFS('MoodysData(Raw)'!AM$2:AM$180,'MoodysData(Raw)'!$B$2:$B$180,"=EMP",'MoodysData(Raw)'!$D$2:$D$180,"="&amp;'Implied Productivity Ratios'!$C33)</f>
        <v>195.94368345687195</v>
      </c>
      <c r="AK33">
        <f>SUMIFS('MoodysData(Raw)'!AN$2:AN$180,'MoodysData(Raw)'!$B$2:$B$180,"=GDP",'MoodysData(Raw)'!$D$2:$D$180,"="&amp;'Implied Productivity Ratios'!$C33)/SUMIFS('MoodysData(Raw)'!AN$2:AN$180,'MoodysData(Raw)'!$B$2:$B$180,"=EMP",'MoodysData(Raw)'!$D$2:$D$180,"="&amp;'Implied Productivity Ratios'!$C33)</f>
        <v>199.87376741132044</v>
      </c>
      <c r="AL33">
        <f>SUMIFS('MoodysData(Raw)'!AO$2:AO$180,'MoodysData(Raw)'!$B$2:$B$180,"=GDP",'MoodysData(Raw)'!$D$2:$D$180,"="&amp;'Implied Productivity Ratios'!$C33)/SUMIFS('MoodysData(Raw)'!AO$2:AO$180,'MoodysData(Raw)'!$B$2:$B$180,"=EMP",'MoodysData(Raw)'!$D$2:$D$180,"="&amp;'Implied Productivity Ratios'!$C33)</f>
        <v>203.96774991491728</v>
      </c>
      <c r="AM33">
        <f>SUMIFS('MoodysData(Raw)'!AP$2:AP$180,'MoodysData(Raw)'!$B$2:$B$180,"=GDP",'MoodysData(Raw)'!$D$2:$D$180,"="&amp;'Implied Productivity Ratios'!$C33)/SUMIFS('MoodysData(Raw)'!AP$2:AP$180,'MoodysData(Raw)'!$B$2:$B$180,"=EMP",'MoodysData(Raw)'!$D$2:$D$180,"="&amp;'Implied Productivity Ratios'!$C33)</f>
        <v>208.13628561505683</v>
      </c>
      <c r="AN33">
        <f>SUMIFS('MoodysData(Raw)'!AQ$2:AQ$180,'MoodysData(Raw)'!$B$2:$B$180,"=GDP",'MoodysData(Raw)'!$D$2:$D$180,"="&amp;'Implied Productivity Ratios'!$C33)/SUMIFS('MoodysData(Raw)'!AQ$2:AQ$180,'MoodysData(Raw)'!$B$2:$B$180,"=EMP",'MoodysData(Raw)'!$D$2:$D$180,"="&amp;'Implied Productivity Ratios'!$C33)</f>
        <v>212.486464659354</v>
      </c>
      <c r="AO33">
        <f>SUMIFS('MoodysData(Raw)'!AR$2:AR$180,'MoodysData(Raw)'!$B$2:$B$180,"=GDP",'MoodysData(Raw)'!$D$2:$D$180,"="&amp;'Implied Productivity Ratios'!$C33)/SUMIFS('MoodysData(Raw)'!AR$2:AR$180,'MoodysData(Raw)'!$B$2:$B$180,"=EMP",'MoodysData(Raw)'!$D$2:$D$180,"="&amp;'Implied Productivity Ratios'!$C33)</f>
        <v>217.12095476835557</v>
      </c>
      <c r="AP33">
        <f>SUMIFS('MoodysData(Raw)'!AS$2:AS$180,'MoodysData(Raw)'!$B$2:$B$180,"=GDP",'MoodysData(Raw)'!$D$2:$D$180,"="&amp;'Implied Productivity Ratios'!$C33)/SUMIFS('MoodysData(Raw)'!AS$2:AS$180,'MoodysData(Raw)'!$B$2:$B$180,"=EMP",'MoodysData(Raw)'!$D$2:$D$180,"="&amp;'Implied Productivity Ratios'!$C33)</f>
        <v>221.91398489962788</v>
      </c>
      <c r="AQ33">
        <f>SUMIFS('MoodysData(Raw)'!AT$2:AT$180,'MoodysData(Raw)'!$B$2:$B$180,"=GDP",'MoodysData(Raw)'!$D$2:$D$180,"="&amp;'Implied Productivity Ratios'!$C33)/SUMIFS('MoodysData(Raw)'!AT$2:AT$180,'MoodysData(Raw)'!$B$2:$B$180,"=EMP",'MoodysData(Raw)'!$D$2:$D$180,"="&amp;'Implied Productivity Ratios'!$C33)</f>
        <v>226.85666973226884</v>
      </c>
      <c r="AR33">
        <f>SUMIFS('MoodysData(Raw)'!AU$2:AU$180,'MoodysData(Raw)'!$B$2:$B$180,"=GDP",'MoodysData(Raw)'!$D$2:$D$180,"="&amp;'Implied Productivity Ratios'!$C33)/SUMIFS('MoodysData(Raw)'!AU$2:AU$180,'MoodysData(Raw)'!$B$2:$B$180,"=EMP",'MoodysData(Raw)'!$D$2:$D$180,"="&amp;'Implied Productivity Ratios'!$C33)</f>
        <v>232.02577877677786</v>
      </c>
      <c r="AS33">
        <f>SUMIFS('MoodysData(Raw)'!AV$2:AV$180,'MoodysData(Raw)'!$B$2:$B$180,"=GDP",'MoodysData(Raw)'!$D$2:$D$180,"="&amp;'Implied Productivity Ratios'!$C33)/SUMIFS('MoodysData(Raw)'!AV$2:AV$180,'MoodysData(Raw)'!$B$2:$B$180,"=EMP",'MoodysData(Raw)'!$D$2:$D$180,"="&amp;'Implied Productivity Ratios'!$C33)</f>
        <v>237.48052685442298</v>
      </c>
      <c r="AT33">
        <f>SUMIFS('MoodysData(Raw)'!AW$2:AW$180,'MoodysData(Raw)'!$B$2:$B$180,"=GDP",'MoodysData(Raw)'!$D$2:$D$180,"="&amp;'Implied Productivity Ratios'!$C33)/SUMIFS('MoodysData(Raw)'!AW$2:AW$180,'MoodysData(Raw)'!$B$2:$B$180,"=EMP",'MoodysData(Raw)'!$D$2:$D$180,"="&amp;'Implied Productivity Ratios'!$C33)</f>
        <v>243.13855141403795</v>
      </c>
      <c r="AU33">
        <f>SUMIFS('MoodysData(Raw)'!AX$2:AX$180,'MoodysData(Raw)'!$B$2:$B$180,"=GDP",'MoodysData(Raw)'!$D$2:$D$180,"="&amp;'Implied Productivity Ratios'!$C33)/SUMIFS('MoodysData(Raw)'!AX$2:AX$180,'MoodysData(Raw)'!$B$2:$B$180,"=EMP",'MoodysData(Raw)'!$D$2:$D$180,"="&amp;'Implied Productivity Ratios'!$C33)</f>
        <v>249.02305995448438</v>
      </c>
      <c r="AV33">
        <f>SUMIFS('MoodysData(Raw)'!AY$2:AY$180,'MoodysData(Raw)'!$B$2:$B$180,"=GDP",'MoodysData(Raw)'!$D$2:$D$180,"="&amp;'Implied Productivity Ratios'!$C33)/SUMIFS('MoodysData(Raw)'!AY$2:AY$180,'MoodysData(Raw)'!$B$2:$B$180,"=EMP",'MoodysData(Raw)'!$D$2:$D$180,"="&amp;'Implied Productivity Ratios'!$C33)</f>
        <v>255.22007493348423</v>
      </c>
      <c r="AW33">
        <f>SUMIFS('MoodysData(Raw)'!AZ$2:AZ$180,'MoodysData(Raw)'!$B$2:$B$180,"=GDP",'MoodysData(Raw)'!$D$2:$D$180,"="&amp;'Implied Productivity Ratios'!$C33)/SUMIFS('MoodysData(Raw)'!AZ$2:AZ$180,'MoodysData(Raw)'!$B$2:$B$180,"=EMP",'MoodysData(Raw)'!$D$2:$D$180,"="&amp;'Implied Productivity Ratios'!$C33)</f>
        <v>261.56071945727763</v>
      </c>
      <c r="AX33">
        <f>SUMIFS('MoodysData(Raw)'!BA$2:BA$180,'MoodysData(Raw)'!$B$2:$B$180,"=GDP",'MoodysData(Raw)'!$D$2:$D$180,"="&amp;'Implied Productivity Ratios'!$C33)/SUMIFS('MoodysData(Raw)'!BA$2:BA$180,'MoodysData(Raw)'!$B$2:$B$180,"=EMP",'MoodysData(Raw)'!$D$2:$D$180,"="&amp;'Implied Productivity Ratios'!$C33)</f>
        <v>268.03902214284699</v>
      </c>
      <c r="AY33">
        <f>SUMIFS('MoodysData(Raw)'!BB$2:BB$180,'MoodysData(Raw)'!$B$2:$B$180,"=GDP",'MoodysData(Raw)'!$D$2:$D$180,"="&amp;'Implied Productivity Ratios'!$C33)/SUMIFS('MoodysData(Raw)'!BB$2:BB$180,'MoodysData(Raw)'!$B$2:$B$180,"=EMP",'MoodysData(Raw)'!$D$2:$D$180,"="&amp;'Implied Productivity Ratios'!$C33)</f>
        <v>274.59813517310494</v>
      </c>
      <c r="AZ33">
        <f>SUMIFS('MoodysData(Raw)'!BC$2:BC$180,'MoodysData(Raw)'!$B$2:$B$180,"=GDP",'MoodysData(Raw)'!$D$2:$D$180,"="&amp;'Implied Productivity Ratios'!$C33)/SUMIFS('MoodysData(Raw)'!BC$2:BC$180,'MoodysData(Raw)'!$B$2:$B$180,"=EMP",'MoodysData(Raw)'!$D$2:$D$180,"="&amp;'Implied Productivity Ratios'!$C33)</f>
        <v>281.39299440604282</v>
      </c>
      <c r="BA33">
        <f>SUMIFS('MoodysData(Raw)'!BD$2:BD$180,'MoodysData(Raw)'!$B$2:$B$180,"=GDP",'MoodysData(Raw)'!$D$2:$D$180,"="&amp;'Implied Productivity Ratios'!$C33)/SUMIFS('MoodysData(Raw)'!BD$2:BD$180,'MoodysData(Raw)'!$B$2:$B$180,"=EMP",'MoodysData(Raw)'!$D$2:$D$180,"="&amp;'Implied Productivity Ratios'!$C33)</f>
        <v>288.59307149633838</v>
      </c>
      <c r="BB33">
        <f>SUMIFS('MoodysData(Raw)'!BE$2:BE$180,'MoodysData(Raw)'!$B$2:$B$180,"=GDP",'MoodysData(Raw)'!$D$2:$D$180,"="&amp;'Implied Productivity Ratios'!$C33)/SUMIFS('MoodysData(Raw)'!BE$2:BE$180,'MoodysData(Raw)'!$B$2:$B$180,"=EMP",'MoodysData(Raw)'!$D$2:$D$180,"="&amp;'Implied Productivity Ratios'!$C33)</f>
        <v>296.17727946810129</v>
      </c>
      <c r="BC33">
        <f>SUMIFS('MoodysData(Raw)'!BF$2:BF$180,'MoodysData(Raw)'!$B$2:$B$180,"=GDP",'MoodysData(Raw)'!$D$2:$D$180,"="&amp;'Implied Productivity Ratios'!$C33)/SUMIFS('MoodysData(Raw)'!BF$2:BF$180,'MoodysData(Raw)'!$B$2:$B$180,"=EMP",'MoodysData(Raw)'!$D$2:$D$180,"="&amp;'Implied Productivity Ratios'!$C33)</f>
        <v>304.11270535641836</v>
      </c>
      <c r="BD33" s="5">
        <f t="shared" ref="BD33:BH33" si="27">BC33+($BC33-$AX33)/5</f>
        <v>311.32744199913265</v>
      </c>
      <c r="BE33" s="5">
        <f t="shared" si="27"/>
        <v>318.54217864184693</v>
      </c>
      <c r="BF33" s="5">
        <f t="shared" si="27"/>
        <v>325.75691528456122</v>
      </c>
      <c r="BG33" s="5">
        <f t="shared" si="27"/>
        <v>332.9716519272755</v>
      </c>
      <c r="BH33" s="5">
        <f t="shared" si="27"/>
        <v>340.18638856998979</v>
      </c>
    </row>
    <row r="34" spans="3:60">
      <c r="C34">
        <v>423</v>
      </c>
      <c r="D34" t="s">
        <v>334</v>
      </c>
      <c r="E34">
        <f>SUMIFS('MoodysData(Raw)'!H$2:H$180,'MoodysData(Raw)'!$B$2:$B$180,"=GDP",'MoodysData(Raw)'!$D$2:$D$180,"="&amp;'Implied Productivity Ratios'!$C34)/SUMIFS('MoodysData(Raw)'!H$2:H$180,'MoodysData(Raw)'!$B$2:$B$180,"=EMP",'MoodysData(Raw)'!$D$2:$D$180,"="&amp;'Implied Productivity Ratios'!$C34)</f>
        <v>151.28972024325225</v>
      </c>
      <c r="F34">
        <f>SUMIFS('MoodysData(Raw)'!I$2:I$180,'MoodysData(Raw)'!$B$2:$B$180,"=GDP",'MoodysData(Raw)'!$D$2:$D$180,"="&amp;'Implied Productivity Ratios'!$C34)/SUMIFS('MoodysData(Raw)'!I$2:I$180,'MoodysData(Raw)'!$B$2:$B$180,"=EMP",'MoodysData(Raw)'!$D$2:$D$180,"="&amp;'Implied Productivity Ratios'!$C34)</f>
        <v>155.20490140105798</v>
      </c>
      <c r="G34">
        <f>SUMIFS('MoodysData(Raw)'!J$2:J$180,'MoodysData(Raw)'!$B$2:$B$180,"=GDP",'MoodysData(Raw)'!$D$2:$D$180,"="&amp;'Implied Productivity Ratios'!$C34)/SUMIFS('MoodysData(Raw)'!J$2:J$180,'MoodysData(Raw)'!$B$2:$B$180,"=EMP",'MoodysData(Raw)'!$D$2:$D$180,"="&amp;'Implied Productivity Ratios'!$C34)</f>
        <v>160.64281390879731</v>
      </c>
      <c r="H34">
        <f>SUMIFS('MoodysData(Raw)'!K$2:K$180,'MoodysData(Raw)'!$B$2:$B$180,"=GDP",'MoodysData(Raw)'!$D$2:$D$180,"="&amp;'Implied Productivity Ratios'!$C34)/SUMIFS('MoodysData(Raw)'!K$2:K$180,'MoodysData(Raw)'!$B$2:$B$180,"=EMP",'MoodysData(Raw)'!$D$2:$D$180,"="&amp;'Implied Productivity Ratios'!$C34)</f>
        <v>161.89337312980058</v>
      </c>
      <c r="I34">
        <f>SUMIFS('MoodysData(Raw)'!L$2:L$180,'MoodysData(Raw)'!$B$2:$B$180,"=GDP",'MoodysData(Raw)'!$D$2:$D$180,"="&amp;'Implied Productivity Ratios'!$C34)/SUMIFS('MoodysData(Raw)'!L$2:L$180,'MoodysData(Raw)'!$B$2:$B$180,"=EMP",'MoodysData(Raw)'!$D$2:$D$180,"="&amp;'Implied Productivity Ratios'!$C34)</f>
        <v>155.81355663229661</v>
      </c>
      <c r="J34">
        <f>SUMIFS('MoodysData(Raw)'!M$2:M$180,'MoodysData(Raw)'!$B$2:$B$180,"=GDP",'MoodysData(Raw)'!$D$2:$D$180,"="&amp;'Implied Productivity Ratios'!$C34)/SUMIFS('MoodysData(Raw)'!M$2:M$180,'MoodysData(Raw)'!$B$2:$B$180,"=EMP",'MoodysData(Raw)'!$D$2:$D$180,"="&amp;'Implied Productivity Ratios'!$C34)</f>
        <v>179.09303954728051</v>
      </c>
      <c r="K34">
        <f>SUMIFS('MoodysData(Raw)'!N$2:N$180,'MoodysData(Raw)'!$B$2:$B$180,"=GDP",'MoodysData(Raw)'!$D$2:$D$180,"="&amp;'Implied Productivity Ratios'!$C34)/SUMIFS('MoodysData(Raw)'!N$2:N$180,'MoodysData(Raw)'!$B$2:$B$180,"=EMP",'MoodysData(Raw)'!$D$2:$D$180,"="&amp;'Implied Productivity Ratios'!$C34)</f>
        <v>181.17540035469992</v>
      </c>
      <c r="L34">
        <f>SUMIFS('MoodysData(Raw)'!O$2:O$180,'MoodysData(Raw)'!$B$2:$B$180,"=GDP",'MoodysData(Raw)'!$D$2:$D$180,"="&amp;'Implied Productivity Ratios'!$C34)/SUMIFS('MoodysData(Raw)'!O$2:O$180,'MoodysData(Raw)'!$B$2:$B$180,"=EMP",'MoodysData(Raw)'!$D$2:$D$180,"="&amp;'Implied Productivity Ratios'!$C34)</f>
        <v>184.41138079149056</v>
      </c>
      <c r="M34">
        <f>SUMIFS('MoodysData(Raw)'!P$2:P$180,'MoodysData(Raw)'!$B$2:$B$180,"=GDP",'MoodysData(Raw)'!$D$2:$D$180,"="&amp;'Implied Productivity Ratios'!$C34)/SUMIFS('MoodysData(Raw)'!P$2:P$180,'MoodysData(Raw)'!$B$2:$B$180,"=EMP",'MoodysData(Raw)'!$D$2:$D$180,"="&amp;'Implied Productivity Ratios'!$C34)</f>
        <v>186.03720346265342</v>
      </c>
      <c r="N34">
        <f>SUMIFS('MoodysData(Raw)'!Q$2:Q$180,'MoodysData(Raw)'!$B$2:$B$180,"=GDP",'MoodysData(Raw)'!$D$2:$D$180,"="&amp;'Implied Productivity Ratios'!$C34)/SUMIFS('MoodysData(Raw)'!Q$2:Q$180,'MoodysData(Raw)'!$B$2:$B$180,"=EMP",'MoodysData(Raw)'!$D$2:$D$180,"="&amp;'Implied Productivity Ratios'!$C34)</f>
        <v>193.06268804012223</v>
      </c>
      <c r="O34">
        <f>SUMIFS('MoodysData(Raw)'!R$2:R$180,'MoodysData(Raw)'!$B$2:$B$180,"=GDP",'MoodysData(Raw)'!$D$2:$D$180,"="&amp;'Implied Productivity Ratios'!$C34)/SUMIFS('MoodysData(Raw)'!R$2:R$180,'MoodysData(Raw)'!$B$2:$B$180,"=EMP",'MoodysData(Raw)'!$D$2:$D$180,"="&amp;'Implied Productivity Ratios'!$C34)</f>
        <v>200.49788020341452</v>
      </c>
      <c r="P34">
        <f>SUMIFS('MoodysData(Raw)'!S$2:S$180,'MoodysData(Raw)'!$B$2:$B$180,"=GDP",'MoodysData(Raw)'!$D$2:$D$180,"="&amp;'Implied Productivity Ratios'!$C34)/SUMIFS('MoodysData(Raw)'!S$2:S$180,'MoodysData(Raw)'!$B$2:$B$180,"=EMP",'MoodysData(Raw)'!$D$2:$D$180,"="&amp;'Implied Productivity Ratios'!$C34)</f>
        <v>190.42129068613193</v>
      </c>
      <c r="Q34">
        <f>SUMIFS('MoodysData(Raw)'!T$2:T$180,'MoodysData(Raw)'!$B$2:$B$180,"=GDP",'MoodysData(Raw)'!$D$2:$D$180,"="&amp;'Implied Productivity Ratios'!$C34)/SUMIFS('MoodysData(Raw)'!T$2:T$180,'MoodysData(Raw)'!$B$2:$B$180,"=EMP",'MoodysData(Raw)'!$D$2:$D$180,"="&amp;'Implied Productivity Ratios'!$C34)</f>
        <v>189.32227783195239</v>
      </c>
      <c r="R34">
        <f>SUMIFS('MoodysData(Raw)'!U$2:U$180,'MoodysData(Raw)'!$B$2:$B$180,"=GDP",'MoodysData(Raw)'!$D$2:$D$180,"="&amp;'Implied Productivity Ratios'!$C34)/SUMIFS('MoodysData(Raw)'!U$2:U$180,'MoodysData(Raw)'!$B$2:$B$180,"=EMP",'MoodysData(Raw)'!$D$2:$D$180,"="&amp;'Implied Productivity Ratios'!$C34)</f>
        <v>188.60792534140043</v>
      </c>
      <c r="S34">
        <f>SUMIFS('MoodysData(Raw)'!V$2:V$180,'MoodysData(Raw)'!$B$2:$B$180,"=GDP",'MoodysData(Raw)'!$D$2:$D$180,"="&amp;'Implied Productivity Ratios'!$C34)/SUMIFS('MoodysData(Raw)'!V$2:V$180,'MoodysData(Raw)'!$B$2:$B$180,"=EMP",'MoodysData(Raw)'!$D$2:$D$180,"="&amp;'Implied Productivity Ratios'!$C34)</f>
        <v>185.90325568025594</v>
      </c>
      <c r="T34">
        <f>SUMIFS('MoodysData(Raw)'!W$2:W$180,'MoodysData(Raw)'!$B$2:$B$180,"=GDP",'MoodysData(Raw)'!$D$2:$D$180,"="&amp;'Implied Productivity Ratios'!$C34)/SUMIFS('MoodysData(Raw)'!W$2:W$180,'MoodysData(Raw)'!$B$2:$B$180,"=EMP",'MoodysData(Raw)'!$D$2:$D$180,"="&amp;'Implied Productivity Ratios'!$C34)</f>
        <v>193.13163869179158</v>
      </c>
      <c r="U34">
        <f>SUMIFS('MoodysData(Raw)'!X$2:X$180,'MoodysData(Raw)'!$B$2:$B$180,"=GDP",'MoodysData(Raw)'!$D$2:$D$180,"="&amp;'Implied Productivity Ratios'!$C34)/SUMIFS('MoodysData(Raw)'!X$2:X$180,'MoodysData(Raw)'!$B$2:$B$180,"=EMP",'MoodysData(Raw)'!$D$2:$D$180,"="&amp;'Implied Productivity Ratios'!$C34)</f>
        <v>173.50806018466722</v>
      </c>
      <c r="V34">
        <f>SUMIFS('MoodysData(Raw)'!Y$2:Y$180,'MoodysData(Raw)'!$B$2:$B$180,"=GDP",'MoodysData(Raw)'!$D$2:$D$180,"="&amp;'Implied Productivity Ratios'!$C34)/SUMIFS('MoodysData(Raw)'!Y$2:Y$180,'MoodysData(Raw)'!$B$2:$B$180,"=EMP",'MoodysData(Raw)'!$D$2:$D$180,"="&amp;'Implied Productivity Ratios'!$C34)</f>
        <v>160.58163050946987</v>
      </c>
      <c r="W34">
        <f>SUMIFS('MoodysData(Raw)'!Z$2:Z$180,'MoodysData(Raw)'!$B$2:$B$180,"=GDP",'MoodysData(Raw)'!$D$2:$D$180,"="&amp;'Implied Productivity Ratios'!$C34)/SUMIFS('MoodysData(Raw)'!Z$2:Z$180,'MoodysData(Raw)'!$B$2:$B$180,"=EMP",'MoodysData(Raw)'!$D$2:$D$180,"="&amp;'Implied Productivity Ratios'!$C34)</f>
        <v>157.26131657422573</v>
      </c>
      <c r="X34">
        <f>SUMIFS('MoodysData(Raw)'!AA$2:AA$180,'MoodysData(Raw)'!$B$2:$B$180,"=GDP",'MoodysData(Raw)'!$D$2:$D$180,"="&amp;'Implied Productivity Ratios'!$C34)/SUMIFS('MoodysData(Raw)'!AA$2:AA$180,'MoodysData(Raw)'!$B$2:$B$180,"=EMP",'MoodysData(Raw)'!$D$2:$D$180,"="&amp;'Implied Productivity Ratios'!$C34)</f>
        <v>157.34377956566908</v>
      </c>
      <c r="Y34">
        <f>SUMIFS('MoodysData(Raw)'!AB$2:AB$180,'MoodysData(Raw)'!$B$2:$B$180,"=GDP",'MoodysData(Raw)'!$D$2:$D$180,"="&amp;'Implied Productivity Ratios'!$C34)/SUMIFS('MoodysData(Raw)'!AB$2:AB$180,'MoodysData(Raw)'!$B$2:$B$180,"=EMP",'MoodysData(Raw)'!$D$2:$D$180,"="&amp;'Implied Productivity Ratios'!$C34)</f>
        <v>159.38958898663549</v>
      </c>
      <c r="Z34">
        <f>SUMIFS('MoodysData(Raw)'!AC$2:AC$180,'MoodysData(Raw)'!$B$2:$B$180,"=GDP",'MoodysData(Raw)'!$D$2:$D$180,"="&amp;'Implied Productivity Ratios'!$C34)/SUMIFS('MoodysData(Raw)'!AC$2:AC$180,'MoodysData(Raw)'!$B$2:$B$180,"=EMP",'MoodysData(Raw)'!$D$2:$D$180,"="&amp;'Implied Productivity Ratios'!$C34)</f>
        <v>162.34068044401255</v>
      </c>
      <c r="AA34">
        <f>SUMIFS('MoodysData(Raw)'!AD$2:AD$180,'MoodysData(Raw)'!$B$2:$B$180,"=GDP",'MoodysData(Raw)'!$D$2:$D$180,"="&amp;'Implied Productivity Ratios'!$C34)/SUMIFS('MoodysData(Raw)'!AD$2:AD$180,'MoodysData(Raw)'!$B$2:$B$180,"=EMP",'MoodysData(Raw)'!$D$2:$D$180,"="&amp;'Implied Productivity Ratios'!$C34)</f>
        <v>166.82002351297956</v>
      </c>
      <c r="AB34">
        <f>SUMIFS('MoodysData(Raw)'!AE$2:AE$180,'MoodysData(Raw)'!$B$2:$B$180,"=GDP",'MoodysData(Raw)'!$D$2:$D$180,"="&amp;'Implied Productivity Ratios'!$C34)/SUMIFS('MoodysData(Raw)'!AE$2:AE$180,'MoodysData(Raw)'!$B$2:$B$180,"=EMP",'MoodysData(Raw)'!$D$2:$D$180,"="&amp;'Implied Productivity Ratios'!$C34)</f>
        <v>172.18739715433193</v>
      </c>
      <c r="AC34">
        <f>SUMIFS('MoodysData(Raw)'!AF$2:AF$180,'MoodysData(Raw)'!$B$2:$B$180,"=GDP",'MoodysData(Raw)'!$D$2:$D$180,"="&amp;'Implied Productivity Ratios'!$C34)/SUMIFS('MoodysData(Raw)'!AF$2:AF$180,'MoodysData(Raw)'!$B$2:$B$180,"=EMP",'MoodysData(Raw)'!$D$2:$D$180,"="&amp;'Implied Productivity Ratios'!$C34)</f>
        <v>178.14219715115661</v>
      </c>
      <c r="AD34">
        <f>SUMIFS('MoodysData(Raw)'!AG$2:AG$180,'MoodysData(Raw)'!$B$2:$B$180,"=GDP",'MoodysData(Raw)'!$D$2:$D$180,"="&amp;'Implied Productivity Ratios'!$C34)/SUMIFS('MoodysData(Raw)'!AG$2:AG$180,'MoodysData(Raw)'!$B$2:$B$180,"=EMP",'MoodysData(Raw)'!$D$2:$D$180,"="&amp;'Implied Productivity Ratios'!$C34)</f>
        <v>184.49100775641384</v>
      </c>
      <c r="AE34">
        <f>SUMIFS('MoodysData(Raw)'!AH$2:AH$180,'MoodysData(Raw)'!$B$2:$B$180,"=GDP",'MoodysData(Raw)'!$D$2:$D$180,"="&amp;'Implied Productivity Ratios'!$C34)/SUMIFS('MoodysData(Raw)'!AH$2:AH$180,'MoodysData(Raw)'!$B$2:$B$180,"=EMP",'MoodysData(Raw)'!$D$2:$D$180,"="&amp;'Implied Productivity Ratios'!$C34)</f>
        <v>191.12446494160764</v>
      </c>
      <c r="AF34">
        <f>SUMIFS('MoodysData(Raw)'!AI$2:AI$180,'MoodysData(Raw)'!$B$2:$B$180,"=GDP",'MoodysData(Raw)'!$D$2:$D$180,"="&amp;'Implied Productivity Ratios'!$C34)/SUMIFS('MoodysData(Raw)'!AI$2:AI$180,'MoodysData(Raw)'!$B$2:$B$180,"=EMP",'MoodysData(Raw)'!$D$2:$D$180,"="&amp;'Implied Productivity Ratios'!$C34)</f>
        <v>198.07248375719527</v>
      </c>
      <c r="AG34">
        <f>SUMIFS('MoodysData(Raw)'!AJ$2:AJ$180,'MoodysData(Raw)'!$B$2:$B$180,"=GDP",'MoodysData(Raw)'!$D$2:$D$180,"="&amp;'Implied Productivity Ratios'!$C34)/SUMIFS('MoodysData(Raw)'!AJ$2:AJ$180,'MoodysData(Raw)'!$B$2:$B$180,"=EMP",'MoodysData(Raw)'!$D$2:$D$180,"="&amp;'Implied Productivity Ratios'!$C34)</f>
        <v>205.51940333521776</v>
      </c>
      <c r="AH34">
        <f>SUMIFS('MoodysData(Raw)'!AK$2:AK$180,'MoodysData(Raw)'!$B$2:$B$180,"=GDP",'MoodysData(Raw)'!$D$2:$D$180,"="&amp;'Implied Productivity Ratios'!$C34)/SUMIFS('MoodysData(Raw)'!AK$2:AK$180,'MoodysData(Raw)'!$B$2:$B$180,"=EMP",'MoodysData(Raw)'!$D$2:$D$180,"="&amp;'Implied Productivity Ratios'!$C34)</f>
        <v>212.87094546811528</v>
      </c>
      <c r="AI34">
        <f>SUMIFS('MoodysData(Raw)'!AL$2:AL$180,'MoodysData(Raw)'!$B$2:$B$180,"=GDP",'MoodysData(Raw)'!$D$2:$D$180,"="&amp;'Implied Productivity Ratios'!$C34)/SUMIFS('MoodysData(Raw)'!AL$2:AL$180,'MoodysData(Raw)'!$B$2:$B$180,"=EMP",'MoodysData(Raw)'!$D$2:$D$180,"="&amp;'Implied Productivity Ratios'!$C34)</f>
        <v>220.17028993911833</v>
      </c>
      <c r="AJ34">
        <f>SUMIFS('MoodysData(Raw)'!AM$2:AM$180,'MoodysData(Raw)'!$B$2:$B$180,"=GDP",'MoodysData(Raw)'!$D$2:$D$180,"="&amp;'Implied Productivity Ratios'!$C34)/SUMIFS('MoodysData(Raw)'!AM$2:AM$180,'MoodysData(Raw)'!$B$2:$B$180,"=EMP",'MoodysData(Raw)'!$D$2:$D$180,"="&amp;'Implied Productivity Ratios'!$C34)</f>
        <v>227.67729112830014</v>
      </c>
      <c r="AK34">
        <f>SUMIFS('MoodysData(Raw)'!AN$2:AN$180,'MoodysData(Raw)'!$B$2:$B$180,"=GDP",'MoodysData(Raw)'!$D$2:$D$180,"="&amp;'Implied Productivity Ratios'!$C34)/SUMIFS('MoodysData(Raw)'!AN$2:AN$180,'MoodysData(Raw)'!$B$2:$B$180,"=EMP",'MoodysData(Raw)'!$D$2:$D$180,"="&amp;'Implied Productivity Ratios'!$C34)</f>
        <v>235.50648691020123</v>
      </c>
      <c r="AL34">
        <f>SUMIFS('MoodysData(Raw)'!AO$2:AO$180,'MoodysData(Raw)'!$B$2:$B$180,"=GDP",'MoodysData(Raw)'!$D$2:$D$180,"="&amp;'Implied Productivity Ratios'!$C34)/SUMIFS('MoodysData(Raw)'!AO$2:AO$180,'MoodysData(Raw)'!$B$2:$B$180,"=EMP",'MoodysData(Raw)'!$D$2:$D$180,"="&amp;'Implied Productivity Ratios'!$C34)</f>
        <v>243.52411660954712</v>
      </c>
      <c r="AM34">
        <f>SUMIFS('MoodysData(Raw)'!AP$2:AP$180,'MoodysData(Raw)'!$B$2:$B$180,"=GDP",'MoodysData(Raw)'!$D$2:$D$180,"="&amp;'Implied Productivity Ratios'!$C34)/SUMIFS('MoodysData(Raw)'!AP$2:AP$180,'MoodysData(Raw)'!$B$2:$B$180,"=EMP",'MoodysData(Raw)'!$D$2:$D$180,"="&amp;'Implied Productivity Ratios'!$C34)</f>
        <v>251.76988409478307</v>
      </c>
      <c r="AN34">
        <f>SUMIFS('MoodysData(Raw)'!AQ$2:AQ$180,'MoodysData(Raw)'!$B$2:$B$180,"=GDP",'MoodysData(Raw)'!$D$2:$D$180,"="&amp;'Implied Productivity Ratios'!$C34)/SUMIFS('MoodysData(Raw)'!AQ$2:AQ$180,'MoodysData(Raw)'!$B$2:$B$180,"=EMP",'MoodysData(Raw)'!$D$2:$D$180,"="&amp;'Implied Productivity Ratios'!$C34)</f>
        <v>260.2506263412173</v>
      </c>
      <c r="AO34">
        <f>SUMIFS('MoodysData(Raw)'!AR$2:AR$180,'MoodysData(Raw)'!$B$2:$B$180,"=GDP",'MoodysData(Raw)'!$D$2:$D$180,"="&amp;'Implied Productivity Ratios'!$C34)/SUMIFS('MoodysData(Raw)'!AR$2:AR$180,'MoodysData(Raw)'!$B$2:$B$180,"=EMP",'MoodysData(Raw)'!$D$2:$D$180,"="&amp;'Implied Productivity Ratios'!$C34)</f>
        <v>268.89043543224324</v>
      </c>
      <c r="AP34">
        <f>SUMIFS('MoodysData(Raw)'!AS$2:AS$180,'MoodysData(Raw)'!$B$2:$B$180,"=GDP",'MoodysData(Raw)'!$D$2:$D$180,"="&amp;'Implied Productivity Ratios'!$C34)/SUMIFS('MoodysData(Raw)'!AS$2:AS$180,'MoodysData(Raw)'!$B$2:$B$180,"=EMP",'MoodysData(Raw)'!$D$2:$D$180,"="&amp;'Implied Productivity Ratios'!$C34)</f>
        <v>277.74069889996832</v>
      </c>
      <c r="AQ34">
        <f>SUMIFS('MoodysData(Raw)'!AT$2:AT$180,'MoodysData(Raw)'!$B$2:$B$180,"=GDP",'MoodysData(Raw)'!$D$2:$D$180,"="&amp;'Implied Productivity Ratios'!$C34)/SUMIFS('MoodysData(Raw)'!AT$2:AT$180,'MoodysData(Raw)'!$B$2:$B$180,"=EMP",'MoodysData(Raw)'!$D$2:$D$180,"="&amp;'Implied Productivity Ratios'!$C34)</f>
        <v>286.96928645412254</v>
      </c>
      <c r="AR34">
        <f>SUMIFS('MoodysData(Raw)'!AU$2:AU$180,'MoodysData(Raw)'!$B$2:$B$180,"=GDP",'MoodysData(Raw)'!$D$2:$D$180,"="&amp;'Implied Productivity Ratios'!$C34)/SUMIFS('MoodysData(Raw)'!AU$2:AU$180,'MoodysData(Raw)'!$B$2:$B$180,"=EMP",'MoodysData(Raw)'!$D$2:$D$180,"="&amp;'Implied Productivity Ratios'!$C34)</f>
        <v>296.6359545754276</v>
      </c>
      <c r="AS34">
        <f>SUMIFS('MoodysData(Raw)'!AV$2:AV$180,'MoodysData(Raw)'!$B$2:$B$180,"=GDP",'MoodysData(Raw)'!$D$2:$D$180,"="&amp;'Implied Productivity Ratios'!$C34)/SUMIFS('MoodysData(Raw)'!AV$2:AV$180,'MoodysData(Raw)'!$B$2:$B$180,"=EMP",'MoodysData(Raw)'!$D$2:$D$180,"="&amp;'Implied Productivity Ratios'!$C34)</f>
        <v>306.69542613483083</v>
      </c>
      <c r="AT34">
        <f>SUMIFS('MoodysData(Raw)'!AW$2:AW$180,'MoodysData(Raw)'!$B$2:$B$180,"=GDP",'MoodysData(Raw)'!$D$2:$D$180,"="&amp;'Implied Productivity Ratios'!$C34)/SUMIFS('MoodysData(Raw)'!AW$2:AW$180,'MoodysData(Raw)'!$B$2:$B$180,"=EMP",'MoodysData(Raw)'!$D$2:$D$180,"="&amp;'Implied Productivity Ratios'!$C34)</f>
        <v>316.89725879518647</v>
      </c>
      <c r="AU34">
        <f>SUMIFS('MoodysData(Raw)'!AX$2:AX$180,'MoodysData(Raw)'!$B$2:$B$180,"=GDP",'MoodysData(Raw)'!$D$2:$D$180,"="&amp;'Implied Productivity Ratios'!$C34)/SUMIFS('MoodysData(Raw)'!AX$2:AX$180,'MoodysData(Raw)'!$B$2:$B$180,"=EMP",'MoodysData(Raw)'!$D$2:$D$180,"="&amp;'Implied Productivity Ratios'!$C34)</f>
        <v>327.42101436498245</v>
      </c>
      <c r="AV34">
        <f>SUMIFS('MoodysData(Raw)'!AY$2:AY$180,'MoodysData(Raw)'!$B$2:$B$180,"=GDP",'MoodysData(Raw)'!$D$2:$D$180,"="&amp;'Implied Productivity Ratios'!$C34)/SUMIFS('MoodysData(Raw)'!AY$2:AY$180,'MoodysData(Raw)'!$B$2:$B$180,"=EMP",'MoodysData(Raw)'!$D$2:$D$180,"="&amp;'Implied Productivity Ratios'!$C34)</f>
        <v>338.55876103163547</v>
      </c>
      <c r="AW34">
        <f>SUMIFS('MoodysData(Raw)'!AZ$2:AZ$180,'MoodysData(Raw)'!$B$2:$B$180,"=GDP",'MoodysData(Raw)'!$D$2:$D$180,"="&amp;'Implied Productivity Ratios'!$C34)/SUMIFS('MoodysData(Raw)'!AZ$2:AZ$180,'MoodysData(Raw)'!$B$2:$B$180,"=EMP",'MoodysData(Raw)'!$D$2:$D$180,"="&amp;'Implied Productivity Ratios'!$C34)</f>
        <v>350.05953883919062</v>
      </c>
      <c r="AX34">
        <f>SUMIFS('MoodysData(Raw)'!BA$2:BA$180,'MoodysData(Raw)'!$B$2:$B$180,"=GDP",'MoodysData(Raw)'!$D$2:$D$180,"="&amp;'Implied Productivity Ratios'!$C34)/SUMIFS('MoodysData(Raw)'!BA$2:BA$180,'MoodysData(Raw)'!$B$2:$B$180,"=EMP",'MoodysData(Raw)'!$D$2:$D$180,"="&amp;'Implied Productivity Ratios'!$C34)</f>
        <v>361.84277681666822</v>
      </c>
      <c r="AY34">
        <f>SUMIFS('MoodysData(Raw)'!BB$2:BB$180,'MoodysData(Raw)'!$B$2:$B$180,"=GDP",'MoodysData(Raw)'!$D$2:$D$180,"="&amp;'Implied Productivity Ratios'!$C34)/SUMIFS('MoodysData(Raw)'!BB$2:BB$180,'MoodysData(Raw)'!$B$2:$B$180,"=EMP",'MoodysData(Raw)'!$D$2:$D$180,"="&amp;'Implied Productivity Ratios'!$C34)</f>
        <v>373.87044461597054</v>
      </c>
      <c r="AZ34">
        <f>SUMIFS('MoodysData(Raw)'!BC$2:BC$180,'MoodysData(Raw)'!$B$2:$B$180,"=GDP",'MoodysData(Raw)'!$D$2:$D$180,"="&amp;'Implied Productivity Ratios'!$C34)/SUMIFS('MoodysData(Raw)'!BC$2:BC$180,'MoodysData(Raw)'!$B$2:$B$180,"=EMP",'MoodysData(Raw)'!$D$2:$D$180,"="&amp;'Implied Productivity Ratios'!$C34)</f>
        <v>386.40823866209422</v>
      </c>
      <c r="BA34">
        <f>SUMIFS('MoodysData(Raw)'!BD$2:BD$180,'MoodysData(Raw)'!$B$2:$B$180,"=GDP",'MoodysData(Raw)'!$D$2:$D$180,"="&amp;'Implied Productivity Ratios'!$C34)/SUMIFS('MoodysData(Raw)'!BD$2:BD$180,'MoodysData(Raw)'!$B$2:$B$180,"=EMP",'MoodysData(Raw)'!$D$2:$D$180,"="&amp;'Implied Productivity Ratios'!$C34)</f>
        <v>399.46997434530823</v>
      </c>
      <c r="BB34">
        <f>SUMIFS('MoodysData(Raw)'!BE$2:BE$180,'MoodysData(Raw)'!$B$2:$B$180,"=GDP",'MoodysData(Raw)'!$D$2:$D$180,"="&amp;'Implied Productivity Ratios'!$C34)/SUMIFS('MoodysData(Raw)'!BE$2:BE$180,'MoodysData(Raw)'!$B$2:$B$180,"=EMP",'MoodysData(Raw)'!$D$2:$D$180,"="&amp;'Implied Productivity Ratios'!$C34)</f>
        <v>413.26693596768166</v>
      </c>
      <c r="BC34">
        <f>SUMIFS('MoodysData(Raw)'!BF$2:BF$180,'MoodysData(Raw)'!$B$2:$B$180,"=GDP",'MoodysData(Raw)'!$D$2:$D$180,"="&amp;'Implied Productivity Ratios'!$C34)/SUMIFS('MoodysData(Raw)'!BF$2:BF$180,'MoodysData(Raw)'!$B$2:$B$180,"=EMP",'MoodysData(Raw)'!$D$2:$D$180,"="&amp;'Implied Productivity Ratios'!$C34)</f>
        <v>427.91422283959969</v>
      </c>
      <c r="BD34" s="5">
        <f t="shared" ref="BD34:BH34" si="28">BC34+($BC34-$AX34)/5</f>
        <v>441.12851204418598</v>
      </c>
      <c r="BE34" s="5">
        <f t="shared" si="28"/>
        <v>454.34280124877228</v>
      </c>
      <c r="BF34" s="5">
        <f t="shared" si="28"/>
        <v>467.55709045335857</v>
      </c>
      <c r="BG34" s="5">
        <f t="shared" si="28"/>
        <v>480.77137965794486</v>
      </c>
      <c r="BH34" s="5">
        <f t="shared" si="28"/>
        <v>493.98566886253116</v>
      </c>
    </row>
    <row r="35" spans="3:60">
      <c r="C35">
        <v>424</v>
      </c>
      <c r="D35" t="s">
        <v>338</v>
      </c>
      <c r="E35">
        <f>SUMIFS('MoodysData(Raw)'!H$2:H$180,'MoodysData(Raw)'!$B$2:$B$180,"=GDP",'MoodysData(Raw)'!$D$2:$D$180,"="&amp;'Implied Productivity Ratios'!$C35)/SUMIFS('MoodysData(Raw)'!H$2:H$180,'MoodysData(Raw)'!$B$2:$B$180,"=EMP",'MoodysData(Raw)'!$D$2:$D$180,"="&amp;'Implied Productivity Ratios'!$C35)</f>
        <v>244.7770815035154</v>
      </c>
      <c r="F35">
        <f>SUMIFS('MoodysData(Raw)'!I$2:I$180,'MoodysData(Raw)'!$B$2:$B$180,"=GDP",'MoodysData(Raw)'!$D$2:$D$180,"="&amp;'Implied Productivity Ratios'!$C35)/SUMIFS('MoodysData(Raw)'!I$2:I$180,'MoodysData(Raw)'!$B$2:$B$180,"=EMP",'MoodysData(Raw)'!$D$2:$D$180,"="&amp;'Implied Productivity Ratios'!$C35)</f>
        <v>245.33045854087385</v>
      </c>
      <c r="G35">
        <f>SUMIFS('MoodysData(Raw)'!J$2:J$180,'MoodysData(Raw)'!$B$2:$B$180,"=GDP",'MoodysData(Raw)'!$D$2:$D$180,"="&amp;'Implied Productivity Ratios'!$C35)/SUMIFS('MoodysData(Raw)'!J$2:J$180,'MoodysData(Raw)'!$B$2:$B$180,"=EMP",'MoodysData(Raw)'!$D$2:$D$180,"="&amp;'Implied Productivity Ratios'!$C35)</f>
        <v>247.58252145373464</v>
      </c>
      <c r="H35">
        <f>SUMIFS('MoodysData(Raw)'!K$2:K$180,'MoodysData(Raw)'!$B$2:$B$180,"=GDP",'MoodysData(Raw)'!$D$2:$D$180,"="&amp;'Implied Productivity Ratios'!$C35)/SUMIFS('MoodysData(Raw)'!K$2:K$180,'MoodysData(Raw)'!$B$2:$B$180,"=EMP",'MoodysData(Raw)'!$D$2:$D$180,"="&amp;'Implied Productivity Ratios'!$C35)</f>
        <v>245.9219356577791</v>
      </c>
      <c r="I35">
        <f>SUMIFS('MoodysData(Raw)'!L$2:L$180,'MoodysData(Raw)'!$B$2:$B$180,"=GDP",'MoodysData(Raw)'!$D$2:$D$180,"="&amp;'Implied Productivity Ratios'!$C35)/SUMIFS('MoodysData(Raw)'!L$2:L$180,'MoodysData(Raw)'!$B$2:$B$180,"=EMP",'MoodysData(Raw)'!$D$2:$D$180,"="&amp;'Implied Productivity Ratios'!$C35)</f>
        <v>224.67374595597775</v>
      </c>
      <c r="J35">
        <f>SUMIFS('MoodysData(Raw)'!M$2:M$180,'MoodysData(Raw)'!$B$2:$B$180,"=GDP",'MoodysData(Raw)'!$D$2:$D$180,"="&amp;'Implied Productivity Ratios'!$C35)/SUMIFS('MoodysData(Raw)'!M$2:M$180,'MoodysData(Raw)'!$B$2:$B$180,"=EMP",'MoodysData(Raw)'!$D$2:$D$180,"="&amp;'Implied Productivity Ratios'!$C35)</f>
        <v>223.77948885830139</v>
      </c>
      <c r="K35">
        <f>SUMIFS('MoodysData(Raw)'!N$2:N$180,'MoodysData(Raw)'!$B$2:$B$180,"=GDP",'MoodysData(Raw)'!$D$2:$D$180,"="&amp;'Implied Productivity Ratios'!$C35)/SUMIFS('MoodysData(Raw)'!N$2:N$180,'MoodysData(Raw)'!$B$2:$B$180,"=EMP",'MoodysData(Raw)'!$D$2:$D$180,"="&amp;'Implied Productivity Ratios'!$C35)</f>
        <v>224.31804142909783</v>
      </c>
      <c r="L35">
        <f>SUMIFS('MoodysData(Raw)'!O$2:O$180,'MoodysData(Raw)'!$B$2:$B$180,"=GDP",'MoodysData(Raw)'!$D$2:$D$180,"="&amp;'Implied Productivity Ratios'!$C35)/SUMIFS('MoodysData(Raw)'!O$2:O$180,'MoodysData(Raw)'!$B$2:$B$180,"=EMP",'MoodysData(Raw)'!$D$2:$D$180,"="&amp;'Implied Productivity Ratios'!$C35)</f>
        <v>226.27817408673701</v>
      </c>
      <c r="M35">
        <f>SUMIFS('MoodysData(Raw)'!P$2:P$180,'MoodysData(Raw)'!$B$2:$B$180,"=GDP",'MoodysData(Raw)'!$D$2:$D$180,"="&amp;'Implied Productivity Ratios'!$C35)/SUMIFS('MoodysData(Raw)'!P$2:P$180,'MoodysData(Raw)'!$B$2:$B$180,"=EMP",'MoodysData(Raw)'!$D$2:$D$180,"="&amp;'Implied Productivity Ratios'!$C35)</f>
        <v>230.56819385874849</v>
      </c>
      <c r="N35">
        <f>SUMIFS('MoodysData(Raw)'!Q$2:Q$180,'MoodysData(Raw)'!$B$2:$B$180,"=GDP",'MoodysData(Raw)'!$D$2:$D$180,"="&amp;'Implied Productivity Ratios'!$C35)/SUMIFS('MoodysData(Raw)'!Q$2:Q$180,'MoodysData(Raw)'!$B$2:$B$180,"=EMP",'MoodysData(Raw)'!$D$2:$D$180,"="&amp;'Implied Productivity Ratios'!$C35)</f>
        <v>233.93554632930895</v>
      </c>
      <c r="O35">
        <f>SUMIFS('MoodysData(Raw)'!R$2:R$180,'MoodysData(Raw)'!$B$2:$B$180,"=GDP",'MoodysData(Raw)'!$D$2:$D$180,"="&amp;'Implied Productivity Ratios'!$C35)/SUMIFS('MoodysData(Raw)'!R$2:R$180,'MoodysData(Raw)'!$B$2:$B$180,"=EMP",'MoodysData(Raw)'!$D$2:$D$180,"="&amp;'Implied Productivity Ratios'!$C35)</f>
        <v>244.03269672961895</v>
      </c>
      <c r="P35">
        <f>SUMIFS('MoodysData(Raw)'!S$2:S$180,'MoodysData(Raw)'!$B$2:$B$180,"=GDP",'MoodysData(Raw)'!$D$2:$D$180,"="&amp;'Implied Productivity Ratios'!$C35)/SUMIFS('MoodysData(Raw)'!S$2:S$180,'MoodysData(Raw)'!$B$2:$B$180,"=EMP",'MoodysData(Raw)'!$D$2:$D$180,"="&amp;'Implied Productivity Ratios'!$C35)</f>
        <v>256.28158178903038</v>
      </c>
      <c r="Q35">
        <f>SUMIFS('MoodysData(Raw)'!T$2:T$180,'MoodysData(Raw)'!$B$2:$B$180,"=GDP",'MoodysData(Raw)'!$D$2:$D$180,"="&amp;'Implied Productivity Ratios'!$C35)/SUMIFS('MoodysData(Raw)'!T$2:T$180,'MoodysData(Raw)'!$B$2:$B$180,"=EMP",'MoodysData(Raw)'!$D$2:$D$180,"="&amp;'Implied Productivity Ratios'!$C35)</f>
        <v>259.67314442523889</v>
      </c>
      <c r="R35">
        <f>SUMIFS('MoodysData(Raw)'!U$2:U$180,'MoodysData(Raw)'!$B$2:$B$180,"=GDP",'MoodysData(Raw)'!$D$2:$D$180,"="&amp;'Implied Productivity Ratios'!$C35)/SUMIFS('MoodysData(Raw)'!U$2:U$180,'MoodysData(Raw)'!$B$2:$B$180,"=EMP",'MoodysData(Raw)'!$D$2:$D$180,"="&amp;'Implied Productivity Ratios'!$C35)</f>
        <v>260.63912027004073</v>
      </c>
      <c r="S35">
        <f>SUMIFS('MoodysData(Raw)'!V$2:V$180,'MoodysData(Raw)'!$B$2:$B$180,"=GDP",'MoodysData(Raw)'!$D$2:$D$180,"="&amp;'Implied Productivity Ratios'!$C35)/SUMIFS('MoodysData(Raw)'!V$2:V$180,'MoodysData(Raw)'!$B$2:$B$180,"=EMP",'MoodysData(Raw)'!$D$2:$D$180,"="&amp;'Implied Productivity Ratios'!$C35)</f>
        <v>265.17619779037545</v>
      </c>
      <c r="T35">
        <f>SUMIFS('MoodysData(Raw)'!W$2:W$180,'MoodysData(Raw)'!$B$2:$B$180,"=GDP",'MoodysData(Raw)'!$D$2:$D$180,"="&amp;'Implied Productivity Ratios'!$C35)/SUMIFS('MoodysData(Raw)'!W$2:W$180,'MoodysData(Raw)'!$B$2:$B$180,"=EMP",'MoodysData(Raw)'!$D$2:$D$180,"="&amp;'Implied Productivity Ratios'!$C35)</f>
        <v>286.77919911960959</v>
      </c>
      <c r="U35">
        <f>SUMIFS('MoodysData(Raw)'!X$2:X$180,'MoodysData(Raw)'!$B$2:$B$180,"=GDP",'MoodysData(Raw)'!$D$2:$D$180,"="&amp;'Implied Productivity Ratios'!$C35)/SUMIFS('MoodysData(Raw)'!X$2:X$180,'MoodysData(Raw)'!$B$2:$B$180,"=EMP",'MoodysData(Raw)'!$D$2:$D$180,"="&amp;'Implied Productivity Ratios'!$C35)</f>
        <v>296.53196504090681</v>
      </c>
      <c r="V35">
        <f>SUMIFS('MoodysData(Raw)'!Y$2:Y$180,'MoodysData(Raw)'!$B$2:$B$180,"=GDP",'MoodysData(Raw)'!$D$2:$D$180,"="&amp;'Implied Productivity Ratios'!$C35)/SUMIFS('MoodysData(Raw)'!Y$2:Y$180,'MoodysData(Raw)'!$B$2:$B$180,"=EMP",'MoodysData(Raw)'!$D$2:$D$180,"="&amp;'Implied Productivity Ratios'!$C35)</f>
        <v>279.5940711531818</v>
      </c>
      <c r="W35">
        <f>SUMIFS('MoodysData(Raw)'!Z$2:Z$180,'MoodysData(Raw)'!$B$2:$B$180,"=GDP",'MoodysData(Raw)'!$D$2:$D$180,"="&amp;'Implied Productivity Ratios'!$C35)/SUMIFS('MoodysData(Raw)'!Z$2:Z$180,'MoodysData(Raw)'!$B$2:$B$180,"=EMP",'MoodysData(Raw)'!$D$2:$D$180,"="&amp;'Implied Productivity Ratios'!$C35)</f>
        <v>270.83193112920276</v>
      </c>
      <c r="X35">
        <f>SUMIFS('MoodysData(Raw)'!AA$2:AA$180,'MoodysData(Raw)'!$B$2:$B$180,"=GDP",'MoodysData(Raw)'!$D$2:$D$180,"="&amp;'Implied Productivity Ratios'!$C35)/SUMIFS('MoodysData(Raw)'!AA$2:AA$180,'MoodysData(Raw)'!$B$2:$B$180,"=EMP",'MoodysData(Raw)'!$D$2:$D$180,"="&amp;'Implied Productivity Ratios'!$C35)</f>
        <v>271.86500665908193</v>
      </c>
      <c r="Y35">
        <f>SUMIFS('MoodysData(Raw)'!AB$2:AB$180,'MoodysData(Raw)'!$B$2:$B$180,"=GDP",'MoodysData(Raw)'!$D$2:$D$180,"="&amp;'Implied Productivity Ratios'!$C35)/SUMIFS('MoodysData(Raw)'!AB$2:AB$180,'MoodysData(Raw)'!$B$2:$B$180,"=EMP",'MoodysData(Raw)'!$D$2:$D$180,"="&amp;'Implied Productivity Ratios'!$C35)</f>
        <v>277.10885775643879</v>
      </c>
      <c r="Z35">
        <f>SUMIFS('MoodysData(Raw)'!AC$2:AC$180,'MoodysData(Raw)'!$B$2:$B$180,"=GDP",'MoodysData(Raw)'!$D$2:$D$180,"="&amp;'Implied Productivity Ratios'!$C35)/SUMIFS('MoodysData(Raw)'!AC$2:AC$180,'MoodysData(Raw)'!$B$2:$B$180,"=EMP",'MoodysData(Raw)'!$D$2:$D$180,"="&amp;'Implied Productivity Ratios'!$C35)</f>
        <v>282.6240804767138</v>
      </c>
      <c r="AA35">
        <f>SUMIFS('MoodysData(Raw)'!AD$2:AD$180,'MoodysData(Raw)'!$B$2:$B$180,"=GDP",'MoodysData(Raw)'!$D$2:$D$180,"="&amp;'Implied Productivity Ratios'!$C35)/SUMIFS('MoodysData(Raw)'!AD$2:AD$180,'MoodysData(Raw)'!$B$2:$B$180,"=EMP",'MoodysData(Raw)'!$D$2:$D$180,"="&amp;'Implied Productivity Ratios'!$C35)</f>
        <v>290.76331615502869</v>
      </c>
      <c r="AB35">
        <f>SUMIFS('MoodysData(Raw)'!AE$2:AE$180,'MoodysData(Raw)'!$B$2:$B$180,"=GDP",'MoodysData(Raw)'!$D$2:$D$180,"="&amp;'Implied Productivity Ratios'!$C35)/SUMIFS('MoodysData(Raw)'!AE$2:AE$180,'MoodysData(Raw)'!$B$2:$B$180,"=EMP",'MoodysData(Raw)'!$D$2:$D$180,"="&amp;'Implied Productivity Ratios'!$C35)</f>
        <v>300.42374332482655</v>
      </c>
      <c r="AC35">
        <f>SUMIFS('MoodysData(Raw)'!AF$2:AF$180,'MoodysData(Raw)'!$B$2:$B$180,"=GDP",'MoodysData(Raw)'!$D$2:$D$180,"="&amp;'Implied Productivity Ratios'!$C35)/SUMIFS('MoodysData(Raw)'!AF$2:AF$180,'MoodysData(Raw)'!$B$2:$B$180,"=EMP",'MoodysData(Raw)'!$D$2:$D$180,"="&amp;'Implied Productivity Ratios'!$C35)</f>
        <v>311.09397577936039</v>
      </c>
      <c r="AD35">
        <f>SUMIFS('MoodysData(Raw)'!AG$2:AG$180,'MoodysData(Raw)'!$B$2:$B$180,"=GDP",'MoodysData(Raw)'!$D$2:$D$180,"="&amp;'Implied Productivity Ratios'!$C35)/SUMIFS('MoodysData(Raw)'!AG$2:AG$180,'MoodysData(Raw)'!$B$2:$B$180,"=EMP",'MoodysData(Raw)'!$D$2:$D$180,"="&amp;'Implied Productivity Ratios'!$C35)</f>
        <v>322.44244019705769</v>
      </c>
      <c r="AE35">
        <f>SUMIFS('MoodysData(Raw)'!AH$2:AH$180,'MoodysData(Raw)'!$B$2:$B$180,"=GDP",'MoodysData(Raw)'!$D$2:$D$180,"="&amp;'Implied Productivity Ratios'!$C35)/SUMIFS('MoodysData(Raw)'!AH$2:AH$180,'MoodysData(Raw)'!$B$2:$B$180,"=EMP",'MoodysData(Raw)'!$D$2:$D$180,"="&amp;'Implied Productivity Ratios'!$C35)</f>
        <v>334.28708384663423</v>
      </c>
      <c r="AF35">
        <f>SUMIFS('MoodysData(Raw)'!AI$2:AI$180,'MoodysData(Raw)'!$B$2:$B$180,"=GDP",'MoodysData(Raw)'!$D$2:$D$180,"="&amp;'Implied Productivity Ratios'!$C35)/SUMIFS('MoodysData(Raw)'!AI$2:AI$180,'MoodysData(Raw)'!$B$2:$B$180,"=EMP",'MoodysData(Raw)'!$D$2:$D$180,"="&amp;'Implied Productivity Ratios'!$C35)</f>
        <v>346.68375977690897</v>
      </c>
      <c r="AG35">
        <f>SUMIFS('MoodysData(Raw)'!AJ$2:AJ$180,'MoodysData(Raw)'!$B$2:$B$180,"=GDP",'MoodysData(Raw)'!$D$2:$D$180,"="&amp;'Implied Productivity Ratios'!$C35)/SUMIFS('MoodysData(Raw)'!AJ$2:AJ$180,'MoodysData(Raw)'!$B$2:$B$180,"=EMP",'MoodysData(Raw)'!$D$2:$D$180,"="&amp;'Implied Productivity Ratios'!$C35)</f>
        <v>359.95106598930107</v>
      </c>
      <c r="AH35">
        <f>SUMIFS('MoodysData(Raw)'!AK$2:AK$180,'MoodysData(Raw)'!$B$2:$B$180,"=GDP",'MoodysData(Raw)'!$D$2:$D$180,"="&amp;'Implied Productivity Ratios'!$C35)/SUMIFS('MoodysData(Raw)'!AK$2:AK$180,'MoodysData(Raw)'!$B$2:$B$180,"=EMP",'MoodysData(Raw)'!$D$2:$D$180,"="&amp;'Implied Productivity Ratios'!$C35)</f>
        <v>373.05339206232367</v>
      </c>
      <c r="AI35">
        <f>SUMIFS('MoodysData(Raw)'!AL$2:AL$180,'MoodysData(Raw)'!$B$2:$B$180,"=GDP",'MoodysData(Raw)'!$D$2:$D$180,"="&amp;'Implied Productivity Ratios'!$C35)/SUMIFS('MoodysData(Raw)'!AL$2:AL$180,'MoodysData(Raw)'!$B$2:$B$180,"=EMP",'MoodysData(Raw)'!$D$2:$D$180,"="&amp;'Implied Productivity Ratios'!$C35)</f>
        <v>386.06334967814945</v>
      </c>
      <c r="AJ35">
        <f>SUMIFS('MoodysData(Raw)'!AM$2:AM$180,'MoodysData(Raw)'!$B$2:$B$180,"=GDP",'MoodysData(Raw)'!$D$2:$D$180,"="&amp;'Implied Productivity Ratios'!$C35)/SUMIFS('MoodysData(Raw)'!AM$2:AM$180,'MoodysData(Raw)'!$B$2:$B$180,"=EMP",'MoodysData(Raw)'!$D$2:$D$180,"="&amp;'Implied Productivity Ratios'!$C35)</f>
        <v>399.43334961642927</v>
      </c>
      <c r="AK35">
        <f>SUMIFS('MoodysData(Raw)'!AN$2:AN$180,'MoodysData(Raw)'!$B$2:$B$180,"=GDP",'MoodysData(Raw)'!$D$2:$D$180,"="&amp;'Implied Productivity Ratios'!$C35)/SUMIFS('MoodysData(Raw)'!AN$2:AN$180,'MoodysData(Raw)'!$B$2:$B$180,"=EMP",'MoodysData(Raw)'!$D$2:$D$180,"="&amp;'Implied Productivity Ratios'!$C35)</f>
        <v>413.35009622667388</v>
      </c>
      <c r="AL35">
        <f>SUMIFS('MoodysData(Raw)'!AO$2:AO$180,'MoodysData(Raw)'!$B$2:$B$180,"=GDP",'MoodysData(Raw)'!$D$2:$D$180,"="&amp;'Implied Productivity Ratios'!$C35)/SUMIFS('MoodysData(Raw)'!AO$2:AO$180,'MoodysData(Raw)'!$B$2:$B$180,"=EMP",'MoodysData(Raw)'!$D$2:$D$180,"="&amp;'Implied Productivity Ratios'!$C35)</f>
        <v>427.58130218286988</v>
      </c>
      <c r="AM35">
        <f>SUMIFS('MoodysData(Raw)'!AP$2:AP$180,'MoodysData(Raw)'!$B$2:$B$180,"=GDP",'MoodysData(Raw)'!$D$2:$D$180,"="&amp;'Implied Productivity Ratios'!$C35)/SUMIFS('MoodysData(Raw)'!AP$2:AP$180,'MoodysData(Raw)'!$B$2:$B$180,"=EMP",'MoodysData(Raw)'!$D$2:$D$180,"="&amp;'Implied Productivity Ratios'!$C35)</f>
        <v>442.20026800175634</v>
      </c>
      <c r="AN35">
        <f>SUMIFS('MoodysData(Raw)'!AQ$2:AQ$180,'MoodysData(Raw)'!$B$2:$B$180,"=GDP",'MoodysData(Raw)'!$D$2:$D$180,"="&amp;'Implied Productivity Ratios'!$C35)/SUMIFS('MoodysData(Raw)'!AQ$2:AQ$180,'MoodysData(Raw)'!$B$2:$B$180,"=EMP",'MoodysData(Raw)'!$D$2:$D$180,"="&amp;'Implied Productivity Ratios'!$C35)</f>
        <v>457.21407654241574</v>
      </c>
      <c r="AO35">
        <f>SUMIFS('MoodysData(Raw)'!AR$2:AR$180,'MoodysData(Raw)'!$B$2:$B$180,"=GDP",'MoodysData(Raw)'!$D$2:$D$180,"="&amp;'Implied Productivity Ratios'!$C35)/SUMIFS('MoodysData(Raw)'!AR$2:AR$180,'MoodysData(Raw)'!$B$2:$B$180,"=EMP",'MoodysData(Raw)'!$D$2:$D$180,"="&amp;'Implied Productivity Ratios'!$C35)</f>
        <v>472.49060520026302</v>
      </c>
      <c r="AP35">
        <f>SUMIFS('MoodysData(Raw)'!AS$2:AS$180,'MoodysData(Raw)'!$B$2:$B$180,"=GDP",'MoodysData(Raw)'!$D$2:$D$180,"="&amp;'Implied Productivity Ratios'!$C35)/SUMIFS('MoodysData(Raw)'!AS$2:AS$180,'MoodysData(Raw)'!$B$2:$B$180,"=EMP",'MoodysData(Raw)'!$D$2:$D$180,"="&amp;'Implied Productivity Ratios'!$C35)</f>
        <v>488.11371196855299</v>
      </c>
      <c r="AQ35">
        <f>SUMIFS('MoodysData(Raw)'!AT$2:AT$180,'MoodysData(Raw)'!$B$2:$B$180,"=GDP",'MoodysData(Raw)'!$D$2:$D$180,"="&amp;'Implied Productivity Ratios'!$C35)/SUMIFS('MoodysData(Raw)'!AT$2:AT$180,'MoodysData(Raw)'!$B$2:$B$180,"=EMP",'MoodysData(Raw)'!$D$2:$D$180,"="&amp;'Implied Productivity Ratios'!$C35)</f>
        <v>504.37548914894768</v>
      </c>
      <c r="AR35">
        <f>SUMIFS('MoodysData(Raw)'!AU$2:AU$180,'MoodysData(Raw)'!$B$2:$B$180,"=GDP",'MoodysData(Raw)'!$D$2:$D$180,"="&amp;'Implied Productivity Ratios'!$C35)/SUMIFS('MoodysData(Raw)'!AU$2:AU$180,'MoodysData(Raw)'!$B$2:$B$180,"=EMP",'MoodysData(Raw)'!$D$2:$D$180,"="&amp;'Implied Productivity Ratios'!$C35)</f>
        <v>521.38329747685623</v>
      </c>
      <c r="AS35">
        <f>SUMIFS('MoodysData(Raw)'!AV$2:AV$180,'MoodysData(Raw)'!$B$2:$B$180,"=GDP",'MoodysData(Raw)'!$D$2:$D$180,"="&amp;'Implied Productivity Ratios'!$C35)/SUMIFS('MoodysData(Raw)'!AV$2:AV$180,'MoodysData(Raw)'!$B$2:$B$180,"=EMP",'MoodysData(Raw)'!$D$2:$D$180,"="&amp;'Implied Productivity Ratios'!$C35)</f>
        <v>539.05534816901786</v>
      </c>
      <c r="AT35">
        <f>SUMIFS('MoodysData(Raw)'!AW$2:AW$180,'MoodysData(Raw)'!$B$2:$B$180,"=GDP",'MoodysData(Raw)'!$D$2:$D$180,"="&amp;'Implied Productivity Ratios'!$C35)/SUMIFS('MoodysData(Raw)'!AW$2:AW$180,'MoodysData(Raw)'!$B$2:$B$180,"=EMP",'MoodysData(Raw)'!$D$2:$D$180,"="&amp;'Implied Productivity Ratios'!$C35)</f>
        <v>556.94972040939035</v>
      </c>
      <c r="AU35">
        <f>SUMIFS('MoodysData(Raw)'!AX$2:AX$180,'MoodysData(Raw)'!$B$2:$B$180,"=GDP",'MoodysData(Raw)'!$D$2:$D$180,"="&amp;'Implied Productivity Ratios'!$C35)/SUMIFS('MoodysData(Raw)'!AX$2:AX$180,'MoodysData(Raw)'!$B$2:$B$180,"=EMP",'MoodysData(Raw)'!$D$2:$D$180,"="&amp;'Implied Productivity Ratios'!$C35)</f>
        <v>575.37290370226481</v>
      </c>
      <c r="AV35">
        <f>SUMIFS('MoodysData(Raw)'!AY$2:AY$180,'MoodysData(Raw)'!$B$2:$B$180,"=GDP",'MoodysData(Raw)'!$D$2:$D$180,"="&amp;'Implied Productivity Ratios'!$C35)/SUMIFS('MoodysData(Raw)'!AY$2:AY$180,'MoodysData(Raw)'!$B$2:$B$180,"=EMP",'MoodysData(Raw)'!$D$2:$D$180,"="&amp;'Implied Productivity Ratios'!$C35)</f>
        <v>594.83936084742845</v>
      </c>
      <c r="AW35">
        <f>SUMIFS('MoodysData(Raw)'!AZ$2:AZ$180,'MoodysData(Raw)'!$B$2:$B$180,"=GDP",'MoodysData(Raw)'!$D$2:$D$180,"="&amp;'Implied Productivity Ratios'!$C35)/SUMIFS('MoodysData(Raw)'!AZ$2:AZ$180,'MoodysData(Raw)'!$B$2:$B$180,"=EMP",'MoodysData(Raw)'!$D$2:$D$180,"="&amp;'Implied Productivity Ratios'!$C35)</f>
        <v>614.91055564177589</v>
      </c>
      <c r="AX35">
        <f>SUMIFS('MoodysData(Raw)'!BA$2:BA$180,'MoodysData(Raw)'!$B$2:$B$180,"=GDP",'MoodysData(Raw)'!$D$2:$D$180,"="&amp;'Implied Productivity Ratios'!$C35)/SUMIFS('MoodysData(Raw)'!BA$2:BA$180,'MoodysData(Raw)'!$B$2:$B$180,"=EMP",'MoodysData(Raw)'!$D$2:$D$180,"="&amp;'Implied Productivity Ratios'!$C35)</f>
        <v>635.44629351482649</v>
      </c>
      <c r="AY35">
        <f>SUMIFS('MoodysData(Raw)'!BB$2:BB$180,'MoodysData(Raw)'!$B$2:$B$180,"=GDP",'MoodysData(Raw)'!$D$2:$D$180,"="&amp;'Implied Productivity Ratios'!$C35)/SUMIFS('MoodysData(Raw)'!BB$2:BB$180,'MoodysData(Raw)'!$B$2:$B$180,"=EMP",'MoodysData(Raw)'!$D$2:$D$180,"="&amp;'Implied Productivity Ratios'!$C35)</f>
        <v>656.37729476338143</v>
      </c>
      <c r="AZ35">
        <f>SUMIFS('MoodysData(Raw)'!BC$2:BC$180,'MoodysData(Raw)'!$B$2:$B$180,"=GDP",'MoodysData(Raw)'!$D$2:$D$180,"="&amp;'Implied Productivity Ratios'!$C35)/SUMIFS('MoodysData(Raw)'!BC$2:BC$180,'MoodysData(Raw)'!$B$2:$B$180,"=EMP",'MoodysData(Raw)'!$D$2:$D$180,"="&amp;'Implied Productivity Ratios'!$C35)</f>
        <v>678.16776433226494</v>
      </c>
      <c r="BA35">
        <f>SUMIFS('MoodysData(Raw)'!BD$2:BD$180,'MoodysData(Raw)'!$B$2:$B$180,"=GDP",'MoodysData(Raw)'!$D$2:$D$180,"="&amp;'Implied Productivity Ratios'!$C35)/SUMIFS('MoodysData(Raw)'!BD$2:BD$180,'MoodysData(Raw)'!$B$2:$B$180,"=EMP",'MoodysData(Raw)'!$D$2:$D$180,"="&amp;'Implied Productivity Ratios'!$C35)</f>
        <v>700.84286228424787</v>
      </c>
      <c r="BB35">
        <f>SUMIFS('MoodysData(Raw)'!BE$2:BE$180,'MoodysData(Raw)'!$B$2:$B$180,"=GDP",'MoodysData(Raw)'!$D$2:$D$180,"="&amp;'Implied Productivity Ratios'!$C35)/SUMIFS('MoodysData(Raw)'!BE$2:BE$180,'MoodysData(Raw)'!$B$2:$B$180,"=EMP",'MoodysData(Raw)'!$D$2:$D$180,"="&amp;'Implied Productivity Ratios'!$C35)</f>
        <v>724.76348173971132</v>
      </c>
      <c r="BC35">
        <f>SUMIFS('MoodysData(Raw)'!BF$2:BF$180,'MoodysData(Raw)'!$B$2:$B$180,"=GDP",'MoodysData(Raw)'!$D$2:$D$180,"="&amp;'Implied Productivity Ratios'!$C35)/SUMIFS('MoodysData(Raw)'!BF$2:BF$180,'MoodysData(Raw)'!$B$2:$B$180,"=EMP",'MoodysData(Raw)'!$D$2:$D$180,"="&amp;'Implied Productivity Ratios'!$C35)</f>
        <v>750.12259282921798</v>
      </c>
      <c r="BD35" s="5">
        <f t="shared" ref="BD35:BH35" si="29">BC35+($BC35-$AX35)/5</f>
        <v>773.05785269209628</v>
      </c>
      <c r="BE35" s="5">
        <f t="shared" si="29"/>
        <v>795.99311255497457</v>
      </c>
      <c r="BF35" s="5">
        <f t="shared" si="29"/>
        <v>818.92837241785287</v>
      </c>
      <c r="BG35" s="5">
        <f t="shared" si="29"/>
        <v>841.86363228073117</v>
      </c>
      <c r="BH35" s="5">
        <f t="shared" si="29"/>
        <v>864.79889214360946</v>
      </c>
    </row>
    <row r="36" spans="3:60">
      <c r="C36">
        <v>425</v>
      </c>
      <c r="D36" t="s">
        <v>342</v>
      </c>
      <c r="E36">
        <f>SUMIFS('MoodysData(Raw)'!H$2:H$180,'MoodysData(Raw)'!$B$2:$B$180,"=GDP",'MoodysData(Raw)'!$D$2:$D$180,"="&amp;'Implied Productivity Ratios'!$C36)/SUMIFS('MoodysData(Raw)'!H$2:H$180,'MoodysData(Raw)'!$B$2:$B$180,"=EMP",'MoodysData(Raw)'!$D$2:$D$180,"="&amp;'Implied Productivity Ratios'!$C36)</f>
        <v>59.29316357632986</v>
      </c>
      <c r="F36">
        <f>SUMIFS('MoodysData(Raw)'!I$2:I$180,'MoodysData(Raw)'!$B$2:$B$180,"=GDP",'MoodysData(Raw)'!$D$2:$D$180,"="&amp;'Implied Productivity Ratios'!$C36)/SUMIFS('MoodysData(Raw)'!I$2:I$180,'MoodysData(Raw)'!$B$2:$B$180,"=EMP",'MoodysData(Raw)'!$D$2:$D$180,"="&amp;'Implied Productivity Ratios'!$C36)</f>
        <v>54.305975383209322</v>
      </c>
      <c r="G36">
        <f>SUMIFS('MoodysData(Raw)'!J$2:J$180,'MoodysData(Raw)'!$B$2:$B$180,"=GDP",'MoodysData(Raw)'!$D$2:$D$180,"="&amp;'Implied Productivity Ratios'!$C36)/SUMIFS('MoodysData(Raw)'!J$2:J$180,'MoodysData(Raw)'!$B$2:$B$180,"=EMP",'MoodysData(Raw)'!$D$2:$D$180,"="&amp;'Implied Productivity Ratios'!$C36)</f>
        <v>54.313642717098659</v>
      </c>
      <c r="H36">
        <f>SUMIFS('MoodysData(Raw)'!K$2:K$180,'MoodysData(Raw)'!$B$2:$B$180,"=GDP",'MoodysData(Raw)'!$D$2:$D$180,"="&amp;'Implied Productivity Ratios'!$C36)/SUMIFS('MoodysData(Raw)'!K$2:K$180,'MoodysData(Raw)'!$B$2:$B$180,"=EMP",'MoodysData(Raw)'!$D$2:$D$180,"="&amp;'Implied Productivity Ratios'!$C36)</f>
        <v>68.929254267019445</v>
      </c>
      <c r="I36">
        <f>SUMIFS('MoodysData(Raw)'!L$2:L$180,'MoodysData(Raw)'!$B$2:$B$180,"=GDP",'MoodysData(Raw)'!$D$2:$D$180,"="&amp;'Implied Productivity Ratios'!$C36)/SUMIFS('MoodysData(Raw)'!L$2:L$180,'MoodysData(Raw)'!$B$2:$B$180,"=EMP",'MoodysData(Raw)'!$D$2:$D$180,"="&amp;'Implied Productivity Ratios'!$C36)</f>
        <v>62.395130763936677</v>
      </c>
      <c r="J36">
        <f>SUMIFS('MoodysData(Raw)'!M$2:M$180,'MoodysData(Raw)'!$B$2:$B$180,"=GDP",'MoodysData(Raw)'!$D$2:$D$180,"="&amp;'Implied Productivity Ratios'!$C36)/SUMIFS('MoodysData(Raw)'!M$2:M$180,'MoodysData(Raw)'!$B$2:$B$180,"=EMP",'MoodysData(Raw)'!$D$2:$D$180,"="&amp;'Implied Productivity Ratios'!$C36)</f>
        <v>86.40982342875958</v>
      </c>
      <c r="K36">
        <f>SUMIFS('MoodysData(Raw)'!N$2:N$180,'MoodysData(Raw)'!$B$2:$B$180,"=GDP",'MoodysData(Raw)'!$D$2:$D$180,"="&amp;'Implied Productivity Ratios'!$C36)/SUMIFS('MoodysData(Raw)'!N$2:N$180,'MoodysData(Raw)'!$B$2:$B$180,"=EMP",'MoodysData(Raw)'!$D$2:$D$180,"="&amp;'Implied Productivity Ratios'!$C36)</f>
        <v>89.387340795059828</v>
      </c>
      <c r="L36">
        <f>SUMIFS('MoodysData(Raw)'!O$2:O$180,'MoodysData(Raw)'!$B$2:$B$180,"=GDP",'MoodysData(Raw)'!$D$2:$D$180,"="&amp;'Implied Productivity Ratios'!$C36)/SUMIFS('MoodysData(Raw)'!O$2:O$180,'MoodysData(Raw)'!$B$2:$B$180,"=EMP",'MoodysData(Raw)'!$D$2:$D$180,"="&amp;'Implied Productivity Ratios'!$C36)</f>
        <v>97.846216041686432</v>
      </c>
      <c r="M36">
        <f>SUMIFS('MoodysData(Raw)'!P$2:P$180,'MoodysData(Raw)'!$B$2:$B$180,"=GDP",'MoodysData(Raw)'!$D$2:$D$180,"="&amp;'Implied Productivity Ratios'!$C36)/SUMIFS('MoodysData(Raw)'!P$2:P$180,'MoodysData(Raw)'!$B$2:$B$180,"=EMP",'MoodysData(Raw)'!$D$2:$D$180,"="&amp;'Implied Productivity Ratios'!$C36)</f>
        <v>99.01347733016415</v>
      </c>
      <c r="N36">
        <f>SUMIFS('MoodysData(Raw)'!Q$2:Q$180,'MoodysData(Raw)'!$B$2:$B$180,"=GDP",'MoodysData(Raw)'!$D$2:$D$180,"="&amp;'Implied Productivity Ratios'!$C36)/SUMIFS('MoodysData(Raw)'!Q$2:Q$180,'MoodysData(Raw)'!$B$2:$B$180,"=EMP",'MoodysData(Raw)'!$D$2:$D$180,"="&amp;'Implied Productivity Ratios'!$C36)</f>
        <v>97.198287783169476</v>
      </c>
      <c r="O36">
        <f>SUMIFS('MoodysData(Raw)'!R$2:R$180,'MoodysData(Raw)'!$B$2:$B$180,"=GDP",'MoodysData(Raw)'!$D$2:$D$180,"="&amp;'Implied Productivity Ratios'!$C36)/SUMIFS('MoodysData(Raw)'!R$2:R$180,'MoodysData(Raw)'!$B$2:$B$180,"=EMP",'MoodysData(Raw)'!$D$2:$D$180,"="&amp;'Implied Productivity Ratios'!$C36)</f>
        <v>90.019037237180157</v>
      </c>
      <c r="P36">
        <f>SUMIFS('MoodysData(Raw)'!S$2:S$180,'MoodysData(Raw)'!$B$2:$B$180,"=GDP",'MoodysData(Raw)'!$D$2:$D$180,"="&amp;'Implied Productivity Ratios'!$C36)/SUMIFS('MoodysData(Raw)'!S$2:S$180,'MoodysData(Raw)'!$B$2:$B$180,"=EMP",'MoodysData(Raw)'!$D$2:$D$180,"="&amp;'Implied Productivity Ratios'!$C36)</f>
        <v>74.36172349656745</v>
      </c>
      <c r="Q36">
        <f>SUMIFS('MoodysData(Raw)'!T$2:T$180,'MoodysData(Raw)'!$B$2:$B$180,"=GDP",'MoodysData(Raw)'!$D$2:$D$180,"="&amp;'Implied Productivity Ratios'!$C36)/SUMIFS('MoodysData(Raw)'!T$2:T$180,'MoodysData(Raw)'!$B$2:$B$180,"=EMP",'MoodysData(Raw)'!$D$2:$D$180,"="&amp;'Implied Productivity Ratios'!$C36)</f>
        <v>60.442056481943503</v>
      </c>
      <c r="R36">
        <f>SUMIFS('MoodysData(Raw)'!U$2:U$180,'MoodysData(Raw)'!$B$2:$B$180,"=GDP",'MoodysData(Raw)'!$D$2:$D$180,"="&amp;'Implied Productivity Ratios'!$C36)/SUMIFS('MoodysData(Raw)'!U$2:U$180,'MoodysData(Raw)'!$B$2:$B$180,"=EMP",'MoodysData(Raw)'!$D$2:$D$180,"="&amp;'Implied Productivity Ratios'!$C36)</f>
        <v>50.779054608213087</v>
      </c>
      <c r="S36">
        <f>SUMIFS('MoodysData(Raw)'!V$2:V$180,'MoodysData(Raw)'!$B$2:$B$180,"=GDP",'MoodysData(Raw)'!$D$2:$D$180,"="&amp;'Implied Productivity Ratios'!$C36)/SUMIFS('MoodysData(Raw)'!V$2:V$180,'MoodysData(Raw)'!$B$2:$B$180,"=EMP",'MoodysData(Raw)'!$D$2:$D$180,"="&amp;'Implied Productivity Ratios'!$C36)</f>
        <v>53.138846852875638</v>
      </c>
      <c r="T36">
        <f>SUMIFS('MoodysData(Raw)'!W$2:W$180,'MoodysData(Raw)'!$B$2:$B$180,"=GDP",'MoodysData(Raw)'!$D$2:$D$180,"="&amp;'Implied Productivity Ratios'!$C36)/SUMIFS('MoodysData(Raw)'!W$2:W$180,'MoodysData(Raw)'!$B$2:$B$180,"=EMP",'MoodysData(Raw)'!$D$2:$D$180,"="&amp;'Implied Productivity Ratios'!$C36)</f>
        <v>50.836227591518366</v>
      </c>
      <c r="U36">
        <f>SUMIFS('MoodysData(Raw)'!X$2:X$180,'MoodysData(Raw)'!$B$2:$B$180,"=GDP",'MoodysData(Raw)'!$D$2:$D$180,"="&amp;'Implied Productivity Ratios'!$C36)/SUMIFS('MoodysData(Raw)'!X$2:X$180,'MoodysData(Raw)'!$B$2:$B$180,"=EMP",'MoodysData(Raw)'!$D$2:$D$180,"="&amp;'Implied Productivity Ratios'!$C36)</f>
        <v>56.66817564233012</v>
      </c>
      <c r="V36">
        <f>SUMIFS('MoodysData(Raw)'!Y$2:Y$180,'MoodysData(Raw)'!$B$2:$B$180,"=GDP",'MoodysData(Raw)'!$D$2:$D$180,"="&amp;'Implied Productivity Ratios'!$C36)/SUMIFS('MoodysData(Raw)'!Y$2:Y$180,'MoodysData(Raw)'!$B$2:$B$180,"=EMP",'MoodysData(Raw)'!$D$2:$D$180,"="&amp;'Implied Productivity Ratios'!$C36)</f>
        <v>51.422922889743333</v>
      </c>
      <c r="W36">
        <f>SUMIFS('MoodysData(Raw)'!Z$2:Z$180,'MoodysData(Raw)'!$B$2:$B$180,"=GDP",'MoodysData(Raw)'!$D$2:$D$180,"="&amp;'Implied Productivity Ratios'!$C36)/SUMIFS('MoodysData(Raw)'!Z$2:Z$180,'MoodysData(Raw)'!$B$2:$B$180,"=EMP",'MoodysData(Raw)'!$D$2:$D$180,"="&amp;'Implied Productivity Ratios'!$C36)</f>
        <v>45.382876777407418</v>
      </c>
      <c r="X36">
        <f>SUMIFS('MoodysData(Raw)'!AA$2:AA$180,'MoodysData(Raw)'!$B$2:$B$180,"=GDP",'MoodysData(Raw)'!$D$2:$D$180,"="&amp;'Implied Productivity Ratios'!$C36)/SUMIFS('MoodysData(Raw)'!AA$2:AA$180,'MoodysData(Raw)'!$B$2:$B$180,"=EMP",'MoodysData(Raw)'!$D$2:$D$180,"="&amp;'Implied Productivity Ratios'!$C36)</f>
        <v>43.426384833975632</v>
      </c>
      <c r="Y36">
        <f>SUMIFS('MoodysData(Raw)'!AB$2:AB$180,'MoodysData(Raw)'!$B$2:$B$180,"=GDP",'MoodysData(Raw)'!$D$2:$D$180,"="&amp;'Implied Productivity Ratios'!$C36)/SUMIFS('MoodysData(Raw)'!AB$2:AB$180,'MoodysData(Raw)'!$B$2:$B$180,"=EMP",'MoodysData(Raw)'!$D$2:$D$180,"="&amp;'Implied Productivity Ratios'!$C36)</f>
        <v>43.728212917608644</v>
      </c>
      <c r="Z36">
        <f>SUMIFS('MoodysData(Raw)'!AC$2:AC$180,'MoodysData(Raw)'!$B$2:$B$180,"=GDP",'MoodysData(Raw)'!$D$2:$D$180,"="&amp;'Implied Productivity Ratios'!$C36)/SUMIFS('MoodysData(Raw)'!AC$2:AC$180,'MoodysData(Raw)'!$B$2:$B$180,"=EMP",'MoodysData(Raw)'!$D$2:$D$180,"="&amp;'Implied Productivity Ratios'!$C36)</f>
        <v>43.892242762248422</v>
      </c>
      <c r="AA36">
        <f>SUMIFS('MoodysData(Raw)'!AD$2:AD$180,'MoodysData(Raw)'!$B$2:$B$180,"=GDP",'MoodysData(Raw)'!$D$2:$D$180,"="&amp;'Implied Productivity Ratios'!$C36)/SUMIFS('MoodysData(Raw)'!AD$2:AD$180,'MoodysData(Raw)'!$B$2:$B$180,"=EMP",'MoodysData(Raw)'!$D$2:$D$180,"="&amp;'Implied Productivity Ratios'!$C36)</f>
        <v>44.471376294858125</v>
      </c>
      <c r="AB36">
        <f>SUMIFS('MoodysData(Raw)'!AE$2:AE$180,'MoodysData(Raw)'!$B$2:$B$180,"=GDP",'MoodysData(Raw)'!$D$2:$D$180,"="&amp;'Implied Productivity Ratios'!$C36)/SUMIFS('MoodysData(Raw)'!AE$2:AE$180,'MoodysData(Raw)'!$B$2:$B$180,"=EMP",'MoodysData(Raw)'!$D$2:$D$180,"="&amp;'Implied Productivity Ratios'!$C36)</f>
        <v>45.283375203132373</v>
      </c>
      <c r="AC36">
        <f>SUMIFS('MoodysData(Raw)'!AF$2:AF$180,'MoodysData(Raw)'!$B$2:$B$180,"=GDP",'MoodysData(Raw)'!$D$2:$D$180,"="&amp;'Implied Productivity Ratios'!$C36)/SUMIFS('MoodysData(Raw)'!AF$2:AF$180,'MoodysData(Raw)'!$B$2:$B$180,"=EMP",'MoodysData(Raw)'!$D$2:$D$180,"="&amp;'Implied Productivity Ratios'!$C36)</f>
        <v>46.238980149186801</v>
      </c>
      <c r="AD36">
        <f>SUMIFS('MoodysData(Raw)'!AG$2:AG$180,'MoodysData(Raw)'!$B$2:$B$180,"=GDP",'MoodysData(Raw)'!$D$2:$D$180,"="&amp;'Implied Productivity Ratios'!$C36)/SUMIFS('MoodysData(Raw)'!AG$2:AG$180,'MoodysData(Raw)'!$B$2:$B$180,"=EMP",'MoodysData(Raw)'!$D$2:$D$180,"="&amp;'Implied Productivity Ratios'!$C36)</f>
        <v>47.278794946951251</v>
      </c>
      <c r="AE36">
        <f>SUMIFS('MoodysData(Raw)'!AH$2:AH$180,'MoodysData(Raw)'!$B$2:$B$180,"=GDP",'MoodysData(Raw)'!$D$2:$D$180,"="&amp;'Implied Productivity Ratios'!$C36)/SUMIFS('MoodysData(Raw)'!AH$2:AH$180,'MoodysData(Raw)'!$B$2:$B$180,"=EMP",'MoodysData(Raw)'!$D$2:$D$180,"="&amp;'Implied Productivity Ratios'!$C36)</f>
        <v>48.376833016244696</v>
      </c>
      <c r="AF36">
        <f>SUMIFS('MoodysData(Raw)'!AI$2:AI$180,'MoodysData(Raw)'!$B$2:$B$180,"=GDP",'MoodysData(Raw)'!$D$2:$D$180,"="&amp;'Implied Productivity Ratios'!$C36)/SUMIFS('MoodysData(Raw)'!AI$2:AI$180,'MoodysData(Raw)'!$B$2:$B$180,"=EMP",'MoodysData(Raw)'!$D$2:$D$180,"="&amp;'Implied Productivity Ratios'!$C36)</f>
        <v>49.542898979447173</v>
      </c>
      <c r="AG36">
        <f>SUMIFS('MoodysData(Raw)'!AJ$2:AJ$180,'MoodysData(Raw)'!$B$2:$B$180,"=GDP",'MoodysData(Raw)'!$D$2:$D$180,"="&amp;'Implied Productivity Ratios'!$C36)/SUMIFS('MoodysData(Raw)'!AJ$2:AJ$180,'MoodysData(Raw)'!$B$2:$B$180,"=EMP",'MoodysData(Raw)'!$D$2:$D$180,"="&amp;'Implied Productivity Ratios'!$C36)</f>
        <v>50.82294648190053</v>
      </c>
      <c r="AH36">
        <f>SUMIFS('MoodysData(Raw)'!AK$2:AK$180,'MoodysData(Raw)'!$B$2:$B$180,"=GDP",'MoodysData(Raw)'!$D$2:$D$180,"="&amp;'Implied Productivity Ratios'!$C36)/SUMIFS('MoodysData(Raw)'!AK$2:AK$180,'MoodysData(Raw)'!$B$2:$B$180,"=EMP",'MoodysData(Raw)'!$D$2:$D$180,"="&amp;'Implied Productivity Ratios'!$C36)</f>
        <v>52.069535929277869</v>
      </c>
      <c r="AI36">
        <f>SUMIFS('MoodysData(Raw)'!AL$2:AL$180,'MoodysData(Raw)'!$B$2:$B$180,"=GDP",'MoodysData(Raw)'!$D$2:$D$180,"="&amp;'Implied Productivity Ratios'!$C36)/SUMIFS('MoodysData(Raw)'!AL$2:AL$180,'MoodysData(Raw)'!$B$2:$B$180,"=EMP",'MoodysData(Raw)'!$D$2:$D$180,"="&amp;'Implied Productivity Ratios'!$C36)</f>
        <v>53.295066260079018</v>
      </c>
      <c r="AJ36">
        <f>SUMIFS('MoodysData(Raw)'!AM$2:AM$180,'MoodysData(Raw)'!$B$2:$B$180,"=GDP",'MoodysData(Raw)'!$D$2:$D$180,"="&amp;'Implied Productivity Ratios'!$C36)/SUMIFS('MoodysData(Raw)'!AM$2:AM$180,'MoodysData(Raw)'!$B$2:$B$180,"=EMP",'MoodysData(Raw)'!$D$2:$D$180,"="&amp;'Implied Productivity Ratios'!$C36)</f>
        <v>54.565035196870411</v>
      </c>
      <c r="AK36">
        <f>SUMIFS('MoodysData(Raw)'!AN$2:AN$180,'MoodysData(Raw)'!$B$2:$B$180,"=GDP",'MoodysData(Raw)'!$D$2:$D$180,"="&amp;'Implied Productivity Ratios'!$C36)/SUMIFS('MoodysData(Raw)'!AN$2:AN$180,'MoodysData(Raw)'!$B$2:$B$180,"=EMP",'MoodysData(Raw)'!$D$2:$D$180,"="&amp;'Implied Productivity Ratios'!$C36)</f>
        <v>55.907521487411323</v>
      </c>
      <c r="AL36">
        <f>SUMIFS('MoodysData(Raw)'!AO$2:AO$180,'MoodysData(Raw)'!$B$2:$B$180,"=GDP",'MoodysData(Raw)'!$D$2:$D$180,"="&amp;'Implied Productivity Ratios'!$C36)/SUMIFS('MoodysData(Raw)'!AO$2:AO$180,'MoodysData(Raw)'!$B$2:$B$180,"=EMP",'MoodysData(Raw)'!$D$2:$D$180,"="&amp;'Implied Productivity Ratios'!$C36)</f>
        <v>57.292680008848642</v>
      </c>
      <c r="AM36">
        <f>SUMIFS('MoodysData(Raw)'!AP$2:AP$180,'MoodysData(Raw)'!$B$2:$B$180,"=GDP",'MoodysData(Raw)'!$D$2:$D$180,"="&amp;'Implied Productivity Ratios'!$C36)/SUMIFS('MoodysData(Raw)'!AP$2:AP$180,'MoodysData(Raw)'!$B$2:$B$180,"=EMP",'MoodysData(Raw)'!$D$2:$D$180,"="&amp;'Implied Productivity Ratios'!$C36)</f>
        <v>58.731024467864422</v>
      </c>
      <c r="AN36">
        <f>SUMIFS('MoodysData(Raw)'!AQ$2:AQ$180,'MoodysData(Raw)'!$B$2:$B$180,"=GDP",'MoodysData(Raw)'!$D$2:$D$180,"="&amp;'Implied Productivity Ratios'!$C36)/SUMIFS('MoodysData(Raw)'!AQ$2:AQ$180,'MoodysData(Raw)'!$B$2:$B$180,"=EMP",'MoodysData(Raw)'!$D$2:$D$180,"="&amp;'Implied Productivity Ratios'!$C36)</f>
        <v>60.224815639989323</v>
      </c>
      <c r="AO36">
        <f>SUMIFS('MoodysData(Raw)'!AR$2:AR$180,'MoodysData(Raw)'!$B$2:$B$180,"=GDP",'MoodysData(Raw)'!$D$2:$D$180,"="&amp;'Implied Productivity Ratios'!$C36)/SUMIFS('MoodysData(Raw)'!AR$2:AR$180,'MoodysData(Raw)'!$B$2:$B$180,"=EMP",'MoodysData(Raw)'!$D$2:$D$180,"="&amp;'Implied Productivity Ratios'!$C36)</f>
        <v>61.757712331599471</v>
      </c>
      <c r="AP36">
        <f>SUMIFS('MoodysData(Raw)'!AS$2:AS$180,'MoodysData(Raw)'!$B$2:$B$180,"=GDP",'MoodysData(Raw)'!$D$2:$D$180,"="&amp;'Implied Productivity Ratios'!$C36)/SUMIFS('MoodysData(Raw)'!AS$2:AS$180,'MoodysData(Raw)'!$B$2:$B$180,"=EMP",'MoodysData(Raw)'!$D$2:$D$180,"="&amp;'Implied Productivity Ratios'!$C36)</f>
        <v>63.342684182021515</v>
      </c>
      <c r="AQ36">
        <f>SUMIFS('MoodysData(Raw)'!AT$2:AT$180,'MoodysData(Raw)'!$B$2:$B$180,"=GDP",'MoodysData(Raw)'!$D$2:$D$180,"="&amp;'Implied Productivity Ratios'!$C36)/SUMIFS('MoodysData(Raw)'!AT$2:AT$180,'MoodysData(Raw)'!$B$2:$B$180,"=EMP",'MoodysData(Raw)'!$D$2:$D$180,"="&amp;'Implied Productivity Ratios'!$C36)</f>
        <v>65.019814371866659</v>
      </c>
      <c r="AR36">
        <f>SUMIFS('MoodysData(Raw)'!AU$2:AU$180,'MoodysData(Raw)'!$B$2:$B$180,"=GDP",'MoodysData(Raw)'!$D$2:$D$180,"="&amp;'Implied Productivity Ratios'!$C36)/SUMIFS('MoodysData(Raw)'!AU$2:AU$180,'MoodysData(Raw)'!$B$2:$B$180,"=EMP",'MoodysData(Raw)'!$D$2:$D$180,"="&amp;'Implied Productivity Ratios'!$C36)</f>
        <v>66.804207054083534</v>
      </c>
      <c r="AS36">
        <f>SUMIFS('MoodysData(Raw)'!AV$2:AV$180,'MoodysData(Raw)'!$B$2:$B$180,"=GDP",'MoodysData(Raw)'!$D$2:$D$180,"="&amp;'Implied Productivity Ratios'!$C36)/SUMIFS('MoodysData(Raw)'!AV$2:AV$180,'MoodysData(Raw)'!$B$2:$B$180,"=EMP",'MoodysData(Raw)'!$D$2:$D$180,"="&amp;'Implied Productivity Ratios'!$C36)</f>
        <v>68.686762302086919</v>
      </c>
      <c r="AT36">
        <f>SUMIFS('MoodysData(Raw)'!AW$2:AW$180,'MoodysData(Raw)'!$B$2:$B$180,"=GDP",'MoodysData(Raw)'!$D$2:$D$180,"="&amp;'Implied Productivity Ratios'!$C36)/SUMIFS('MoodysData(Raw)'!AW$2:AW$180,'MoodysData(Raw)'!$B$2:$B$180,"=EMP",'MoodysData(Raw)'!$D$2:$D$180,"="&amp;'Implied Productivity Ratios'!$C36)</f>
        <v>70.612867830908229</v>
      </c>
      <c r="AU36">
        <f>SUMIFS('MoodysData(Raw)'!AX$2:AX$180,'MoodysData(Raw)'!$B$2:$B$180,"=GDP",'MoodysData(Raw)'!$D$2:$D$180,"="&amp;'Implied Productivity Ratios'!$C36)/SUMIFS('MoodysData(Raw)'!AX$2:AX$180,'MoodysData(Raw)'!$B$2:$B$180,"=EMP",'MoodysData(Raw)'!$D$2:$D$180,"="&amp;'Implied Productivity Ratios'!$C36)</f>
        <v>72.624852566204495</v>
      </c>
      <c r="AV36">
        <f>SUMIFS('MoodysData(Raw)'!AY$2:AY$180,'MoodysData(Raw)'!$B$2:$B$180,"=GDP",'MoodysData(Raw)'!$D$2:$D$180,"="&amp;'Implied Productivity Ratios'!$C36)/SUMIFS('MoodysData(Raw)'!AY$2:AY$180,'MoodysData(Raw)'!$B$2:$B$180,"=EMP",'MoodysData(Raw)'!$D$2:$D$180,"="&amp;'Implied Productivity Ratios'!$C36)</f>
        <v>74.789028942839252</v>
      </c>
      <c r="AW36">
        <f>SUMIFS('MoodysData(Raw)'!AZ$2:AZ$180,'MoodysData(Raw)'!$B$2:$B$180,"=GDP",'MoodysData(Raw)'!$D$2:$D$180,"="&amp;'Implied Productivity Ratios'!$C36)/SUMIFS('MoodysData(Raw)'!AZ$2:AZ$180,'MoodysData(Raw)'!$B$2:$B$180,"=EMP",'MoodysData(Raw)'!$D$2:$D$180,"="&amp;'Implied Productivity Ratios'!$C36)</f>
        <v>77.052064373387495</v>
      </c>
      <c r="AX36">
        <f>SUMIFS('MoodysData(Raw)'!BA$2:BA$180,'MoodysData(Raw)'!$B$2:$B$180,"=GDP",'MoodysData(Raw)'!$D$2:$D$180,"="&amp;'Implied Productivity Ratios'!$C36)/SUMIFS('MoodysData(Raw)'!BA$2:BA$180,'MoodysData(Raw)'!$B$2:$B$180,"=EMP",'MoodysData(Raw)'!$D$2:$D$180,"="&amp;'Implied Productivity Ratios'!$C36)</f>
        <v>79.399934023256804</v>
      </c>
      <c r="AY36">
        <f>SUMIFS('MoodysData(Raw)'!BB$2:BB$180,'MoodysData(Raw)'!$B$2:$B$180,"=GDP",'MoodysData(Raw)'!$D$2:$D$180,"="&amp;'Implied Productivity Ratios'!$C36)/SUMIFS('MoodysData(Raw)'!BB$2:BB$180,'MoodysData(Raw)'!$B$2:$B$180,"=EMP",'MoodysData(Raw)'!$D$2:$D$180,"="&amp;'Implied Productivity Ratios'!$C36)</f>
        <v>81.826998873873862</v>
      </c>
      <c r="AZ36">
        <f>SUMIFS('MoodysData(Raw)'!BC$2:BC$180,'MoodysData(Raw)'!$B$2:$B$180,"=GDP",'MoodysData(Raw)'!$D$2:$D$180,"="&amp;'Implied Productivity Ratios'!$C36)/SUMIFS('MoodysData(Raw)'!BC$2:BC$180,'MoodysData(Raw)'!$B$2:$B$180,"=EMP",'MoodysData(Raw)'!$D$2:$D$180,"="&amp;'Implied Productivity Ratios'!$C36)</f>
        <v>84.393997674888794</v>
      </c>
      <c r="BA36">
        <f>SUMIFS('MoodysData(Raw)'!BD$2:BD$180,'MoodysData(Raw)'!$B$2:$B$180,"=GDP",'MoodysData(Raw)'!$D$2:$D$180,"="&amp;'Implied Productivity Ratios'!$C36)/SUMIFS('MoodysData(Raw)'!BD$2:BD$180,'MoodysData(Raw)'!$B$2:$B$180,"=EMP",'MoodysData(Raw)'!$D$2:$D$180,"="&amp;'Implied Productivity Ratios'!$C36)</f>
        <v>87.10767033977757</v>
      </c>
      <c r="BB36">
        <f>SUMIFS('MoodysData(Raw)'!BE$2:BE$180,'MoodysData(Raw)'!$B$2:$B$180,"=GDP",'MoodysData(Raw)'!$D$2:$D$180,"="&amp;'Implied Productivity Ratios'!$C36)/SUMIFS('MoodysData(Raw)'!BE$2:BE$180,'MoodysData(Raw)'!$B$2:$B$180,"=EMP",'MoodysData(Raw)'!$D$2:$D$180,"="&amp;'Implied Productivity Ratios'!$C36)</f>
        <v>90.016909144324245</v>
      </c>
      <c r="BC36">
        <f>SUMIFS('MoodysData(Raw)'!BF$2:BF$180,'MoodysData(Raw)'!$B$2:$B$180,"=GDP",'MoodysData(Raw)'!$D$2:$D$180,"="&amp;'Implied Productivity Ratios'!$C36)/SUMIFS('MoodysData(Raw)'!BF$2:BF$180,'MoodysData(Raw)'!$B$2:$B$180,"=EMP",'MoodysData(Raw)'!$D$2:$D$180,"="&amp;'Implied Productivity Ratios'!$C36)</f>
        <v>93.150704037233581</v>
      </c>
      <c r="BD36" s="5">
        <f t="shared" ref="BD36:BH36" si="30">BC36+($BC36-$AX36)/5</f>
        <v>95.900858040028936</v>
      </c>
      <c r="BE36" s="5">
        <f t="shared" si="30"/>
        <v>98.651012042824291</v>
      </c>
      <c r="BF36" s="5">
        <f t="shared" si="30"/>
        <v>101.40116604561965</v>
      </c>
      <c r="BG36" s="5">
        <f t="shared" si="30"/>
        <v>104.151320048415</v>
      </c>
      <c r="BH36" s="5">
        <f t="shared" si="30"/>
        <v>106.90147405121036</v>
      </c>
    </row>
    <row r="37" spans="3:60">
      <c r="C37">
        <v>441</v>
      </c>
      <c r="D37" t="s">
        <v>119</v>
      </c>
      <c r="E37">
        <f>SUMIFS('MoodysData(Raw)'!H$2:H$180,'MoodysData(Raw)'!$B$2:$B$180,"=GDP",'MoodysData(Raw)'!$D$2:$D$180,"="&amp;'Implied Productivity Ratios'!$C37)/SUMIFS('MoodysData(Raw)'!H$2:H$180,'MoodysData(Raw)'!$B$2:$B$180,"=EMP",'MoodysData(Raw)'!$D$2:$D$180,"="&amp;'Implied Productivity Ratios'!$C37)</f>
        <v>76.972797447209146</v>
      </c>
      <c r="F37">
        <f>SUMIFS('MoodysData(Raw)'!I$2:I$180,'MoodysData(Raw)'!$B$2:$B$180,"=GDP",'MoodysData(Raw)'!$D$2:$D$180,"="&amp;'Implied Productivity Ratios'!$C37)/SUMIFS('MoodysData(Raw)'!I$2:I$180,'MoodysData(Raw)'!$B$2:$B$180,"=EMP",'MoodysData(Raw)'!$D$2:$D$180,"="&amp;'Implied Productivity Ratios'!$C37)</f>
        <v>75.193883837753063</v>
      </c>
      <c r="G37">
        <f>SUMIFS('MoodysData(Raw)'!J$2:J$180,'MoodysData(Raw)'!$B$2:$B$180,"=GDP",'MoodysData(Raw)'!$D$2:$D$180,"="&amp;'Implied Productivity Ratios'!$C37)/SUMIFS('MoodysData(Raw)'!J$2:J$180,'MoodysData(Raw)'!$B$2:$B$180,"=EMP",'MoodysData(Raw)'!$D$2:$D$180,"="&amp;'Implied Productivity Ratios'!$C37)</f>
        <v>75.991898870940474</v>
      </c>
      <c r="H37">
        <f>SUMIFS('MoodysData(Raw)'!K$2:K$180,'MoodysData(Raw)'!$B$2:$B$180,"=GDP",'MoodysData(Raw)'!$D$2:$D$180,"="&amp;'Implied Productivity Ratios'!$C37)/SUMIFS('MoodysData(Raw)'!K$2:K$180,'MoodysData(Raw)'!$B$2:$B$180,"=EMP",'MoodysData(Raw)'!$D$2:$D$180,"="&amp;'Implied Productivity Ratios'!$C37)</f>
        <v>71.504730528989896</v>
      </c>
      <c r="I37">
        <f>SUMIFS('MoodysData(Raw)'!L$2:L$180,'MoodysData(Raw)'!$B$2:$B$180,"=GDP",'MoodysData(Raw)'!$D$2:$D$180,"="&amp;'Implied Productivity Ratios'!$C37)/SUMIFS('MoodysData(Raw)'!L$2:L$180,'MoodysData(Raw)'!$B$2:$B$180,"=EMP",'MoodysData(Raw)'!$D$2:$D$180,"="&amp;'Implied Productivity Ratios'!$C37)</f>
        <v>66.98575590430498</v>
      </c>
      <c r="J37">
        <f>SUMIFS('MoodysData(Raw)'!M$2:M$180,'MoodysData(Raw)'!$B$2:$B$180,"=GDP",'MoodysData(Raw)'!$D$2:$D$180,"="&amp;'Implied Productivity Ratios'!$C37)/SUMIFS('MoodysData(Raw)'!M$2:M$180,'MoodysData(Raw)'!$B$2:$B$180,"=EMP",'MoodysData(Raw)'!$D$2:$D$180,"="&amp;'Implied Productivity Ratios'!$C37)</f>
        <v>74.108958160912792</v>
      </c>
      <c r="K37">
        <f>SUMIFS('MoodysData(Raw)'!N$2:N$180,'MoodysData(Raw)'!$B$2:$B$180,"=GDP",'MoodysData(Raw)'!$D$2:$D$180,"="&amp;'Implied Productivity Ratios'!$C37)/SUMIFS('MoodysData(Raw)'!N$2:N$180,'MoodysData(Raw)'!$B$2:$B$180,"=EMP",'MoodysData(Raw)'!$D$2:$D$180,"="&amp;'Implied Productivity Ratios'!$C37)</f>
        <v>73.075283662497768</v>
      </c>
      <c r="L37">
        <f>SUMIFS('MoodysData(Raw)'!O$2:O$180,'MoodysData(Raw)'!$B$2:$B$180,"=GDP",'MoodysData(Raw)'!$D$2:$D$180,"="&amp;'Implied Productivity Ratios'!$C37)/SUMIFS('MoodysData(Raw)'!O$2:O$180,'MoodysData(Raw)'!$B$2:$B$180,"=EMP",'MoodysData(Raw)'!$D$2:$D$180,"="&amp;'Implied Productivity Ratios'!$C37)</f>
        <v>77.183296186793143</v>
      </c>
      <c r="M37">
        <f>SUMIFS('MoodysData(Raw)'!P$2:P$180,'MoodysData(Raw)'!$B$2:$B$180,"=GDP",'MoodysData(Raw)'!$D$2:$D$180,"="&amp;'Implied Productivity Ratios'!$C37)/SUMIFS('MoodysData(Raw)'!P$2:P$180,'MoodysData(Raw)'!$B$2:$B$180,"=EMP",'MoodysData(Raw)'!$D$2:$D$180,"="&amp;'Implied Productivity Ratios'!$C37)</f>
        <v>84.184604694728932</v>
      </c>
      <c r="N37">
        <f>SUMIFS('MoodysData(Raw)'!Q$2:Q$180,'MoodysData(Raw)'!$B$2:$B$180,"=GDP",'MoodysData(Raw)'!$D$2:$D$180,"="&amp;'Implied Productivity Ratios'!$C37)/SUMIFS('MoodysData(Raw)'!Q$2:Q$180,'MoodysData(Raw)'!$B$2:$B$180,"=EMP",'MoodysData(Raw)'!$D$2:$D$180,"="&amp;'Implied Productivity Ratios'!$C37)</f>
        <v>88.137425219085543</v>
      </c>
      <c r="O37">
        <f>SUMIFS('MoodysData(Raw)'!R$2:R$180,'MoodysData(Raw)'!$B$2:$B$180,"=GDP",'MoodysData(Raw)'!$D$2:$D$180,"="&amp;'Implied Productivity Ratios'!$C37)/SUMIFS('MoodysData(Raw)'!R$2:R$180,'MoodysData(Raw)'!$B$2:$B$180,"=EMP",'MoodysData(Raw)'!$D$2:$D$180,"="&amp;'Implied Productivity Ratios'!$C37)</f>
        <v>94.370911671391525</v>
      </c>
      <c r="P37">
        <f>SUMIFS('MoodysData(Raw)'!S$2:S$180,'MoodysData(Raw)'!$B$2:$B$180,"=GDP",'MoodysData(Raw)'!$D$2:$D$180,"="&amp;'Implied Productivity Ratios'!$C37)/SUMIFS('MoodysData(Raw)'!S$2:S$180,'MoodysData(Raw)'!$B$2:$B$180,"=EMP",'MoodysData(Raw)'!$D$2:$D$180,"="&amp;'Implied Productivity Ratios'!$C37)</f>
        <v>107.45300894311525</v>
      </c>
      <c r="Q37">
        <f>SUMIFS('MoodysData(Raw)'!T$2:T$180,'MoodysData(Raw)'!$B$2:$B$180,"=GDP",'MoodysData(Raw)'!$D$2:$D$180,"="&amp;'Implied Productivity Ratios'!$C37)/SUMIFS('MoodysData(Raw)'!T$2:T$180,'MoodysData(Raw)'!$B$2:$B$180,"=EMP",'MoodysData(Raw)'!$D$2:$D$180,"="&amp;'Implied Productivity Ratios'!$C37)</f>
        <v>117.62495235776674</v>
      </c>
      <c r="R37">
        <f>SUMIFS('MoodysData(Raw)'!U$2:U$180,'MoodysData(Raw)'!$B$2:$B$180,"=GDP",'MoodysData(Raw)'!$D$2:$D$180,"="&amp;'Implied Productivity Ratios'!$C37)/SUMIFS('MoodysData(Raw)'!U$2:U$180,'MoodysData(Raw)'!$B$2:$B$180,"=EMP",'MoodysData(Raw)'!$D$2:$D$180,"="&amp;'Implied Productivity Ratios'!$C37)</f>
        <v>120.91484438296709</v>
      </c>
      <c r="S37">
        <f>SUMIFS('MoodysData(Raw)'!V$2:V$180,'MoodysData(Raw)'!$B$2:$B$180,"=GDP",'MoodysData(Raw)'!$D$2:$D$180,"="&amp;'Implied Productivity Ratios'!$C37)/SUMIFS('MoodysData(Raw)'!V$2:V$180,'MoodysData(Raw)'!$B$2:$B$180,"=EMP",'MoodysData(Raw)'!$D$2:$D$180,"="&amp;'Implied Productivity Ratios'!$C37)</f>
        <v>128.3051652591999</v>
      </c>
      <c r="T37">
        <f>SUMIFS('MoodysData(Raw)'!W$2:W$180,'MoodysData(Raw)'!$B$2:$B$180,"=GDP",'MoodysData(Raw)'!$D$2:$D$180,"="&amp;'Implied Productivity Ratios'!$C37)/SUMIFS('MoodysData(Raw)'!W$2:W$180,'MoodysData(Raw)'!$B$2:$B$180,"=EMP",'MoodysData(Raw)'!$D$2:$D$180,"="&amp;'Implied Productivity Ratios'!$C37)</f>
        <v>119.22066500232958</v>
      </c>
      <c r="U37">
        <f>SUMIFS('MoodysData(Raw)'!X$2:X$180,'MoodysData(Raw)'!$B$2:$B$180,"=GDP",'MoodysData(Raw)'!$D$2:$D$180,"="&amp;'Implied Productivity Ratios'!$C37)/SUMIFS('MoodysData(Raw)'!X$2:X$180,'MoodysData(Raw)'!$B$2:$B$180,"=EMP",'MoodysData(Raw)'!$D$2:$D$180,"="&amp;'Implied Productivity Ratios'!$C37)</f>
        <v>96.894624708593668</v>
      </c>
      <c r="V37">
        <f>SUMIFS('MoodysData(Raw)'!Y$2:Y$180,'MoodysData(Raw)'!$B$2:$B$180,"=GDP",'MoodysData(Raw)'!$D$2:$D$180,"="&amp;'Implied Productivity Ratios'!$C37)/SUMIFS('MoodysData(Raw)'!Y$2:Y$180,'MoodysData(Raw)'!$B$2:$B$180,"=EMP",'MoodysData(Raw)'!$D$2:$D$180,"="&amp;'Implied Productivity Ratios'!$C37)</f>
        <v>80.234190569567701</v>
      </c>
      <c r="W37">
        <f>SUMIFS('MoodysData(Raw)'!Z$2:Z$180,'MoodysData(Raw)'!$B$2:$B$180,"=GDP",'MoodysData(Raw)'!$D$2:$D$180,"="&amp;'Implied Productivity Ratios'!$C37)/SUMIFS('MoodysData(Raw)'!Z$2:Z$180,'MoodysData(Raw)'!$B$2:$B$180,"=EMP",'MoodysData(Raw)'!$D$2:$D$180,"="&amp;'Implied Productivity Ratios'!$C37)</f>
        <v>109.84185294700136</v>
      </c>
      <c r="X37">
        <f>SUMIFS('MoodysData(Raw)'!AA$2:AA$180,'MoodysData(Raw)'!$B$2:$B$180,"=GDP",'MoodysData(Raw)'!$D$2:$D$180,"="&amp;'Implied Productivity Ratios'!$C37)/SUMIFS('MoodysData(Raw)'!AA$2:AA$180,'MoodysData(Raw)'!$B$2:$B$180,"=EMP",'MoodysData(Raw)'!$D$2:$D$180,"="&amp;'Implied Productivity Ratios'!$C37)</f>
        <v>143.24348205211237</v>
      </c>
      <c r="Y37">
        <f>SUMIFS('MoodysData(Raw)'!AB$2:AB$180,'MoodysData(Raw)'!$B$2:$B$180,"=GDP",'MoodysData(Raw)'!$D$2:$D$180,"="&amp;'Implied Productivity Ratios'!$C37)/SUMIFS('MoodysData(Raw)'!AB$2:AB$180,'MoodysData(Raw)'!$B$2:$B$180,"=EMP",'MoodysData(Raw)'!$D$2:$D$180,"="&amp;'Implied Productivity Ratios'!$C37)</f>
        <v>149.0537170048396</v>
      </c>
      <c r="Z37">
        <f>SUMIFS('MoodysData(Raw)'!AC$2:AC$180,'MoodysData(Raw)'!$B$2:$B$180,"=GDP",'MoodysData(Raw)'!$D$2:$D$180,"="&amp;'Implied Productivity Ratios'!$C37)/SUMIFS('MoodysData(Raw)'!AC$2:AC$180,'MoodysData(Raw)'!$B$2:$B$180,"=EMP",'MoodysData(Raw)'!$D$2:$D$180,"="&amp;'Implied Productivity Ratios'!$C37)</f>
        <v>153.6659064672582</v>
      </c>
      <c r="AA37">
        <f>SUMIFS('MoodysData(Raw)'!AD$2:AD$180,'MoodysData(Raw)'!$B$2:$B$180,"=GDP",'MoodysData(Raw)'!$D$2:$D$180,"="&amp;'Implied Productivity Ratios'!$C37)/SUMIFS('MoodysData(Raw)'!AD$2:AD$180,'MoodysData(Raw)'!$B$2:$B$180,"=EMP",'MoodysData(Raw)'!$D$2:$D$180,"="&amp;'Implied Productivity Ratios'!$C37)</f>
        <v>158.2917406203029</v>
      </c>
      <c r="AB37">
        <f>SUMIFS('MoodysData(Raw)'!AE$2:AE$180,'MoodysData(Raw)'!$B$2:$B$180,"=GDP",'MoodysData(Raw)'!$D$2:$D$180,"="&amp;'Implied Productivity Ratios'!$C37)/SUMIFS('MoodysData(Raw)'!AE$2:AE$180,'MoodysData(Raw)'!$B$2:$B$180,"=EMP",'MoodysData(Raw)'!$D$2:$D$180,"="&amp;'Implied Productivity Ratios'!$C37)</f>
        <v>162.90124342623341</v>
      </c>
      <c r="AC37">
        <f>SUMIFS('MoodysData(Raw)'!AF$2:AF$180,'MoodysData(Raw)'!$B$2:$B$180,"=GDP",'MoodysData(Raw)'!$D$2:$D$180,"="&amp;'Implied Productivity Ratios'!$C37)/SUMIFS('MoodysData(Raw)'!AF$2:AF$180,'MoodysData(Raw)'!$B$2:$B$180,"=EMP",'MoodysData(Raw)'!$D$2:$D$180,"="&amp;'Implied Productivity Ratios'!$C37)</f>
        <v>167.62654184628636</v>
      </c>
      <c r="AD37">
        <f>SUMIFS('MoodysData(Raw)'!AG$2:AG$180,'MoodysData(Raw)'!$B$2:$B$180,"=GDP",'MoodysData(Raw)'!$D$2:$D$180,"="&amp;'Implied Productivity Ratios'!$C37)/SUMIFS('MoodysData(Raw)'!AG$2:AG$180,'MoodysData(Raw)'!$B$2:$B$180,"=EMP",'MoodysData(Raw)'!$D$2:$D$180,"="&amp;'Implied Productivity Ratios'!$C37)</f>
        <v>172.52042154763797</v>
      </c>
      <c r="AE37">
        <f>SUMIFS('MoodysData(Raw)'!AH$2:AH$180,'MoodysData(Raw)'!$B$2:$B$180,"=GDP",'MoodysData(Raw)'!$D$2:$D$180,"="&amp;'Implied Productivity Ratios'!$C37)/SUMIFS('MoodysData(Raw)'!AH$2:AH$180,'MoodysData(Raw)'!$B$2:$B$180,"=EMP",'MoodysData(Raw)'!$D$2:$D$180,"="&amp;'Implied Productivity Ratios'!$C37)</f>
        <v>177.10013727882856</v>
      </c>
      <c r="AF37">
        <f>SUMIFS('MoodysData(Raw)'!AI$2:AI$180,'MoodysData(Raw)'!$B$2:$B$180,"=GDP",'MoodysData(Raw)'!$D$2:$D$180,"="&amp;'Implied Productivity Ratios'!$C37)/SUMIFS('MoodysData(Raw)'!AI$2:AI$180,'MoodysData(Raw)'!$B$2:$B$180,"=EMP",'MoodysData(Raw)'!$D$2:$D$180,"="&amp;'Implied Productivity Ratios'!$C37)</f>
        <v>181.54354843186232</v>
      </c>
      <c r="AG37">
        <f>SUMIFS('MoodysData(Raw)'!AJ$2:AJ$180,'MoodysData(Raw)'!$B$2:$B$180,"=GDP",'MoodysData(Raw)'!$D$2:$D$180,"="&amp;'Implied Productivity Ratios'!$C37)/SUMIFS('MoodysData(Raw)'!AJ$2:AJ$180,'MoodysData(Raw)'!$B$2:$B$180,"=EMP",'MoodysData(Raw)'!$D$2:$D$180,"="&amp;'Implied Productivity Ratios'!$C37)</f>
        <v>185.8378586907013</v>
      </c>
      <c r="AH37">
        <f>SUMIFS('MoodysData(Raw)'!AK$2:AK$180,'MoodysData(Raw)'!$B$2:$B$180,"=GDP",'MoodysData(Raw)'!$D$2:$D$180,"="&amp;'Implied Productivity Ratios'!$C37)/SUMIFS('MoodysData(Raw)'!AK$2:AK$180,'MoodysData(Raw)'!$B$2:$B$180,"=EMP",'MoodysData(Raw)'!$D$2:$D$180,"="&amp;'Implied Productivity Ratios'!$C37)</f>
        <v>189.68851247257282</v>
      </c>
      <c r="AI37">
        <f>SUMIFS('MoodysData(Raw)'!AL$2:AL$180,'MoodysData(Raw)'!$B$2:$B$180,"=GDP",'MoodysData(Raw)'!$D$2:$D$180,"="&amp;'Implied Productivity Ratios'!$C37)/SUMIFS('MoodysData(Raw)'!AL$2:AL$180,'MoodysData(Raw)'!$B$2:$B$180,"=EMP",'MoodysData(Raw)'!$D$2:$D$180,"="&amp;'Implied Productivity Ratios'!$C37)</f>
        <v>193.35257460536533</v>
      </c>
      <c r="AJ37">
        <f>SUMIFS('MoodysData(Raw)'!AM$2:AM$180,'MoodysData(Raw)'!$B$2:$B$180,"=GDP",'MoodysData(Raw)'!$D$2:$D$180,"="&amp;'Implied Productivity Ratios'!$C37)/SUMIFS('MoodysData(Raw)'!AM$2:AM$180,'MoodysData(Raw)'!$B$2:$B$180,"=EMP",'MoodysData(Raw)'!$D$2:$D$180,"="&amp;'Implied Productivity Ratios'!$C37)</f>
        <v>197.26736947413244</v>
      </c>
      <c r="AK37">
        <f>SUMIFS('MoodysData(Raw)'!AN$2:AN$180,'MoodysData(Raw)'!$B$2:$B$180,"=GDP",'MoodysData(Raw)'!$D$2:$D$180,"="&amp;'Implied Productivity Ratios'!$C37)/SUMIFS('MoodysData(Raw)'!AN$2:AN$180,'MoodysData(Raw)'!$B$2:$B$180,"=EMP",'MoodysData(Raw)'!$D$2:$D$180,"="&amp;'Implied Productivity Ratios'!$C37)</f>
        <v>201.39407229752146</v>
      </c>
      <c r="AL37">
        <f>SUMIFS('MoodysData(Raw)'!AO$2:AO$180,'MoodysData(Raw)'!$B$2:$B$180,"=GDP",'MoodysData(Raw)'!$D$2:$D$180,"="&amp;'Implied Productivity Ratios'!$C37)/SUMIFS('MoodysData(Raw)'!AO$2:AO$180,'MoodysData(Raw)'!$B$2:$B$180,"=EMP",'MoodysData(Raw)'!$D$2:$D$180,"="&amp;'Implied Productivity Ratios'!$C37)</f>
        <v>206.04784707759717</v>
      </c>
      <c r="AM37">
        <f>SUMIFS('MoodysData(Raw)'!AP$2:AP$180,'MoodysData(Raw)'!$B$2:$B$180,"=GDP",'MoodysData(Raw)'!$D$2:$D$180,"="&amp;'Implied Productivity Ratios'!$C37)/SUMIFS('MoodysData(Raw)'!AP$2:AP$180,'MoodysData(Raw)'!$B$2:$B$180,"=EMP",'MoodysData(Raw)'!$D$2:$D$180,"="&amp;'Implied Productivity Ratios'!$C37)</f>
        <v>210.83412939370717</v>
      </c>
      <c r="AN37">
        <f>SUMIFS('MoodysData(Raw)'!AQ$2:AQ$180,'MoodysData(Raw)'!$B$2:$B$180,"=GDP",'MoodysData(Raw)'!$D$2:$D$180,"="&amp;'Implied Productivity Ratios'!$C37)/SUMIFS('MoodysData(Raw)'!AQ$2:AQ$180,'MoodysData(Raw)'!$B$2:$B$180,"=EMP",'MoodysData(Raw)'!$D$2:$D$180,"="&amp;'Implied Productivity Ratios'!$C37)</f>
        <v>215.5688271277061</v>
      </c>
      <c r="AO37">
        <f>SUMIFS('MoodysData(Raw)'!AR$2:AR$180,'MoodysData(Raw)'!$B$2:$B$180,"=GDP",'MoodysData(Raw)'!$D$2:$D$180,"="&amp;'Implied Productivity Ratios'!$C37)/SUMIFS('MoodysData(Raw)'!AR$2:AR$180,'MoodysData(Raw)'!$B$2:$B$180,"=EMP",'MoodysData(Raw)'!$D$2:$D$180,"="&amp;'Implied Productivity Ratios'!$C37)</f>
        <v>220.1242718281662</v>
      </c>
      <c r="AP37">
        <f>SUMIFS('MoodysData(Raw)'!AS$2:AS$180,'MoodysData(Raw)'!$B$2:$B$180,"=GDP",'MoodysData(Raw)'!$D$2:$D$180,"="&amp;'Implied Productivity Ratios'!$C37)/SUMIFS('MoodysData(Raw)'!AS$2:AS$180,'MoodysData(Raw)'!$B$2:$B$180,"=EMP",'MoodysData(Raw)'!$D$2:$D$180,"="&amp;'Implied Productivity Ratios'!$C37)</f>
        <v>224.61785885848784</v>
      </c>
      <c r="AQ37">
        <f>SUMIFS('MoodysData(Raw)'!AT$2:AT$180,'MoodysData(Raw)'!$B$2:$B$180,"=GDP",'MoodysData(Raw)'!$D$2:$D$180,"="&amp;'Implied Productivity Ratios'!$C37)/SUMIFS('MoodysData(Raw)'!AT$2:AT$180,'MoodysData(Raw)'!$B$2:$B$180,"=EMP",'MoodysData(Raw)'!$D$2:$D$180,"="&amp;'Implied Productivity Ratios'!$C37)</f>
        <v>229.14300533128537</v>
      </c>
      <c r="AR37">
        <f>SUMIFS('MoodysData(Raw)'!AU$2:AU$180,'MoodysData(Raw)'!$B$2:$B$180,"=GDP",'MoodysData(Raw)'!$D$2:$D$180,"="&amp;'Implied Productivity Ratios'!$C37)/SUMIFS('MoodysData(Raw)'!AU$2:AU$180,'MoodysData(Raw)'!$B$2:$B$180,"=EMP",'MoodysData(Raw)'!$D$2:$D$180,"="&amp;'Implied Productivity Ratios'!$C37)</f>
        <v>233.76659946789238</v>
      </c>
      <c r="AS37">
        <f>SUMIFS('MoodysData(Raw)'!AV$2:AV$180,'MoodysData(Raw)'!$B$2:$B$180,"=GDP",'MoodysData(Raw)'!$D$2:$D$180,"="&amp;'Implied Productivity Ratios'!$C37)/SUMIFS('MoodysData(Raw)'!AV$2:AV$180,'MoodysData(Raw)'!$B$2:$B$180,"=EMP",'MoodysData(Raw)'!$D$2:$D$180,"="&amp;'Implied Productivity Ratios'!$C37)</f>
        <v>238.44835114170178</v>
      </c>
      <c r="AT37">
        <f>SUMIFS('MoodysData(Raw)'!AW$2:AW$180,'MoodysData(Raw)'!$B$2:$B$180,"=GDP",'MoodysData(Raw)'!$D$2:$D$180,"="&amp;'Implied Productivity Ratios'!$C37)/SUMIFS('MoodysData(Raw)'!AW$2:AW$180,'MoodysData(Raw)'!$B$2:$B$180,"=EMP",'MoodysData(Raw)'!$D$2:$D$180,"="&amp;'Implied Productivity Ratios'!$C37)</f>
        <v>243.1337733593607</v>
      </c>
      <c r="AU37">
        <f>SUMIFS('MoodysData(Raw)'!AX$2:AX$180,'MoodysData(Raw)'!$B$2:$B$180,"=GDP",'MoodysData(Raw)'!$D$2:$D$180,"="&amp;'Implied Productivity Ratios'!$C37)/SUMIFS('MoodysData(Raw)'!AX$2:AX$180,'MoodysData(Raw)'!$B$2:$B$180,"=EMP",'MoodysData(Raw)'!$D$2:$D$180,"="&amp;'Implied Productivity Ratios'!$C37)</f>
        <v>247.97708421050763</v>
      </c>
      <c r="AV37">
        <f>SUMIFS('MoodysData(Raw)'!AY$2:AY$180,'MoodysData(Raw)'!$B$2:$B$180,"=GDP",'MoodysData(Raw)'!$D$2:$D$180,"="&amp;'Implied Productivity Ratios'!$C37)/SUMIFS('MoodysData(Raw)'!AY$2:AY$180,'MoodysData(Raw)'!$B$2:$B$180,"=EMP",'MoodysData(Raw)'!$D$2:$D$180,"="&amp;'Implied Productivity Ratios'!$C37)</f>
        <v>253.08686929102507</v>
      </c>
      <c r="AW37">
        <f>SUMIFS('MoodysData(Raw)'!AZ$2:AZ$180,'MoodysData(Raw)'!$B$2:$B$180,"=GDP",'MoodysData(Raw)'!$D$2:$D$180,"="&amp;'Implied Productivity Ratios'!$C37)/SUMIFS('MoodysData(Raw)'!AZ$2:AZ$180,'MoodysData(Raw)'!$B$2:$B$180,"=EMP",'MoodysData(Raw)'!$D$2:$D$180,"="&amp;'Implied Productivity Ratios'!$C37)</f>
        <v>258.29890457243204</v>
      </c>
      <c r="AX37">
        <f>SUMIFS('MoodysData(Raw)'!BA$2:BA$180,'MoodysData(Raw)'!$B$2:$B$180,"=GDP",'MoodysData(Raw)'!$D$2:$D$180,"="&amp;'Implied Productivity Ratios'!$C37)/SUMIFS('MoodysData(Raw)'!BA$2:BA$180,'MoodysData(Raw)'!$B$2:$B$180,"=EMP",'MoodysData(Raw)'!$D$2:$D$180,"="&amp;'Implied Productivity Ratios'!$C37)</f>
        <v>263.63533533916461</v>
      </c>
      <c r="AY37">
        <f>SUMIFS('MoodysData(Raw)'!BB$2:BB$180,'MoodysData(Raw)'!$B$2:$B$180,"=GDP",'MoodysData(Raw)'!$D$2:$D$180,"="&amp;'Implied Productivity Ratios'!$C37)/SUMIFS('MoodysData(Raw)'!BB$2:BB$180,'MoodysData(Raw)'!$B$2:$B$180,"=EMP",'MoodysData(Raw)'!$D$2:$D$180,"="&amp;'Implied Productivity Ratios'!$C37)</f>
        <v>269.12401284920873</v>
      </c>
      <c r="AZ37">
        <f>SUMIFS('MoodysData(Raw)'!BC$2:BC$180,'MoodysData(Raw)'!$B$2:$B$180,"=GDP",'MoodysData(Raw)'!$D$2:$D$180,"="&amp;'Implied Productivity Ratios'!$C37)/SUMIFS('MoodysData(Raw)'!BC$2:BC$180,'MoodysData(Raw)'!$B$2:$B$180,"=EMP",'MoodysData(Raw)'!$D$2:$D$180,"="&amp;'Implied Productivity Ratios'!$C37)</f>
        <v>274.86093258336825</v>
      </c>
      <c r="BA37">
        <f>SUMIFS('MoodysData(Raw)'!BD$2:BD$180,'MoodysData(Raw)'!$B$2:$B$180,"=GDP",'MoodysData(Raw)'!$D$2:$D$180,"="&amp;'Implied Productivity Ratios'!$C37)/SUMIFS('MoodysData(Raw)'!BD$2:BD$180,'MoodysData(Raw)'!$B$2:$B$180,"=EMP",'MoodysData(Raw)'!$D$2:$D$180,"="&amp;'Implied Productivity Ratios'!$C37)</f>
        <v>280.92251832638726</v>
      </c>
      <c r="BB37">
        <f>SUMIFS('MoodysData(Raw)'!BE$2:BE$180,'MoodysData(Raw)'!$B$2:$B$180,"=GDP",'MoodysData(Raw)'!$D$2:$D$180,"="&amp;'Implied Productivity Ratios'!$C37)/SUMIFS('MoodysData(Raw)'!BE$2:BE$180,'MoodysData(Raw)'!$B$2:$B$180,"=EMP",'MoodysData(Raw)'!$D$2:$D$180,"="&amp;'Implied Productivity Ratios'!$C37)</f>
        <v>287.26598780012279</v>
      </c>
      <c r="BC37">
        <f>SUMIFS('MoodysData(Raw)'!BF$2:BF$180,'MoodysData(Raw)'!$B$2:$B$180,"=GDP",'MoodysData(Raw)'!$D$2:$D$180,"="&amp;'Implied Productivity Ratios'!$C37)/SUMIFS('MoodysData(Raw)'!BF$2:BF$180,'MoodysData(Raw)'!$B$2:$B$180,"=EMP",'MoodysData(Raw)'!$D$2:$D$180,"="&amp;'Implied Productivity Ratios'!$C37)</f>
        <v>293.90275429619277</v>
      </c>
      <c r="BD37" s="5">
        <f t="shared" ref="BD37:BH37" si="31">BC37+($BC37-$AX37)/5</f>
        <v>299.95623808759842</v>
      </c>
      <c r="BE37" s="5">
        <f t="shared" si="31"/>
        <v>306.00972187900408</v>
      </c>
      <c r="BF37" s="5">
        <f t="shared" si="31"/>
        <v>312.06320567040973</v>
      </c>
      <c r="BG37" s="5">
        <f t="shared" si="31"/>
        <v>318.11668946181538</v>
      </c>
      <c r="BH37" s="5">
        <f t="shared" si="31"/>
        <v>324.17017325322104</v>
      </c>
    </row>
    <row r="38" spans="3:60">
      <c r="C38">
        <v>442</v>
      </c>
      <c r="D38" t="s">
        <v>123</v>
      </c>
      <c r="E38">
        <f>SUMIFS('MoodysData(Raw)'!H$2:H$180,'MoodysData(Raw)'!$B$2:$B$180,"=GDP",'MoodysData(Raw)'!$D$2:$D$180,"="&amp;'Implied Productivity Ratios'!$C38)/SUMIFS('MoodysData(Raw)'!H$2:H$180,'MoodysData(Raw)'!$B$2:$B$180,"=EMP",'MoodysData(Raw)'!$D$2:$D$180,"="&amp;'Implied Productivity Ratios'!$C38)</f>
        <v>53.000245803472275</v>
      </c>
      <c r="F38">
        <f>SUMIFS('MoodysData(Raw)'!I$2:I$180,'MoodysData(Raw)'!$B$2:$B$180,"=GDP",'MoodysData(Raw)'!$D$2:$D$180,"="&amp;'Implied Productivity Ratios'!$C38)/SUMIFS('MoodysData(Raw)'!I$2:I$180,'MoodysData(Raw)'!$B$2:$B$180,"=EMP",'MoodysData(Raw)'!$D$2:$D$180,"="&amp;'Implied Productivity Ratios'!$C38)</f>
        <v>54.631096425991977</v>
      </c>
      <c r="G38">
        <f>SUMIFS('MoodysData(Raw)'!J$2:J$180,'MoodysData(Raw)'!$B$2:$B$180,"=GDP",'MoodysData(Raw)'!$D$2:$D$180,"="&amp;'Implied Productivity Ratios'!$C38)/SUMIFS('MoodysData(Raw)'!J$2:J$180,'MoodysData(Raw)'!$B$2:$B$180,"=EMP",'MoodysData(Raw)'!$D$2:$D$180,"="&amp;'Implied Productivity Ratios'!$C38)</f>
        <v>54.610308077245662</v>
      </c>
      <c r="H38">
        <f>SUMIFS('MoodysData(Raw)'!K$2:K$180,'MoodysData(Raw)'!$B$2:$B$180,"=GDP",'MoodysData(Raw)'!$D$2:$D$180,"="&amp;'Implied Productivity Ratios'!$C38)/SUMIFS('MoodysData(Raw)'!K$2:K$180,'MoodysData(Raw)'!$B$2:$B$180,"=EMP",'MoodysData(Raw)'!$D$2:$D$180,"="&amp;'Implied Productivity Ratios'!$C38)</f>
        <v>52.440483519583417</v>
      </c>
      <c r="I38">
        <f>SUMIFS('MoodysData(Raw)'!L$2:L$180,'MoodysData(Raw)'!$B$2:$B$180,"=GDP",'MoodysData(Raw)'!$D$2:$D$180,"="&amp;'Implied Productivity Ratios'!$C38)/SUMIFS('MoodysData(Raw)'!L$2:L$180,'MoodysData(Raw)'!$B$2:$B$180,"=EMP",'MoodysData(Raw)'!$D$2:$D$180,"="&amp;'Implied Productivity Ratios'!$C38)</f>
        <v>52.45690047440339</v>
      </c>
      <c r="J38">
        <f>SUMIFS('MoodysData(Raw)'!M$2:M$180,'MoodysData(Raw)'!$B$2:$B$180,"=GDP",'MoodysData(Raw)'!$D$2:$D$180,"="&amp;'Implied Productivity Ratios'!$C38)/SUMIFS('MoodysData(Raw)'!M$2:M$180,'MoodysData(Raw)'!$B$2:$B$180,"=EMP",'MoodysData(Raw)'!$D$2:$D$180,"="&amp;'Implied Productivity Ratios'!$C38)</f>
        <v>53.956239582636918</v>
      </c>
      <c r="K38">
        <f>SUMIFS('MoodysData(Raw)'!N$2:N$180,'MoodysData(Raw)'!$B$2:$B$180,"=GDP",'MoodysData(Raw)'!$D$2:$D$180,"="&amp;'Implied Productivity Ratios'!$C38)/SUMIFS('MoodysData(Raw)'!N$2:N$180,'MoodysData(Raw)'!$B$2:$B$180,"=EMP",'MoodysData(Raw)'!$D$2:$D$180,"="&amp;'Implied Productivity Ratios'!$C38)</f>
        <v>54.261984258930916</v>
      </c>
      <c r="L38">
        <f>SUMIFS('MoodysData(Raw)'!O$2:O$180,'MoodysData(Raw)'!$B$2:$B$180,"=GDP",'MoodysData(Raw)'!$D$2:$D$180,"="&amp;'Implied Productivity Ratios'!$C38)/SUMIFS('MoodysData(Raw)'!O$2:O$180,'MoodysData(Raw)'!$B$2:$B$180,"=EMP",'MoodysData(Raw)'!$D$2:$D$180,"="&amp;'Implied Productivity Ratios'!$C38)</f>
        <v>55.385548629571915</v>
      </c>
      <c r="M38">
        <f>SUMIFS('MoodysData(Raw)'!P$2:P$180,'MoodysData(Raw)'!$B$2:$B$180,"=GDP",'MoodysData(Raw)'!$D$2:$D$180,"="&amp;'Implied Productivity Ratios'!$C38)/SUMIFS('MoodysData(Raw)'!P$2:P$180,'MoodysData(Raw)'!$B$2:$B$180,"=EMP",'MoodysData(Raw)'!$D$2:$D$180,"="&amp;'Implied Productivity Ratios'!$C38)</f>
        <v>57.159111540800858</v>
      </c>
      <c r="N38">
        <f>SUMIFS('MoodysData(Raw)'!Q$2:Q$180,'MoodysData(Raw)'!$B$2:$B$180,"=GDP",'MoodysData(Raw)'!$D$2:$D$180,"="&amp;'Implied Productivity Ratios'!$C38)/SUMIFS('MoodysData(Raw)'!Q$2:Q$180,'MoodysData(Raw)'!$B$2:$B$180,"=EMP",'MoodysData(Raw)'!$D$2:$D$180,"="&amp;'Implied Productivity Ratios'!$C38)</f>
        <v>59.654362058160771</v>
      </c>
      <c r="O38">
        <f>SUMIFS('MoodysData(Raw)'!R$2:R$180,'MoodysData(Raw)'!$B$2:$B$180,"=GDP",'MoodysData(Raw)'!$D$2:$D$180,"="&amp;'Implied Productivity Ratios'!$C38)/SUMIFS('MoodysData(Raw)'!R$2:R$180,'MoodysData(Raw)'!$B$2:$B$180,"=EMP",'MoodysData(Raw)'!$D$2:$D$180,"="&amp;'Implied Productivity Ratios'!$C38)</f>
        <v>63.292791763000793</v>
      </c>
      <c r="P38">
        <f>SUMIFS('MoodysData(Raw)'!S$2:S$180,'MoodysData(Raw)'!$B$2:$B$180,"=GDP",'MoodysData(Raw)'!$D$2:$D$180,"="&amp;'Implied Productivity Ratios'!$C38)/SUMIFS('MoodysData(Raw)'!S$2:S$180,'MoodysData(Raw)'!$B$2:$B$180,"=EMP",'MoodysData(Raw)'!$D$2:$D$180,"="&amp;'Implied Productivity Ratios'!$C38)</f>
        <v>67.512743682774385</v>
      </c>
      <c r="Q38">
        <f>SUMIFS('MoodysData(Raw)'!T$2:T$180,'MoodysData(Raw)'!$B$2:$B$180,"=GDP",'MoodysData(Raw)'!$D$2:$D$180,"="&amp;'Implied Productivity Ratios'!$C38)/SUMIFS('MoodysData(Raw)'!T$2:T$180,'MoodysData(Raw)'!$B$2:$B$180,"=EMP",'MoodysData(Raw)'!$D$2:$D$180,"="&amp;'Implied Productivity Ratios'!$C38)</f>
        <v>67.09958551044484</v>
      </c>
      <c r="R38">
        <f>SUMIFS('MoodysData(Raw)'!U$2:U$180,'MoodysData(Raw)'!$B$2:$B$180,"=GDP",'MoodysData(Raw)'!$D$2:$D$180,"="&amp;'Implied Productivity Ratios'!$C38)/SUMIFS('MoodysData(Raw)'!U$2:U$180,'MoodysData(Raw)'!$B$2:$B$180,"=EMP",'MoodysData(Raw)'!$D$2:$D$180,"="&amp;'Implied Productivity Ratios'!$C38)</f>
        <v>71.456390757779118</v>
      </c>
      <c r="S38">
        <f>SUMIFS('MoodysData(Raw)'!V$2:V$180,'MoodysData(Raw)'!$B$2:$B$180,"=GDP",'MoodysData(Raw)'!$D$2:$D$180,"="&amp;'Implied Productivity Ratios'!$C38)/SUMIFS('MoodysData(Raw)'!V$2:V$180,'MoodysData(Raw)'!$B$2:$B$180,"=EMP",'MoodysData(Raw)'!$D$2:$D$180,"="&amp;'Implied Productivity Ratios'!$C38)</f>
        <v>77.387759872194877</v>
      </c>
      <c r="T38">
        <f>SUMIFS('MoodysData(Raw)'!W$2:W$180,'MoodysData(Raw)'!$B$2:$B$180,"=GDP",'MoodysData(Raw)'!$D$2:$D$180,"="&amp;'Implied Productivity Ratios'!$C38)/SUMIFS('MoodysData(Raw)'!W$2:W$180,'MoodysData(Raw)'!$B$2:$B$180,"=EMP",'MoodysData(Raw)'!$D$2:$D$180,"="&amp;'Implied Productivity Ratios'!$C38)</f>
        <v>77.072809283109734</v>
      </c>
      <c r="U38">
        <f>SUMIFS('MoodysData(Raw)'!X$2:X$180,'MoodysData(Raw)'!$B$2:$B$180,"=GDP",'MoodysData(Raw)'!$D$2:$D$180,"="&amp;'Implied Productivity Ratios'!$C38)/SUMIFS('MoodysData(Raw)'!X$2:X$180,'MoodysData(Raw)'!$B$2:$B$180,"=EMP",'MoodysData(Raw)'!$D$2:$D$180,"="&amp;'Implied Productivity Ratios'!$C38)</f>
        <v>80.371547434168022</v>
      </c>
      <c r="V38">
        <f>SUMIFS('MoodysData(Raw)'!Y$2:Y$180,'MoodysData(Raw)'!$B$2:$B$180,"=GDP",'MoodysData(Raw)'!$D$2:$D$180,"="&amp;'Implied Productivity Ratios'!$C38)/SUMIFS('MoodysData(Raw)'!Y$2:Y$180,'MoodysData(Raw)'!$B$2:$B$180,"=EMP",'MoodysData(Raw)'!$D$2:$D$180,"="&amp;'Implied Productivity Ratios'!$C38)</f>
        <v>75.075252334845118</v>
      </c>
      <c r="W38">
        <f>SUMIFS('MoodysData(Raw)'!Z$2:Z$180,'MoodysData(Raw)'!$B$2:$B$180,"=GDP",'MoodysData(Raw)'!$D$2:$D$180,"="&amp;'Implied Productivity Ratios'!$C38)/SUMIFS('MoodysData(Raw)'!Z$2:Z$180,'MoodysData(Raw)'!$B$2:$B$180,"=EMP",'MoodysData(Raw)'!$D$2:$D$180,"="&amp;'Implied Productivity Ratios'!$C38)</f>
        <v>73.547062073202326</v>
      </c>
      <c r="X38">
        <f>SUMIFS('MoodysData(Raw)'!AA$2:AA$180,'MoodysData(Raw)'!$B$2:$B$180,"=GDP",'MoodysData(Raw)'!$D$2:$D$180,"="&amp;'Implied Productivity Ratios'!$C38)/SUMIFS('MoodysData(Raw)'!AA$2:AA$180,'MoodysData(Raw)'!$B$2:$B$180,"=EMP",'MoodysData(Raw)'!$D$2:$D$180,"="&amp;'Implied Productivity Ratios'!$C38)</f>
        <v>72.440744067315876</v>
      </c>
      <c r="Y38">
        <f>SUMIFS('MoodysData(Raw)'!AB$2:AB$180,'MoodysData(Raw)'!$B$2:$B$180,"=GDP",'MoodysData(Raw)'!$D$2:$D$180,"="&amp;'Implied Productivity Ratios'!$C38)/SUMIFS('MoodysData(Raw)'!AB$2:AB$180,'MoodysData(Raw)'!$B$2:$B$180,"=EMP",'MoodysData(Raw)'!$D$2:$D$180,"="&amp;'Implied Productivity Ratios'!$C38)</f>
        <v>72.929296473952391</v>
      </c>
      <c r="Z38">
        <f>SUMIFS('MoodysData(Raw)'!AC$2:AC$180,'MoodysData(Raw)'!$B$2:$B$180,"=GDP",'MoodysData(Raw)'!$D$2:$D$180,"="&amp;'Implied Productivity Ratios'!$C38)/SUMIFS('MoodysData(Raw)'!AC$2:AC$180,'MoodysData(Raw)'!$B$2:$B$180,"=EMP",'MoodysData(Raw)'!$D$2:$D$180,"="&amp;'Implied Productivity Ratios'!$C38)</f>
        <v>73.334509724809834</v>
      </c>
      <c r="AA38">
        <f>SUMIFS('MoodysData(Raw)'!AD$2:AD$180,'MoodysData(Raw)'!$B$2:$B$180,"=GDP",'MoodysData(Raw)'!$D$2:$D$180,"="&amp;'Implied Productivity Ratios'!$C38)/SUMIFS('MoodysData(Raw)'!AD$2:AD$180,'MoodysData(Raw)'!$B$2:$B$180,"=EMP",'MoodysData(Raw)'!$D$2:$D$180,"="&amp;'Implied Productivity Ratios'!$C38)</f>
        <v>73.740692373501346</v>
      </c>
      <c r="AB38">
        <f>SUMIFS('MoodysData(Raw)'!AE$2:AE$180,'MoodysData(Raw)'!$B$2:$B$180,"=GDP",'MoodysData(Raw)'!$D$2:$D$180,"="&amp;'Implied Productivity Ratios'!$C38)/SUMIFS('MoodysData(Raw)'!AE$2:AE$180,'MoodysData(Raw)'!$B$2:$B$180,"=EMP",'MoodysData(Raw)'!$D$2:$D$180,"="&amp;'Implied Productivity Ratios'!$C38)</f>
        <v>74.141461230509904</v>
      </c>
      <c r="AC38">
        <f>SUMIFS('MoodysData(Raw)'!AF$2:AF$180,'MoodysData(Raw)'!$B$2:$B$180,"=GDP",'MoodysData(Raw)'!$D$2:$D$180,"="&amp;'Implied Productivity Ratios'!$C38)/SUMIFS('MoodysData(Raw)'!AF$2:AF$180,'MoodysData(Raw)'!$B$2:$B$180,"=EMP",'MoodysData(Raw)'!$D$2:$D$180,"="&amp;'Implied Productivity Ratios'!$C38)</f>
        <v>74.600080775250078</v>
      </c>
      <c r="AD38">
        <f>SUMIFS('MoodysData(Raw)'!AG$2:AG$180,'MoodysData(Raw)'!$B$2:$B$180,"=GDP",'MoodysData(Raw)'!$D$2:$D$180,"="&amp;'Implied Productivity Ratios'!$C38)/SUMIFS('MoodysData(Raw)'!AG$2:AG$180,'MoodysData(Raw)'!$B$2:$B$180,"=EMP",'MoodysData(Raw)'!$D$2:$D$180,"="&amp;'Implied Productivity Ratios'!$C38)</f>
        <v>75.140651395364557</v>
      </c>
      <c r="AE38">
        <f>SUMIFS('MoodysData(Raw)'!AH$2:AH$180,'MoodysData(Raw)'!$B$2:$B$180,"=GDP",'MoodysData(Raw)'!$D$2:$D$180,"="&amp;'Implied Productivity Ratios'!$C38)/SUMIFS('MoodysData(Raw)'!AH$2:AH$180,'MoodysData(Raw)'!$B$2:$B$180,"=EMP",'MoodysData(Raw)'!$D$2:$D$180,"="&amp;'Implied Productivity Ratios'!$C38)</f>
        <v>75.553127323904093</v>
      </c>
      <c r="AF38">
        <f>SUMIFS('MoodysData(Raw)'!AI$2:AI$180,'MoodysData(Raw)'!$B$2:$B$180,"=GDP",'MoodysData(Raw)'!$D$2:$D$180,"="&amp;'Implied Productivity Ratios'!$C38)/SUMIFS('MoodysData(Raw)'!AI$2:AI$180,'MoodysData(Raw)'!$B$2:$B$180,"=EMP",'MoodysData(Raw)'!$D$2:$D$180,"="&amp;'Implied Productivity Ratios'!$C38)</f>
        <v>75.923452103797374</v>
      </c>
      <c r="AG38">
        <f>SUMIFS('MoodysData(Raw)'!AJ$2:AJ$180,'MoodysData(Raw)'!$B$2:$B$180,"=GDP",'MoodysData(Raw)'!$D$2:$D$180,"="&amp;'Implied Productivity Ratios'!$C38)/SUMIFS('MoodysData(Raw)'!AJ$2:AJ$180,'MoodysData(Raw)'!$B$2:$B$180,"=EMP",'MoodysData(Raw)'!$D$2:$D$180,"="&amp;'Implied Productivity Ratios'!$C38)</f>
        <v>76.251624788905374</v>
      </c>
      <c r="AH38">
        <f>SUMIFS('MoodysData(Raw)'!AK$2:AK$180,'MoodysData(Raw)'!$B$2:$B$180,"=GDP",'MoodysData(Raw)'!$D$2:$D$180,"="&amp;'Implied Productivity Ratios'!$C38)/SUMIFS('MoodysData(Raw)'!AK$2:AK$180,'MoodysData(Raw)'!$B$2:$B$180,"=EMP",'MoodysData(Raw)'!$D$2:$D$180,"="&amp;'Implied Productivity Ratios'!$C38)</f>
        <v>76.424206812640179</v>
      </c>
      <c r="AI38">
        <f>SUMIFS('MoodysData(Raw)'!AL$2:AL$180,'MoodysData(Raw)'!$B$2:$B$180,"=GDP",'MoodysData(Raw)'!$D$2:$D$180,"="&amp;'Implied Productivity Ratios'!$C38)/SUMIFS('MoodysData(Raw)'!AL$2:AL$180,'MoodysData(Raw)'!$B$2:$B$180,"=EMP",'MoodysData(Raw)'!$D$2:$D$180,"="&amp;'Implied Productivity Ratios'!$C38)</f>
        <v>76.554855225123703</v>
      </c>
      <c r="AJ38">
        <f>SUMIFS('MoodysData(Raw)'!AM$2:AM$180,'MoodysData(Raw)'!$B$2:$B$180,"=GDP",'MoodysData(Raw)'!$D$2:$D$180,"="&amp;'Implied Productivity Ratios'!$C38)/SUMIFS('MoodysData(Raw)'!AM$2:AM$180,'MoodysData(Raw)'!$B$2:$B$180,"=EMP",'MoodysData(Raw)'!$D$2:$D$180,"="&amp;'Implied Productivity Ratios'!$C38)</f>
        <v>76.820703901201341</v>
      </c>
      <c r="AK38">
        <f>SUMIFS('MoodysData(Raw)'!AN$2:AN$180,'MoodysData(Raw)'!$B$2:$B$180,"=GDP",'MoodysData(Raw)'!$D$2:$D$180,"="&amp;'Implied Productivity Ratios'!$C38)/SUMIFS('MoodysData(Raw)'!AN$2:AN$180,'MoodysData(Raw)'!$B$2:$B$180,"=EMP",'MoodysData(Raw)'!$D$2:$D$180,"="&amp;'Implied Productivity Ratios'!$C38)</f>
        <v>77.203407542138322</v>
      </c>
      <c r="AL38">
        <f>SUMIFS('MoodysData(Raw)'!AO$2:AO$180,'MoodysData(Raw)'!$B$2:$B$180,"=GDP",'MoodysData(Raw)'!$D$2:$D$180,"="&amp;'Implied Productivity Ratios'!$C38)/SUMIFS('MoodysData(Raw)'!AO$2:AO$180,'MoodysData(Raw)'!$B$2:$B$180,"=EMP",'MoodysData(Raw)'!$D$2:$D$180,"="&amp;'Implied Productivity Ratios'!$C38)</f>
        <v>77.819347082947871</v>
      </c>
      <c r="AM38">
        <f>SUMIFS('MoodysData(Raw)'!AP$2:AP$180,'MoodysData(Raw)'!$B$2:$B$180,"=GDP",'MoodysData(Raw)'!$D$2:$D$180,"="&amp;'Implied Productivity Ratios'!$C38)/SUMIFS('MoodysData(Raw)'!AP$2:AP$180,'MoodysData(Raw)'!$B$2:$B$180,"=EMP",'MoodysData(Raw)'!$D$2:$D$180,"="&amp;'Implied Productivity Ratios'!$C38)</f>
        <v>78.515417442004704</v>
      </c>
      <c r="AN38">
        <f>SUMIFS('MoodysData(Raw)'!AQ$2:AQ$180,'MoodysData(Raw)'!$B$2:$B$180,"=GDP",'MoodysData(Raw)'!$D$2:$D$180,"="&amp;'Implied Productivity Ratios'!$C38)/SUMIFS('MoodysData(Raw)'!AQ$2:AQ$180,'MoodysData(Raw)'!$B$2:$B$180,"=EMP",'MoodysData(Raw)'!$D$2:$D$180,"="&amp;'Implied Productivity Ratios'!$C38)</f>
        <v>79.22426153145598</v>
      </c>
      <c r="AO38">
        <f>SUMIFS('MoodysData(Raw)'!AR$2:AR$180,'MoodysData(Raw)'!$B$2:$B$180,"=GDP",'MoodysData(Raw)'!$D$2:$D$180,"="&amp;'Implied Productivity Ratios'!$C38)/SUMIFS('MoodysData(Raw)'!AR$2:AR$180,'MoodysData(Raw)'!$B$2:$B$180,"=EMP",'MoodysData(Raw)'!$D$2:$D$180,"="&amp;'Implied Productivity Ratios'!$C38)</f>
        <v>79.902602473485018</v>
      </c>
      <c r="AP38">
        <f>SUMIFS('MoodysData(Raw)'!AS$2:AS$180,'MoodysData(Raw)'!$B$2:$B$180,"=GDP",'MoodysData(Raw)'!$D$2:$D$180,"="&amp;'Implied Productivity Ratios'!$C38)/SUMIFS('MoodysData(Raw)'!AS$2:AS$180,'MoodysData(Raw)'!$B$2:$B$180,"=EMP",'MoodysData(Raw)'!$D$2:$D$180,"="&amp;'Implied Productivity Ratios'!$C38)</f>
        <v>80.597840823248674</v>
      </c>
      <c r="AQ38">
        <f>SUMIFS('MoodysData(Raw)'!AT$2:AT$180,'MoodysData(Raw)'!$B$2:$B$180,"=GDP",'MoodysData(Raw)'!$D$2:$D$180,"="&amp;'Implied Productivity Ratios'!$C38)/SUMIFS('MoodysData(Raw)'!AT$2:AT$180,'MoodysData(Raw)'!$B$2:$B$180,"=EMP",'MoodysData(Raw)'!$D$2:$D$180,"="&amp;'Implied Productivity Ratios'!$C38)</f>
        <v>81.345756607493087</v>
      </c>
      <c r="AR38">
        <f>SUMIFS('MoodysData(Raw)'!AU$2:AU$180,'MoodysData(Raw)'!$B$2:$B$180,"=GDP",'MoodysData(Raw)'!$D$2:$D$180,"="&amp;'Implied Productivity Ratios'!$C38)/SUMIFS('MoodysData(Raw)'!AU$2:AU$180,'MoodysData(Raw)'!$B$2:$B$180,"=EMP",'MoodysData(Raw)'!$D$2:$D$180,"="&amp;'Implied Productivity Ratios'!$C38)</f>
        <v>82.172620873842561</v>
      </c>
      <c r="AS38">
        <f>SUMIFS('MoodysData(Raw)'!AV$2:AV$180,'MoodysData(Raw)'!$B$2:$B$180,"=GDP",'MoodysData(Raw)'!$D$2:$D$180,"="&amp;'Implied Productivity Ratios'!$C38)/SUMIFS('MoodysData(Raw)'!AV$2:AV$180,'MoodysData(Raw)'!$B$2:$B$180,"=EMP",'MoodysData(Raw)'!$D$2:$D$180,"="&amp;'Implied Productivity Ratios'!$C38)</f>
        <v>83.065493426694786</v>
      </c>
      <c r="AT38">
        <f>SUMIFS('MoodysData(Raw)'!AW$2:AW$180,'MoodysData(Raw)'!$B$2:$B$180,"=GDP",'MoodysData(Raw)'!$D$2:$D$180,"="&amp;'Implied Productivity Ratios'!$C38)/SUMIFS('MoodysData(Raw)'!AW$2:AW$180,'MoodysData(Raw)'!$B$2:$B$180,"=EMP",'MoodysData(Raw)'!$D$2:$D$180,"="&amp;'Implied Productivity Ratios'!$C38)</f>
        <v>84.007616608761879</v>
      </c>
      <c r="AU38">
        <f>SUMIFS('MoodysData(Raw)'!AX$2:AX$180,'MoodysData(Raw)'!$B$2:$B$180,"=GDP",'MoodysData(Raw)'!$D$2:$D$180,"="&amp;'Implied Productivity Ratios'!$C38)/SUMIFS('MoodysData(Raw)'!AX$2:AX$180,'MoodysData(Raw)'!$B$2:$B$180,"=EMP",'MoodysData(Raw)'!$D$2:$D$180,"="&amp;'Implied Productivity Ratios'!$C38)</f>
        <v>85.054434255422876</v>
      </c>
      <c r="AV38">
        <f>SUMIFS('MoodysData(Raw)'!AY$2:AY$180,'MoodysData(Raw)'!$B$2:$B$180,"=GDP",'MoodysData(Raw)'!$D$2:$D$180,"="&amp;'Implied Productivity Ratios'!$C38)/SUMIFS('MoodysData(Raw)'!AY$2:AY$180,'MoodysData(Raw)'!$B$2:$B$180,"=EMP",'MoodysData(Raw)'!$D$2:$D$180,"="&amp;'Implied Productivity Ratios'!$C38)</f>
        <v>86.245415274268481</v>
      </c>
      <c r="AW38">
        <f>SUMIFS('MoodysData(Raw)'!AZ$2:AZ$180,'MoodysData(Raw)'!$B$2:$B$180,"=GDP",'MoodysData(Raw)'!$D$2:$D$180,"="&amp;'Implied Productivity Ratios'!$C38)/SUMIFS('MoodysData(Raw)'!AZ$2:AZ$180,'MoodysData(Raw)'!$B$2:$B$180,"=EMP",'MoodysData(Raw)'!$D$2:$D$180,"="&amp;'Implied Productivity Ratios'!$C38)</f>
        <v>87.525885850907315</v>
      </c>
      <c r="AX38">
        <f>SUMIFS('MoodysData(Raw)'!BA$2:BA$180,'MoodysData(Raw)'!$B$2:$B$180,"=GDP",'MoodysData(Raw)'!$D$2:$D$180,"="&amp;'Implied Productivity Ratios'!$C38)/SUMIFS('MoodysData(Raw)'!BA$2:BA$180,'MoodysData(Raw)'!$B$2:$B$180,"=EMP",'MoodysData(Raw)'!$D$2:$D$180,"="&amp;'Implied Productivity Ratios'!$C38)</f>
        <v>88.905716041794719</v>
      </c>
      <c r="AY38">
        <f>SUMIFS('MoodysData(Raw)'!BB$2:BB$180,'MoodysData(Raw)'!$B$2:$B$180,"=GDP",'MoodysData(Raw)'!$D$2:$D$180,"="&amp;'Implied Productivity Ratios'!$C38)/SUMIFS('MoodysData(Raw)'!BB$2:BB$180,'MoodysData(Raw)'!$B$2:$B$180,"=EMP",'MoodysData(Raw)'!$D$2:$D$180,"="&amp;'Implied Productivity Ratios'!$C38)</f>
        <v>90.397215083935137</v>
      </c>
      <c r="AZ38">
        <f>SUMIFS('MoodysData(Raw)'!BC$2:BC$180,'MoodysData(Raw)'!$B$2:$B$180,"=GDP",'MoodysData(Raw)'!$D$2:$D$180,"="&amp;'Implied Productivity Ratios'!$C38)/SUMIFS('MoodysData(Raw)'!BC$2:BC$180,'MoodysData(Raw)'!$B$2:$B$180,"=EMP",'MoodysData(Raw)'!$D$2:$D$180,"="&amp;'Implied Productivity Ratios'!$C38)</f>
        <v>92.036206315258497</v>
      </c>
      <c r="BA38">
        <f>SUMIFS('MoodysData(Raw)'!BD$2:BD$180,'MoodysData(Raw)'!$B$2:$B$180,"=GDP",'MoodysData(Raw)'!$D$2:$D$180,"="&amp;'Implied Productivity Ratios'!$C38)/SUMIFS('MoodysData(Raw)'!BD$2:BD$180,'MoodysData(Raw)'!$B$2:$B$180,"=EMP",'MoodysData(Raw)'!$D$2:$D$180,"="&amp;'Implied Productivity Ratios'!$C38)</f>
        <v>93.851756218353088</v>
      </c>
      <c r="BB38">
        <f>SUMIFS('MoodysData(Raw)'!BE$2:BE$180,'MoodysData(Raw)'!$B$2:$B$180,"=GDP",'MoodysData(Raw)'!$D$2:$D$180,"="&amp;'Implied Productivity Ratios'!$C38)/SUMIFS('MoodysData(Raw)'!BE$2:BE$180,'MoodysData(Raw)'!$B$2:$B$180,"=EMP",'MoodysData(Raw)'!$D$2:$D$180,"="&amp;'Implied Productivity Ratios'!$C38)</f>
        <v>95.833557544511748</v>
      </c>
      <c r="BC38">
        <f>SUMIFS('MoodysData(Raw)'!BF$2:BF$180,'MoodysData(Raw)'!$B$2:$B$180,"=GDP",'MoodysData(Raw)'!$D$2:$D$180,"="&amp;'Implied Productivity Ratios'!$C38)/SUMIFS('MoodysData(Raw)'!BF$2:BF$180,'MoodysData(Raw)'!$B$2:$B$180,"=EMP",'MoodysData(Raw)'!$D$2:$D$180,"="&amp;'Implied Productivity Ratios'!$C38)</f>
        <v>97.989527923801589</v>
      </c>
      <c r="BD38" s="5">
        <f t="shared" ref="BD38:BH38" si="32">BC38+($BC38-$AX38)/5</f>
        <v>99.80629030020296</v>
      </c>
      <c r="BE38" s="5">
        <f t="shared" si="32"/>
        <v>101.62305267660433</v>
      </c>
      <c r="BF38" s="5">
        <f t="shared" si="32"/>
        <v>103.4398150530057</v>
      </c>
      <c r="BG38" s="5">
        <f t="shared" si="32"/>
        <v>105.25657742940707</v>
      </c>
      <c r="BH38" s="5">
        <f t="shared" si="32"/>
        <v>107.07333980580844</v>
      </c>
    </row>
    <row r="39" spans="3:60">
      <c r="C39">
        <v>443</v>
      </c>
      <c r="D39" t="s">
        <v>127</v>
      </c>
      <c r="E39">
        <f>SUMIFS('MoodysData(Raw)'!H$2:H$180,'MoodysData(Raw)'!$B$2:$B$180,"=GDP",'MoodysData(Raw)'!$D$2:$D$180,"="&amp;'Implied Productivity Ratios'!$C39)/SUMIFS('MoodysData(Raw)'!H$2:H$180,'MoodysData(Raw)'!$B$2:$B$180,"=EMP",'MoodysData(Raw)'!$D$2:$D$180,"="&amp;'Implied Productivity Ratios'!$C39)</f>
        <v>64.89510231429891</v>
      </c>
      <c r="F39">
        <f>SUMIFS('MoodysData(Raw)'!I$2:I$180,'MoodysData(Raw)'!$B$2:$B$180,"=GDP",'MoodysData(Raw)'!$D$2:$D$180,"="&amp;'Implied Productivity Ratios'!$C39)/SUMIFS('MoodysData(Raw)'!I$2:I$180,'MoodysData(Raw)'!$B$2:$B$180,"=EMP",'MoodysData(Raw)'!$D$2:$D$180,"="&amp;'Implied Productivity Ratios'!$C39)</f>
        <v>66.106237888488224</v>
      </c>
      <c r="G39">
        <f>SUMIFS('MoodysData(Raw)'!J$2:J$180,'MoodysData(Raw)'!$B$2:$B$180,"=GDP",'MoodysData(Raw)'!$D$2:$D$180,"="&amp;'Implied Productivity Ratios'!$C39)/SUMIFS('MoodysData(Raw)'!J$2:J$180,'MoodysData(Raw)'!$B$2:$B$180,"=EMP",'MoodysData(Raw)'!$D$2:$D$180,"="&amp;'Implied Productivity Ratios'!$C39)</f>
        <v>67.928251783159396</v>
      </c>
      <c r="H39">
        <f>SUMIFS('MoodysData(Raw)'!K$2:K$180,'MoodysData(Raw)'!$B$2:$B$180,"=GDP",'MoodysData(Raw)'!$D$2:$D$180,"="&amp;'Implied Productivity Ratios'!$C39)/SUMIFS('MoodysData(Raw)'!K$2:K$180,'MoodysData(Raw)'!$B$2:$B$180,"=EMP",'MoodysData(Raw)'!$D$2:$D$180,"="&amp;'Implied Productivity Ratios'!$C39)</f>
        <v>66.774059182449832</v>
      </c>
      <c r="I39">
        <f>SUMIFS('MoodysData(Raw)'!L$2:L$180,'MoodysData(Raw)'!$B$2:$B$180,"=GDP",'MoodysData(Raw)'!$D$2:$D$180,"="&amp;'Implied Productivity Ratios'!$C39)/SUMIFS('MoodysData(Raw)'!L$2:L$180,'MoodysData(Raw)'!$B$2:$B$180,"=EMP",'MoodysData(Raw)'!$D$2:$D$180,"="&amp;'Implied Productivity Ratios'!$C39)</f>
        <v>67.200264298346184</v>
      </c>
      <c r="J39">
        <f>SUMIFS('MoodysData(Raw)'!M$2:M$180,'MoodysData(Raw)'!$B$2:$B$180,"=GDP",'MoodysData(Raw)'!$D$2:$D$180,"="&amp;'Implied Productivity Ratios'!$C39)/SUMIFS('MoodysData(Raw)'!M$2:M$180,'MoodysData(Raw)'!$B$2:$B$180,"=EMP",'MoodysData(Raw)'!$D$2:$D$180,"="&amp;'Implied Productivity Ratios'!$C39)</f>
        <v>71.711702841542376</v>
      </c>
      <c r="K39">
        <f>SUMIFS('MoodysData(Raw)'!N$2:N$180,'MoodysData(Raw)'!$B$2:$B$180,"=GDP",'MoodysData(Raw)'!$D$2:$D$180,"="&amp;'Implied Productivity Ratios'!$C39)/SUMIFS('MoodysData(Raw)'!N$2:N$180,'MoodysData(Raw)'!$B$2:$B$180,"=EMP",'MoodysData(Raw)'!$D$2:$D$180,"="&amp;'Implied Productivity Ratios'!$C39)</f>
        <v>72.3017710464038</v>
      </c>
      <c r="L39">
        <f>SUMIFS('MoodysData(Raw)'!O$2:O$180,'MoodysData(Raw)'!$B$2:$B$180,"=GDP",'MoodysData(Raw)'!$D$2:$D$180,"="&amp;'Implied Productivity Ratios'!$C39)/SUMIFS('MoodysData(Raw)'!O$2:O$180,'MoodysData(Raw)'!$B$2:$B$180,"=EMP",'MoodysData(Raw)'!$D$2:$D$180,"="&amp;'Implied Productivity Ratios'!$C39)</f>
        <v>76.70628069420259</v>
      </c>
      <c r="M39">
        <f>SUMIFS('MoodysData(Raw)'!P$2:P$180,'MoodysData(Raw)'!$B$2:$B$180,"=GDP",'MoodysData(Raw)'!$D$2:$D$180,"="&amp;'Implied Productivity Ratios'!$C39)/SUMIFS('MoodysData(Raw)'!P$2:P$180,'MoodysData(Raw)'!$B$2:$B$180,"=EMP",'MoodysData(Raw)'!$D$2:$D$180,"="&amp;'Implied Productivity Ratios'!$C39)</f>
        <v>75.915587091977329</v>
      </c>
      <c r="N39">
        <f>SUMIFS('MoodysData(Raw)'!Q$2:Q$180,'MoodysData(Raw)'!$B$2:$B$180,"=GDP",'MoodysData(Raw)'!$D$2:$D$180,"="&amp;'Implied Productivity Ratios'!$C39)/SUMIFS('MoodysData(Raw)'!Q$2:Q$180,'MoodysData(Raw)'!$B$2:$B$180,"=EMP",'MoodysData(Raw)'!$D$2:$D$180,"="&amp;'Implied Productivity Ratios'!$C39)</f>
        <v>78.145444243247923</v>
      </c>
      <c r="O39">
        <f>SUMIFS('MoodysData(Raw)'!R$2:R$180,'MoodysData(Raw)'!$B$2:$B$180,"=GDP",'MoodysData(Raw)'!$D$2:$D$180,"="&amp;'Implied Productivity Ratios'!$C39)/SUMIFS('MoodysData(Raw)'!R$2:R$180,'MoodysData(Raw)'!$B$2:$B$180,"=EMP",'MoodysData(Raw)'!$D$2:$D$180,"="&amp;'Implied Productivity Ratios'!$C39)</f>
        <v>85.684805860173839</v>
      </c>
      <c r="P39">
        <f>SUMIFS('MoodysData(Raw)'!S$2:S$180,'MoodysData(Raw)'!$B$2:$B$180,"=GDP",'MoodysData(Raw)'!$D$2:$D$180,"="&amp;'Implied Productivity Ratios'!$C39)/SUMIFS('MoodysData(Raw)'!S$2:S$180,'MoodysData(Raw)'!$B$2:$B$180,"=EMP",'MoodysData(Raw)'!$D$2:$D$180,"="&amp;'Implied Productivity Ratios'!$C39)</f>
        <v>86.068369108434496</v>
      </c>
      <c r="Q39">
        <f>SUMIFS('MoodysData(Raw)'!T$2:T$180,'MoodysData(Raw)'!$B$2:$B$180,"=GDP",'MoodysData(Raw)'!$D$2:$D$180,"="&amp;'Implied Productivity Ratios'!$C39)/SUMIFS('MoodysData(Raw)'!T$2:T$180,'MoodysData(Raw)'!$B$2:$B$180,"=EMP",'MoodysData(Raw)'!$D$2:$D$180,"="&amp;'Implied Productivity Ratios'!$C39)</f>
        <v>86.041021259059946</v>
      </c>
      <c r="R39">
        <f>SUMIFS('MoodysData(Raw)'!U$2:U$180,'MoodysData(Raw)'!$B$2:$B$180,"=GDP",'MoodysData(Raw)'!$D$2:$D$180,"="&amp;'Implied Productivity Ratios'!$C39)/SUMIFS('MoodysData(Raw)'!U$2:U$180,'MoodysData(Raw)'!$B$2:$B$180,"=EMP",'MoodysData(Raw)'!$D$2:$D$180,"="&amp;'Implied Productivity Ratios'!$C39)</f>
        <v>91.386522022797834</v>
      </c>
      <c r="S39">
        <f>SUMIFS('MoodysData(Raw)'!V$2:V$180,'MoodysData(Raw)'!$B$2:$B$180,"=GDP",'MoodysData(Raw)'!$D$2:$D$180,"="&amp;'Implied Productivity Ratios'!$C39)/SUMIFS('MoodysData(Raw)'!V$2:V$180,'MoodysData(Raw)'!$B$2:$B$180,"=EMP",'MoodysData(Raw)'!$D$2:$D$180,"="&amp;'Implied Productivity Ratios'!$C39)</f>
        <v>99.740028614526082</v>
      </c>
      <c r="T39">
        <f>SUMIFS('MoodysData(Raw)'!W$2:W$180,'MoodysData(Raw)'!$B$2:$B$180,"=GDP",'MoodysData(Raw)'!$D$2:$D$180,"="&amp;'Implied Productivity Ratios'!$C39)/SUMIFS('MoodysData(Raw)'!W$2:W$180,'MoodysData(Raw)'!$B$2:$B$180,"=EMP",'MoodysData(Raw)'!$D$2:$D$180,"="&amp;'Implied Productivity Ratios'!$C39)</f>
        <v>96.402638268958157</v>
      </c>
      <c r="U39">
        <f>SUMIFS('MoodysData(Raw)'!X$2:X$180,'MoodysData(Raw)'!$B$2:$B$180,"=GDP",'MoodysData(Raw)'!$D$2:$D$180,"="&amp;'Implied Productivity Ratios'!$C39)/SUMIFS('MoodysData(Raw)'!X$2:X$180,'MoodysData(Raw)'!$B$2:$B$180,"=EMP",'MoodysData(Raw)'!$D$2:$D$180,"="&amp;'Implied Productivity Ratios'!$C39)</f>
        <v>102.9829682220835</v>
      </c>
      <c r="V39">
        <f>SUMIFS('MoodysData(Raw)'!Y$2:Y$180,'MoodysData(Raw)'!$B$2:$B$180,"=GDP",'MoodysData(Raw)'!$D$2:$D$180,"="&amp;'Implied Productivity Ratios'!$C39)/SUMIFS('MoodysData(Raw)'!Y$2:Y$180,'MoodysData(Raw)'!$B$2:$B$180,"=EMP",'MoodysData(Raw)'!$D$2:$D$180,"="&amp;'Implied Productivity Ratios'!$C39)</f>
        <v>93.962703201910912</v>
      </c>
      <c r="W39">
        <f>SUMIFS('MoodysData(Raw)'!Z$2:Z$180,'MoodysData(Raw)'!$B$2:$B$180,"=GDP",'MoodysData(Raw)'!$D$2:$D$180,"="&amp;'Implied Productivity Ratios'!$C39)/SUMIFS('MoodysData(Raw)'!Z$2:Z$180,'MoodysData(Raw)'!$B$2:$B$180,"=EMP",'MoodysData(Raw)'!$D$2:$D$180,"="&amp;'Implied Productivity Ratios'!$C39)</f>
        <v>92.910172495912249</v>
      </c>
      <c r="X39">
        <f>SUMIFS('MoodysData(Raw)'!AA$2:AA$180,'MoodysData(Raw)'!$B$2:$B$180,"=GDP",'MoodysData(Raw)'!$D$2:$D$180,"="&amp;'Implied Productivity Ratios'!$C39)/SUMIFS('MoodysData(Raw)'!AA$2:AA$180,'MoodysData(Raw)'!$B$2:$B$180,"=EMP",'MoodysData(Raw)'!$D$2:$D$180,"="&amp;'Implied Productivity Ratios'!$C39)</f>
        <v>91.954123321785971</v>
      </c>
      <c r="Y39">
        <f>SUMIFS('MoodysData(Raw)'!AB$2:AB$180,'MoodysData(Raw)'!$B$2:$B$180,"=GDP",'MoodysData(Raw)'!$D$2:$D$180,"="&amp;'Implied Productivity Ratios'!$C39)/SUMIFS('MoodysData(Raw)'!AB$2:AB$180,'MoodysData(Raw)'!$B$2:$B$180,"=EMP",'MoodysData(Raw)'!$D$2:$D$180,"="&amp;'Implied Productivity Ratios'!$C39)</f>
        <v>94.348111312896705</v>
      </c>
      <c r="Z39">
        <f>SUMIFS('MoodysData(Raw)'!AC$2:AC$180,'MoodysData(Raw)'!$B$2:$B$180,"=GDP",'MoodysData(Raw)'!$D$2:$D$180,"="&amp;'Implied Productivity Ratios'!$C39)/SUMIFS('MoodysData(Raw)'!AC$2:AC$180,'MoodysData(Raw)'!$B$2:$B$180,"=EMP",'MoodysData(Raw)'!$D$2:$D$180,"="&amp;'Implied Productivity Ratios'!$C39)</f>
        <v>96.971954069438212</v>
      </c>
      <c r="AA39">
        <f>SUMIFS('MoodysData(Raw)'!AD$2:AD$180,'MoodysData(Raw)'!$B$2:$B$180,"=GDP",'MoodysData(Raw)'!$D$2:$D$180,"="&amp;'Implied Productivity Ratios'!$C39)/SUMIFS('MoodysData(Raw)'!AD$2:AD$180,'MoodysData(Raw)'!$B$2:$B$180,"=EMP",'MoodysData(Raw)'!$D$2:$D$180,"="&amp;'Implied Productivity Ratios'!$C39)</f>
        <v>99.596644522258941</v>
      </c>
      <c r="AB39">
        <f>SUMIFS('MoodysData(Raw)'!AE$2:AE$180,'MoodysData(Raw)'!$B$2:$B$180,"=GDP",'MoodysData(Raw)'!$D$2:$D$180,"="&amp;'Implied Productivity Ratios'!$C39)/SUMIFS('MoodysData(Raw)'!AE$2:AE$180,'MoodysData(Raw)'!$B$2:$B$180,"=EMP",'MoodysData(Raw)'!$D$2:$D$180,"="&amp;'Implied Productivity Ratios'!$C39)</f>
        <v>102.20546358820006</v>
      </c>
      <c r="AC39">
        <f>SUMIFS('MoodysData(Raw)'!AF$2:AF$180,'MoodysData(Raw)'!$B$2:$B$180,"=GDP",'MoodysData(Raw)'!$D$2:$D$180,"="&amp;'Implied Productivity Ratios'!$C39)/SUMIFS('MoodysData(Raw)'!AF$2:AF$180,'MoodysData(Raw)'!$B$2:$B$180,"=EMP",'MoodysData(Raw)'!$D$2:$D$180,"="&amp;'Implied Productivity Ratios'!$C39)</f>
        <v>104.8807533958107</v>
      </c>
      <c r="AD39">
        <f>SUMIFS('MoodysData(Raw)'!AG$2:AG$180,'MoodysData(Raw)'!$B$2:$B$180,"=GDP",'MoodysData(Raw)'!$D$2:$D$180,"="&amp;'Implied Productivity Ratios'!$C39)/SUMIFS('MoodysData(Raw)'!AG$2:AG$180,'MoodysData(Raw)'!$B$2:$B$180,"=EMP",'MoodysData(Raw)'!$D$2:$D$180,"="&amp;'Implied Productivity Ratios'!$C39)</f>
        <v>107.65649609184888</v>
      </c>
      <c r="AE39">
        <f>SUMIFS('MoodysData(Raw)'!AH$2:AH$180,'MoodysData(Raw)'!$B$2:$B$180,"=GDP",'MoodysData(Raw)'!$D$2:$D$180,"="&amp;'Implied Productivity Ratios'!$C39)/SUMIFS('MoodysData(Raw)'!AH$2:AH$180,'MoodysData(Raw)'!$B$2:$B$180,"=EMP",'MoodysData(Raw)'!$D$2:$D$180,"="&amp;'Implied Productivity Ratios'!$C39)</f>
        <v>110.23014226703997</v>
      </c>
      <c r="AF39">
        <f>SUMIFS('MoodysData(Raw)'!AI$2:AI$180,'MoodysData(Raw)'!$B$2:$B$180,"=GDP",'MoodysData(Raw)'!$D$2:$D$180,"="&amp;'Implied Productivity Ratios'!$C39)/SUMIFS('MoodysData(Raw)'!AI$2:AI$180,'MoodysData(Raw)'!$B$2:$B$180,"=EMP",'MoodysData(Raw)'!$D$2:$D$180,"="&amp;'Implied Productivity Ratios'!$C39)</f>
        <v>112.71658284381401</v>
      </c>
      <c r="AG39">
        <f>SUMIFS('MoodysData(Raw)'!AJ$2:AJ$180,'MoodysData(Raw)'!$B$2:$B$180,"=GDP",'MoodysData(Raw)'!$D$2:$D$180,"="&amp;'Implied Productivity Ratios'!$C39)/SUMIFS('MoodysData(Raw)'!AJ$2:AJ$180,'MoodysData(Raw)'!$B$2:$B$180,"=EMP",'MoodysData(Raw)'!$D$2:$D$180,"="&amp;'Implied Productivity Ratios'!$C39)</f>
        <v>115.10771565141103</v>
      </c>
      <c r="AH39">
        <f>SUMIFS('MoodysData(Raw)'!AK$2:AK$180,'MoodysData(Raw)'!$B$2:$B$180,"=GDP",'MoodysData(Raw)'!$D$2:$D$180,"="&amp;'Implied Productivity Ratios'!$C39)/SUMIFS('MoodysData(Raw)'!AK$2:AK$180,'MoodysData(Raw)'!$B$2:$B$180,"=EMP",'MoodysData(Raw)'!$D$2:$D$180,"="&amp;'Implied Productivity Ratios'!$C39)</f>
        <v>117.22257890048358</v>
      </c>
      <c r="AI39">
        <f>SUMIFS('MoodysData(Raw)'!AL$2:AL$180,'MoodysData(Raw)'!$B$2:$B$180,"=GDP",'MoodysData(Raw)'!$D$2:$D$180,"="&amp;'Implied Productivity Ratios'!$C39)/SUMIFS('MoodysData(Raw)'!AL$2:AL$180,'MoodysData(Raw)'!$B$2:$B$180,"=EMP",'MoodysData(Raw)'!$D$2:$D$180,"="&amp;'Implied Productivity Ratios'!$C39)</f>
        <v>119.2221873056189</v>
      </c>
      <c r="AJ39">
        <f>SUMIFS('MoodysData(Raw)'!AM$2:AM$180,'MoodysData(Raw)'!$B$2:$B$180,"=GDP",'MoodysData(Raw)'!$D$2:$D$180,"="&amp;'Implied Productivity Ratios'!$C39)/SUMIFS('MoodysData(Raw)'!AM$2:AM$180,'MoodysData(Raw)'!$B$2:$B$180,"=EMP",'MoodysData(Raw)'!$D$2:$D$180,"="&amp;'Implied Productivity Ratios'!$C39)</f>
        <v>121.38115897118064</v>
      </c>
      <c r="AK39">
        <f>SUMIFS('MoodysData(Raw)'!AN$2:AN$180,'MoodysData(Raw)'!$B$2:$B$180,"=GDP",'MoodysData(Raw)'!$D$2:$D$180,"="&amp;'Implied Productivity Ratios'!$C39)/SUMIFS('MoodysData(Raw)'!AN$2:AN$180,'MoodysData(Raw)'!$B$2:$B$180,"=EMP",'MoodysData(Raw)'!$D$2:$D$180,"="&amp;'Implied Productivity Ratios'!$C39)</f>
        <v>123.67202611178016</v>
      </c>
      <c r="AL39">
        <f>SUMIFS('MoodysData(Raw)'!AO$2:AO$180,'MoodysData(Raw)'!$B$2:$B$180,"=GDP",'MoodysData(Raw)'!$D$2:$D$180,"="&amp;'Implied Productivity Ratios'!$C39)/SUMIFS('MoodysData(Raw)'!AO$2:AO$180,'MoodysData(Raw)'!$B$2:$B$180,"=EMP",'MoodysData(Raw)'!$D$2:$D$180,"="&amp;'Implied Productivity Ratios'!$C39)</f>
        <v>126.28957926771018</v>
      </c>
      <c r="AM39">
        <f>SUMIFS('MoodysData(Raw)'!AP$2:AP$180,'MoodysData(Raw)'!$B$2:$B$180,"=GDP",'MoodysData(Raw)'!$D$2:$D$180,"="&amp;'Implied Productivity Ratios'!$C39)/SUMIFS('MoodysData(Raw)'!AP$2:AP$180,'MoodysData(Raw)'!$B$2:$B$180,"=EMP",'MoodysData(Raw)'!$D$2:$D$180,"="&amp;'Implied Productivity Ratios'!$C39)</f>
        <v>128.9904670487702</v>
      </c>
      <c r="AN39">
        <f>SUMIFS('MoodysData(Raw)'!AQ$2:AQ$180,'MoodysData(Raw)'!$B$2:$B$180,"=GDP",'MoodysData(Raw)'!$D$2:$D$180,"="&amp;'Implied Productivity Ratios'!$C39)/SUMIFS('MoodysData(Raw)'!AQ$2:AQ$180,'MoodysData(Raw)'!$B$2:$B$180,"=EMP",'MoodysData(Raw)'!$D$2:$D$180,"="&amp;'Implied Productivity Ratios'!$C39)</f>
        <v>131.66303048205822</v>
      </c>
      <c r="AO39">
        <f>SUMIFS('MoodysData(Raw)'!AR$2:AR$180,'MoodysData(Raw)'!$B$2:$B$180,"=GDP",'MoodysData(Raw)'!$D$2:$D$180,"="&amp;'Implied Productivity Ratios'!$C39)/SUMIFS('MoodysData(Raw)'!AR$2:AR$180,'MoodysData(Raw)'!$B$2:$B$180,"=EMP",'MoodysData(Raw)'!$D$2:$D$180,"="&amp;'Implied Productivity Ratios'!$C39)</f>
        <v>134.22983596387712</v>
      </c>
      <c r="AP39">
        <f>SUMIFS('MoodysData(Raw)'!AS$2:AS$180,'MoodysData(Raw)'!$B$2:$B$180,"=GDP",'MoodysData(Raw)'!$D$2:$D$180,"="&amp;'Implied Productivity Ratios'!$C39)/SUMIFS('MoodysData(Raw)'!AS$2:AS$180,'MoodysData(Raw)'!$B$2:$B$180,"=EMP",'MoodysData(Raw)'!$D$2:$D$180,"="&amp;'Implied Productivity Ratios'!$C39)</f>
        <v>136.76323791775914</v>
      </c>
      <c r="AQ39">
        <f>SUMIFS('MoodysData(Raw)'!AT$2:AT$180,'MoodysData(Raw)'!$B$2:$B$180,"=GDP",'MoodysData(Raw)'!$D$2:$D$180,"="&amp;'Implied Productivity Ratios'!$C39)/SUMIFS('MoodysData(Raw)'!AT$2:AT$180,'MoodysData(Raw)'!$B$2:$B$180,"=EMP",'MoodysData(Raw)'!$D$2:$D$180,"="&amp;'Implied Productivity Ratios'!$C39)</f>
        <v>139.3216339632713</v>
      </c>
      <c r="AR39">
        <f>SUMIFS('MoodysData(Raw)'!AU$2:AU$180,'MoodysData(Raw)'!$B$2:$B$180,"=GDP",'MoodysData(Raw)'!$D$2:$D$180,"="&amp;'Implied Productivity Ratios'!$C39)/SUMIFS('MoodysData(Raw)'!AU$2:AU$180,'MoodysData(Raw)'!$B$2:$B$180,"=EMP",'MoodysData(Raw)'!$D$2:$D$180,"="&amp;'Implied Productivity Ratios'!$C39)</f>
        <v>141.94583649240897</v>
      </c>
      <c r="AS39">
        <f>SUMIFS('MoodysData(Raw)'!AV$2:AV$180,'MoodysData(Raw)'!$B$2:$B$180,"=GDP",'MoodysData(Raw)'!$D$2:$D$180,"="&amp;'Implied Productivity Ratios'!$C39)/SUMIFS('MoodysData(Raw)'!AV$2:AV$180,'MoodysData(Raw)'!$B$2:$B$180,"=EMP",'MoodysData(Raw)'!$D$2:$D$180,"="&amp;'Implied Productivity Ratios'!$C39)</f>
        <v>144.61306077877003</v>
      </c>
      <c r="AT39">
        <f>SUMIFS('MoodysData(Raw)'!AW$2:AW$180,'MoodysData(Raw)'!$B$2:$B$180,"=GDP",'MoodysData(Raw)'!$D$2:$D$180,"="&amp;'Implied Productivity Ratios'!$C39)/SUMIFS('MoodysData(Raw)'!AW$2:AW$180,'MoodysData(Raw)'!$B$2:$B$180,"=EMP",'MoodysData(Raw)'!$D$2:$D$180,"="&amp;'Implied Productivity Ratios'!$C39)</f>
        <v>147.29022480233419</v>
      </c>
      <c r="AU39">
        <f>SUMIFS('MoodysData(Raw)'!AX$2:AX$180,'MoodysData(Raw)'!$B$2:$B$180,"=GDP",'MoodysData(Raw)'!$D$2:$D$180,"="&amp;'Implied Productivity Ratios'!$C39)/SUMIFS('MoodysData(Raw)'!AX$2:AX$180,'MoodysData(Raw)'!$B$2:$B$180,"=EMP",'MoodysData(Raw)'!$D$2:$D$180,"="&amp;'Implied Productivity Ratios'!$C39)</f>
        <v>150.07149891593124</v>
      </c>
      <c r="AV39">
        <f>SUMIFS('MoodysData(Raw)'!AY$2:AY$180,'MoodysData(Raw)'!$B$2:$B$180,"=GDP",'MoodysData(Raw)'!$D$2:$D$180,"="&amp;'Implied Productivity Ratios'!$C39)/SUMIFS('MoodysData(Raw)'!AY$2:AY$180,'MoodysData(Raw)'!$B$2:$B$180,"=EMP",'MoodysData(Raw)'!$D$2:$D$180,"="&amp;'Implied Productivity Ratios'!$C39)</f>
        <v>153.02512789300135</v>
      </c>
      <c r="AW39">
        <f>SUMIFS('MoodysData(Raw)'!AZ$2:AZ$180,'MoodysData(Raw)'!$B$2:$B$180,"=GDP",'MoodysData(Raw)'!$D$2:$D$180,"="&amp;'Implied Productivity Ratios'!$C39)/SUMIFS('MoodysData(Raw)'!AZ$2:AZ$180,'MoodysData(Raw)'!$B$2:$B$180,"=EMP",'MoodysData(Raw)'!$D$2:$D$180,"="&amp;'Implied Productivity Ratios'!$C39)</f>
        <v>156.05151792856535</v>
      </c>
      <c r="AX39">
        <f>SUMIFS('MoodysData(Raw)'!BA$2:BA$180,'MoodysData(Raw)'!$B$2:$B$180,"=GDP",'MoodysData(Raw)'!$D$2:$D$180,"="&amp;'Implied Productivity Ratios'!$C39)/SUMIFS('MoodysData(Raw)'!BA$2:BA$180,'MoodysData(Raw)'!$B$2:$B$180,"=EMP",'MoodysData(Raw)'!$D$2:$D$180,"="&amp;'Implied Productivity Ratios'!$C39)</f>
        <v>159.16395936307325</v>
      </c>
      <c r="AY39">
        <f>SUMIFS('MoodysData(Raw)'!BB$2:BB$180,'MoodysData(Raw)'!$B$2:$B$180,"=GDP",'MoodysData(Raw)'!$D$2:$D$180,"="&amp;'Implied Productivity Ratios'!$C39)/SUMIFS('MoodysData(Raw)'!BB$2:BB$180,'MoodysData(Raw)'!$B$2:$B$180,"=EMP",'MoodysData(Raw)'!$D$2:$D$180,"="&amp;'Implied Productivity Ratios'!$C39)</f>
        <v>162.38007931761669</v>
      </c>
      <c r="AZ39">
        <f>SUMIFS('MoodysData(Raw)'!BC$2:BC$180,'MoodysData(Raw)'!$B$2:$B$180,"=GDP",'MoodysData(Raw)'!$D$2:$D$180,"="&amp;'Implied Productivity Ratios'!$C39)/SUMIFS('MoodysData(Raw)'!BC$2:BC$180,'MoodysData(Raw)'!$B$2:$B$180,"=EMP",'MoodysData(Raw)'!$D$2:$D$180,"="&amp;'Implied Productivity Ratios'!$C39)</f>
        <v>165.75865943003623</v>
      </c>
      <c r="BA39">
        <f>SUMIFS('MoodysData(Raw)'!BD$2:BD$180,'MoodysData(Raw)'!$B$2:$B$180,"=GDP",'MoodysData(Raw)'!$D$2:$D$180,"="&amp;'Implied Productivity Ratios'!$C39)/SUMIFS('MoodysData(Raw)'!BD$2:BD$180,'MoodysData(Raw)'!$B$2:$B$180,"=EMP",'MoodysData(Raw)'!$D$2:$D$180,"="&amp;'Implied Productivity Ratios'!$C39)</f>
        <v>169.34676165133311</v>
      </c>
      <c r="BB39">
        <f>SUMIFS('MoodysData(Raw)'!BE$2:BE$180,'MoodysData(Raw)'!$B$2:$B$180,"=GDP",'MoodysData(Raw)'!$D$2:$D$180,"="&amp;'Implied Productivity Ratios'!$C39)/SUMIFS('MoodysData(Raw)'!BE$2:BE$180,'MoodysData(Raw)'!$B$2:$B$180,"=EMP",'MoodysData(Raw)'!$D$2:$D$180,"="&amp;'Implied Productivity Ratios'!$C39)</f>
        <v>173.1195852543776</v>
      </c>
      <c r="BC39">
        <f>SUMIFS('MoodysData(Raw)'!BF$2:BF$180,'MoodysData(Raw)'!$B$2:$B$180,"=GDP",'MoodysData(Raw)'!$D$2:$D$180,"="&amp;'Implied Productivity Ratios'!$C39)/SUMIFS('MoodysData(Raw)'!BF$2:BF$180,'MoodysData(Raw)'!$B$2:$B$180,"=EMP",'MoodysData(Raw)'!$D$2:$D$180,"="&amp;'Implied Productivity Ratios'!$C39)</f>
        <v>177.0844736567218</v>
      </c>
      <c r="BD39" s="5">
        <f t="shared" ref="BD39:BH39" si="33">BC39+($BC39-$AX39)/5</f>
        <v>180.66857651545152</v>
      </c>
      <c r="BE39" s="5">
        <f t="shared" si="33"/>
        <v>184.25267937418124</v>
      </c>
      <c r="BF39" s="5">
        <f t="shared" si="33"/>
        <v>187.83678223291096</v>
      </c>
      <c r="BG39" s="5">
        <f t="shared" si="33"/>
        <v>191.42088509164068</v>
      </c>
      <c r="BH39" s="5">
        <f t="shared" si="33"/>
        <v>195.00498795037041</v>
      </c>
    </row>
    <row r="40" spans="3:60">
      <c r="C40">
        <v>444</v>
      </c>
      <c r="D40" t="s">
        <v>131</v>
      </c>
      <c r="E40">
        <f>SUMIFS('MoodysData(Raw)'!H$2:H$180,'MoodysData(Raw)'!$B$2:$B$180,"=GDP",'MoodysData(Raw)'!$D$2:$D$180,"="&amp;'Implied Productivity Ratios'!$C40)/SUMIFS('MoodysData(Raw)'!H$2:H$180,'MoodysData(Raw)'!$B$2:$B$180,"=EMP",'MoodysData(Raw)'!$D$2:$D$180,"="&amp;'Implied Productivity Ratios'!$C40)</f>
        <v>84.826011314718926</v>
      </c>
      <c r="F40">
        <f>SUMIFS('MoodysData(Raw)'!I$2:I$180,'MoodysData(Raw)'!$B$2:$B$180,"=GDP",'MoodysData(Raw)'!$D$2:$D$180,"="&amp;'Implied Productivity Ratios'!$C40)/SUMIFS('MoodysData(Raw)'!I$2:I$180,'MoodysData(Raw)'!$B$2:$B$180,"=EMP",'MoodysData(Raw)'!$D$2:$D$180,"="&amp;'Implied Productivity Ratios'!$C40)</f>
        <v>77.847926584830077</v>
      </c>
      <c r="G40">
        <f>SUMIFS('MoodysData(Raw)'!J$2:J$180,'MoodysData(Raw)'!$B$2:$B$180,"=GDP",'MoodysData(Raw)'!$D$2:$D$180,"="&amp;'Implied Productivity Ratios'!$C40)/SUMIFS('MoodysData(Raw)'!J$2:J$180,'MoodysData(Raw)'!$B$2:$B$180,"=EMP",'MoodysData(Raw)'!$D$2:$D$180,"="&amp;'Implied Productivity Ratios'!$C40)</f>
        <v>75.650858714462387</v>
      </c>
      <c r="H40">
        <f>SUMIFS('MoodysData(Raw)'!K$2:K$180,'MoodysData(Raw)'!$B$2:$B$180,"=GDP",'MoodysData(Raw)'!$D$2:$D$180,"="&amp;'Implied Productivity Ratios'!$C40)/SUMIFS('MoodysData(Raw)'!K$2:K$180,'MoodysData(Raw)'!$B$2:$B$180,"=EMP",'MoodysData(Raw)'!$D$2:$D$180,"="&amp;'Implied Productivity Ratios'!$C40)</f>
        <v>78.290777367227392</v>
      </c>
      <c r="I40">
        <f>SUMIFS('MoodysData(Raw)'!L$2:L$180,'MoodysData(Raw)'!$B$2:$B$180,"=GDP",'MoodysData(Raw)'!$D$2:$D$180,"="&amp;'Implied Productivity Ratios'!$C40)/SUMIFS('MoodysData(Raw)'!L$2:L$180,'MoodysData(Raw)'!$B$2:$B$180,"=EMP",'MoodysData(Raw)'!$D$2:$D$180,"="&amp;'Implied Productivity Ratios'!$C40)</f>
        <v>79.613012218632875</v>
      </c>
      <c r="J40">
        <f>SUMIFS('MoodysData(Raw)'!M$2:M$180,'MoodysData(Raw)'!$B$2:$B$180,"=GDP",'MoodysData(Raw)'!$D$2:$D$180,"="&amp;'Implied Productivity Ratios'!$C40)/SUMIFS('MoodysData(Raw)'!M$2:M$180,'MoodysData(Raw)'!$B$2:$B$180,"=EMP",'MoodysData(Raw)'!$D$2:$D$180,"="&amp;'Implied Productivity Ratios'!$C40)</f>
        <v>82.453869274116371</v>
      </c>
      <c r="K40">
        <f>SUMIFS('MoodysData(Raw)'!N$2:N$180,'MoodysData(Raw)'!$B$2:$B$180,"=GDP",'MoodysData(Raw)'!$D$2:$D$180,"="&amp;'Implied Productivity Ratios'!$C40)/SUMIFS('MoodysData(Raw)'!N$2:N$180,'MoodysData(Raw)'!$B$2:$B$180,"=EMP",'MoodysData(Raw)'!$D$2:$D$180,"="&amp;'Implied Productivity Ratios'!$C40)</f>
        <v>81.940009893695034</v>
      </c>
      <c r="L40">
        <f>SUMIFS('MoodysData(Raw)'!O$2:O$180,'MoodysData(Raw)'!$B$2:$B$180,"=GDP",'MoodysData(Raw)'!$D$2:$D$180,"="&amp;'Implied Productivity Ratios'!$C40)/SUMIFS('MoodysData(Raw)'!O$2:O$180,'MoodysData(Raw)'!$B$2:$B$180,"=EMP",'MoodysData(Raw)'!$D$2:$D$180,"="&amp;'Implied Productivity Ratios'!$C40)</f>
        <v>79.6137991859121</v>
      </c>
      <c r="M40">
        <f>SUMIFS('MoodysData(Raw)'!P$2:P$180,'MoodysData(Raw)'!$B$2:$B$180,"=GDP",'MoodysData(Raw)'!$D$2:$D$180,"="&amp;'Implied Productivity Ratios'!$C40)/SUMIFS('MoodysData(Raw)'!P$2:P$180,'MoodysData(Raw)'!$B$2:$B$180,"=EMP",'MoodysData(Raw)'!$D$2:$D$180,"="&amp;'Implied Productivity Ratios'!$C40)</f>
        <v>77.209640051373569</v>
      </c>
      <c r="N40">
        <f>SUMIFS('MoodysData(Raw)'!Q$2:Q$180,'MoodysData(Raw)'!$B$2:$B$180,"=GDP",'MoodysData(Raw)'!$D$2:$D$180,"="&amp;'Implied Productivity Ratios'!$C40)/SUMIFS('MoodysData(Raw)'!Q$2:Q$180,'MoodysData(Raw)'!$B$2:$B$180,"=EMP",'MoodysData(Raw)'!$D$2:$D$180,"="&amp;'Implied Productivity Ratios'!$C40)</f>
        <v>79.880922155786578</v>
      </c>
      <c r="O40">
        <f>SUMIFS('MoodysData(Raw)'!R$2:R$180,'MoodysData(Raw)'!$B$2:$B$180,"=GDP",'MoodysData(Raw)'!$D$2:$D$180,"="&amp;'Implied Productivity Ratios'!$C40)/SUMIFS('MoodysData(Raw)'!R$2:R$180,'MoodysData(Raw)'!$B$2:$B$180,"=EMP",'MoodysData(Raw)'!$D$2:$D$180,"="&amp;'Implied Productivity Ratios'!$C40)</f>
        <v>81.002902126099997</v>
      </c>
      <c r="P40">
        <f>SUMIFS('MoodysData(Raw)'!S$2:S$180,'MoodysData(Raw)'!$B$2:$B$180,"=GDP",'MoodysData(Raw)'!$D$2:$D$180,"="&amp;'Implied Productivity Ratios'!$C40)/SUMIFS('MoodysData(Raw)'!S$2:S$180,'MoodysData(Raw)'!$B$2:$B$180,"=EMP",'MoodysData(Raw)'!$D$2:$D$180,"="&amp;'Implied Productivity Ratios'!$C40)</f>
        <v>82.777183792726035</v>
      </c>
      <c r="Q40">
        <f>SUMIFS('MoodysData(Raw)'!T$2:T$180,'MoodysData(Raw)'!$B$2:$B$180,"=GDP",'MoodysData(Raw)'!$D$2:$D$180,"="&amp;'Implied Productivity Ratios'!$C40)/SUMIFS('MoodysData(Raw)'!T$2:T$180,'MoodysData(Raw)'!$B$2:$B$180,"=EMP",'MoodysData(Raw)'!$D$2:$D$180,"="&amp;'Implied Productivity Ratios'!$C40)</f>
        <v>81.230515348947335</v>
      </c>
      <c r="R40">
        <f>SUMIFS('MoodysData(Raw)'!U$2:U$180,'MoodysData(Raw)'!$B$2:$B$180,"=GDP",'MoodysData(Raw)'!$D$2:$D$180,"="&amp;'Implied Productivity Ratios'!$C40)/SUMIFS('MoodysData(Raw)'!U$2:U$180,'MoodysData(Raw)'!$B$2:$B$180,"=EMP",'MoodysData(Raw)'!$D$2:$D$180,"="&amp;'Implied Productivity Ratios'!$C40)</f>
        <v>78.585868012482891</v>
      </c>
      <c r="S40">
        <f>SUMIFS('MoodysData(Raw)'!V$2:V$180,'MoodysData(Raw)'!$B$2:$B$180,"=GDP",'MoodysData(Raw)'!$D$2:$D$180,"="&amp;'Implied Productivity Ratios'!$C40)/SUMIFS('MoodysData(Raw)'!V$2:V$180,'MoodysData(Raw)'!$B$2:$B$180,"=EMP",'MoodysData(Raw)'!$D$2:$D$180,"="&amp;'Implied Productivity Ratios'!$C40)</f>
        <v>80.457223011160494</v>
      </c>
      <c r="T40">
        <f>SUMIFS('MoodysData(Raw)'!W$2:W$180,'MoodysData(Raw)'!$B$2:$B$180,"=GDP",'MoodysData(Raw)'!$D$2:$D$180,"="&amp;'Implied Productivity Ratios'!$C40)/SUMIFS('MoodysData(Raw)'!W$2:W$180,'MoodysData(Raw)'!$B$2:$B$180,"=EMP",'MoodysData(Raw)'!$D$2:$D$180,"="&amp;'Implied Productivity Ratios'!$C40)</f>
        <v>75.060915940390103</v>
      </c>
      <c r="U40">
        <f>SUMIFS('MoodysData(Raw)'!X$2:X$180,'MoodysData(Raw)'!$B$2:$B$180,"=GDP",'MoodysData(Raw)'!$D$2:$D$180,"="&amp;'Implied Productivity Ratios'!$C40)/SUMIFS('MoodysData(Raw)'!X$2:X$180,'MoodysData(Raw)'!$B$2:$B$180,"=EMP",'MoodysData(Raw)'!$D$2:$D$180,"="&amp;'Implied Productivity Ratios'!$C40)</f>
        <v>60.475753347461769</v>
      </c>
      <c r="V40">
        <f>SUMIFS('MoodysData(Raw)'!Y$2:Y$180,'MoodysData(Raw)'!$B$2:$B$180,"=GDP",'MoodysData(Raw)'!$D$2:$D$180,"="&amp;'Implied Productivity Ratios'!$C40)/SUMIFS('MoodysData(Raw)'!Y$2:Y$180,'MoodysData(Raw)'!$B$2:$B$180,"=EMP",'MoodysData(Raw)'!$D$2:$D$180,"="&amp;'Implied Productivity Ratios'!$C40)</f>
        <v>56.945133199281273</v>
      </c>
      <c r="W40">
        <f>SUMIFS('MoodysData(Raw)'!Z$2:Z$180,'MoodysData(Raw)'!$B$2:$B$180,"=GDP",'MoodysData(Raw)'!$D$2:$D$180,"="&amp;'Implied Productivity Ratios'!$C40)/SUMIFS('MoodysData(Raw)'!Z$2:Z$180,'MoodysData(Raw)'!$B$2:$B$180,"=EMP",'MoodysData(Raw)'!$D$2:$D$180,"="&amp;'Implied Productivity Ratios'!$C40)</f>
        <v>65.366127440639602</v>
      </c>
      <c r="X40">
        <f>SUMIFS('MoodysData(Raw)'!AA$2:AA$180,'MoodysData(Raw)'!$B$2:$B$180,"=GDP",'MoodysData(Raw)'!$D$2:$D$180,"="&amp;'Implied Productivity Ratios'!$C40)/SUMIFS('MoodysData(Raw)'!AA$2:AA$180,'MoodysData(Raw)'!$B$2:$B$180,"=EMP",'MoodysData(Raw)'!$D$2:$D$180,"="&amp;'Implied Productivity Ratios'!$C40)</f>
        <v>68.003431161686095</v>
      </c>
      <c r="Y40">
        <f>SUMIFS('MoodysData(Raw)'!AB$2:AB$180,'MoodysData(Raw)'!$B$2:$B$180,"=GDP",'MoodysData(Raw)'!$D$2:$D$180,"="&amp;'Implied Productivity Ratios'!$C40)/SUMIFS('MoodysData(Raw)'!AB$2:AB$180,'MoodysData(Raw)'!$B$2:$B$180,"=EMP",'MoodysData(Raw)'!$D$2:$D$180,"="&amp;'Implied Productivity Ratios'!$C40)</f>
        <v>67.803523276217746</v>
      </c>
      <c r="Z40">
        <f>SUMIFS('MoodysData(Raw)'!AC$2:AC$180,'MoodysData(Raw)'!$B$2:$B$180,"=GDP",'MoodysData(Raw)'!$D$2:$D$180,"="&amp;'Implied Productivity Ratios'!$C40)/SUMIFS('MoodysData(Raw)'!AC$2:AC$180,'MoodysData(Raw)'!$B$2:$B$180,"=EMP",'MoodysData(Raw)'!$D$2:$D$180,"="&amp;'Implied Productivity Ratios'!$C40)</f>
        <v>67.364870925766425</v>
      </c>
      <c r="AA40">
        <f>SUMIFS('MoodysData(Raw)'!AD$2:AD$180,'MoodysData(Raw)'!$B$2:$B$180,"=GDP",'MoodysData(Raw)'!$D$2:$D$180,"="&amp;'Implied Productivity Ratios'!$C40)/SUMIFS('MoodysData(Raw)'!AD$2:AD$180,'MoodysData(Raw)'!$B$2:$B$180,"=EMP",'MoodysData(Raw)'!$D$2:$D$180,"="&amp;'Implied Productivity Ratios'!$C40)</f>
        <v>66.956110580015576</v>
      </c>
      <c r="AB40">
        <f>SUMIFS('MoodysData(Raw)'!AE$2:AE$180,'MoodysData(Raw)'!$B$2:$B$180,"=GDP",'MoodysData(Raw)'!$D$2:$D$180,"="&amp;'Implied Productivity Ratios'!$C40)/SUMIFS('MoodysData(Raw)'!AE$2:AE$180,'MoodysData(Raw)'!$B$2:$B$180,"=EMP",'MoodysData(Raw)'!$D$2:$D$180,"="&amp;'Implied Productivity Ratios'!$C40)</f>
        <v>66.566766379093664</v>
      </c>
      <c r="AC40">
        <f>SUMIFS('MoodysData(Raw)'!AF$2:AF$180,'MoodysData(Raw)'!$B$2:$B$180,"=GDP",'MoodysData(Raw)'!$D$2:$D$180,"="&amp;'Implied Productivity Ratios'!$C40)/SUMIFS('MoodysData(Raw)'!AF$2:AF$180,'MoodysData(Raw)'!$B$2:$B$180,"=EMP",'MoodysData(Raw)'!$D$2:$D$180,"="&amp;'Implied Productivity Ratios'!$C40)</f>
        <v>66.253866539949968</v>
      </c>
      <c r="AD40">
        <f>SUMIFS('MoodysData(Raw)'!AG$2:AG$180,'MoodysData(Raw)'!$B$2:$B$180,"=GDP",'MoodysData(Raw)'!$D$2:$D$180,"="&amp;'Implied Productivity Ratios'!$C40)/SUMIFS('MoodysData(Raw)'!AG$2:AG$180,'MoodysData(Raw)'!$B$2:$B$180,"=EMP",'MoodysData(Raw)'!$D$2:$D$180,"="&amp;'Implied Productivity Ratios'!$C40)</f>
        <v>66.035028007378756</v>
      </c>
      <c r="AE40">
        <f>SUMIFS('MoodysData(Raw)'!AH$2:AH$180,'MoodysData(Raw)'!$B$2:$B$180,"=GDP",'MoodysData(Raw)'!$D$2:$D$180,"="&amp;'Implied Productivity Ratios'!$C40)/SUMIFS('MoodysData(Raw)'!AH$2:AH$180,'MoodysData(Raw)'!$B$2:$B$180,"=EMP",'MoodysData(Raw)'!$D$2:$D$180,"="&amp;'Implied Productivity Ratios'!$C40)</f>
        <v>65.727225920547099</v>
      </c>
      <c r="AF40">
        <f>SUMIFS('MoodysData(Raw)'!AI$2:AI$180,'MoodysData(Raw)'!$B$2:$B$180,"=GDP",'MoodysData(Raw)'!$D$2:$D$180,"="&amp;'Implied Productivity Ratios'!$C40)/SUMIFS('MoodysData(Raw)'!AI$2:AI$180,'MoodysData(Raw)'!$B$2:$B$180,"=EMP",'MoodysData(Raw)'!$D$2:$D$180,"="&amp;'Implied Productivity Ratios'!$C40)</f>
        <v>65.408908662690237</v>
      </c>
      <c r="AG40">
        <f>SUMIFS('MoodysData(Raw)'!AJ$2:AJ$180,'MoodysData(Raw)'!$B$2:$B$180,"=GDP",'MoodysData(Raw)'!$D$2:$D$180,"="&amp;'Implied Productivity Ratios'!$C40)/SUMIFS('MoodysData(Raw)'!AJ$2:AJ$180,'MoodysData(Raw)'!$B$2:$B$180,"=EMP",'MoodysData(Raw)'!$D$2:$D$180,"="&amp;'Implied Productivity Ratios'!$C40)</f>
        <v>65.081590222386296</v>
      </c>
      <c r="AH40">
        <f>SUMIFS('MoodysData(Raw)'!AK$2:AK$180,'MoodysData(Raw)'!$B$2:$B$180,"=GDP",'MoodysData(Raw)'!$D$2:$D$180,"="&amp;'Implied Productivity Ratios'!$C40)/SUMIFS('MoodysData(Raw)'!AK$2:AK$180,'MoodysData(Raw)'!$B$2:$B$180,"=EMP",'MoodysData(Raw)'!$D$2:$D$180,"="&amp;'Implied Productivity Ratios'!$C40)</f>
        <v>64.64944289799493</v>
      </c>
      <c r="AI40">
        <f>SUMIFS('MoodysData(Raw)'!AL$2:AL$180,'MoodysData(Raw)'!$B$2:$B$180,"=GDP",'MoodysData(Raw)'!$D$2:$D$180,"="&amp;'Implied Productivity Ratios'!$C40)/SUMIFS('MoodysData(Raw)'!AL$2:AL$180,'MoodysData(Raw)'!$B$2:$B$180,"=EMP",'MoodysData(Raw)'!$D$2:$D$180,"="&amp;'Implied Productivity Ratios'!$C40)</f>
        <v>64.210496082256086</v>
      </c>
      <c r="AJ40">
        <f>SUMIFS('MoodysData(Raw)'!AM$2:AM$180,'MoodysData(Raw)'!$B$2:$B$180,"=GDP",'MoodysData(Raw)'!$D$2:$D$180,"="&amp;'Implied Productivity Ratios'!$C40)/SUMIFS('MoodysData(Raw)'!AM$2:AM$180,'MoodysData(Raw)'!$B$2:$B$180,"=EMP",'MoodysData(Raw)'!$D$2:$D$180,"="&amp;'Implied Productivity Ratios'!$C40)</f>
        <v>63.912726196696127</v>
      </c>
      <c r="AK40">
        <f>SUMIFS('MoodysData(Raw)'!AN$2:AN$180,'MoodysData(Raw)'!$B$2:$B$180,"=GDP",'MoodysData(Raw)'!$D$2:$D$180,"="&amp;'Implied Productivity Ratios'!$C40)/SUMIFS('MoodysData(Raw)'!AN$2:AN$180,'MoodysData(Raw)'!$B$2:$B$180,"=EMP",'MoodysData(Raw)'!$D$2:$D$180,"="&amp;'Implied Productivity Ratios'!$C40)</f>
        <v>63.737479336323482</v>
      </c>
      <c r="AL40">
        <f>SUMIFS('MoodysData(Raw)'!AO$2:AO$180,'MoodysData(Raw)'!$B$2:$B$180,"=GDP",'MoodysData(Raw)'!$D$2:$D$180,"="&amp;'Implied Productivity Ratios'!$C40)/SUMIFS('MoodysData(Raw)'!AO$2:AO$180,'MoodysData(Raw)'!$B$2:$B$180,"=EMP",'MoodysData(Raw)'!$D$2:$D$180,"="&amp;'Implied Productivity Ratios'!$C40)</f>
        <v>63.777476984528683</v>
      </c>
      <c r="AM40">
        <f>SUMIFS('MoodysData(Raw)'!AP$2:AP$180,'MoodysData(Raw)'!$B$2:$B$180,"=GDP",'MoodysData(Raw)'!$D$2:$D$180,"="&amp;'Implied Productivity Ratios'!$C40)/SUMIFS('MoodysData(Raw)'!AP$2:AP$180,'MoodysData(Raw)'!$B$2:$B$180,"=EMP",'MoodysData(Raw)'!$D$2:$D$180,"="&amp;'Implied Productivity Ratios'!$C40)</f>
        <v>63.904340500713054</v>
      </c>
      <c r="AN40">
        <f>SUMIFS('MoodysData(Raw)'!AQ$2:AQ$180,'MoodysData(Raw)'!$B$2:$B$180,"=GDP",'MoodysData(Raw)'!$D$2:$D$180,"="&amp;'Implied Productivity Ratios'!$C40)/SUMIFS('MoodysData(Raw)'!AQ$2:AQ$180,'MoodysData(Raw)'!$B$2:$B$180,"=EMP",'MoodysData(Raw)'!$D$2:$D$180,"="&amp;'Implied Productivity Ratios'!$C40)</f>
        <v>64.062503066782256</v>
      </c>
      <c r="AO40">
        <f>SUMIFS('MoodysData(Raw)'!AR$2:AR$180,'MoodysData(Raw)'!$B$2:$B$180,"=GDP",'MoodysData(Raw)'!$D$2:$D$180,"="&amp;'Implied Productivity Ratios'!$C40)/SUMIFS('MoodysData(Raw)'!AR$2:AR$180,'MoodysData(Raw)'!$B$2:$B$180,"=EMP",'MoodysData(Raw)'!$D$2:$D$180,"="&amp;'Implied Productivity Ratios'!$C40)</f>
        <v>64.217105451160819</v>
      </c>
      <c r="AP40">
        <f>SUMIFS('MoodysData(Raw)'!AS$2:AS$180,'MoodysData(Raw)'!$B$2:$B$180,"=GDP",'MoodysData(Raw)'!$D$2:$D$180,"="&amp;'Implied Productivity Ratios'!$C40)/SUMIFS('MoodysData(Raw)'!AS$2:AS$180,'MoodysData(Raw)'!$B$2:$B$180,"=EMP",'MoodysData(Raw)'!$D$2:$D$180,"="&amp;'Implied Productivity Ratios'!$C40)</f>
        <v>64.406387584385087</v>
      </c>
      <c r="AQ40">
        <f>SUMIFS('MoodysData(Raw)'!AT$2:AT$180,'MoodysData(Raw)'!$B$2:$B$180,"=GDP",'MoodysData(Raw)'!$D$2:$D$180,"="&amp;'Implied Productivity Ratios'!$C40)/SUMIFS('MoodysData(Raw)'!AT$2:AT$180,'MoodysData(Raw)'!$B$2:$B$180,"=EMP",'MoodysData(Raw)'!$D$2:$D$180,"="&amp;'Implied Productivity Ratios'!$C40)</f>
        <v>64.659230887230009</v>
      </c>
      <c r="AR40">
        <f>SUMIFS('MoodysData(Raw)'!AU$2:AU$180,'MoodysData(Raw)'!$B$2:$B$180,"=GDP",'MoodysData(Raw)'!$D$2:$D$180,"="&amp;'Implied Productivity Ratios'!$C40)/SUMIFS('MoodysData(Raw)'!AU$2:AU$180,'MoodysData(Raw)'!$B$2:$B$180,"=EMP",'MoodysData(Raw)'!$D$2:$D$180,"="&amp;'Implied Productivity Ratios'!$C40)</f>
        <v>64.995615451193402</v>
      </c>
      <c r="AS40">
        <f>SUMIFS('MoodysData(Raw)'!AV$2:AV$180,'MoodysData(Raw)'!$B$2:$B$180,"=GDP",'MoodysData(Raw)'!$D$2:$D$180,"="&amp;'Implied Productivity Ratios'!$C40)/SUMIFS('MoodysData(Raw)'!AV$2:AV$180,'MoodysData(Raw)'!$B$2:$B$180,"=EMP",'MoodysData(Raw)'!$D$2:$D$180,"="&amp;'Implied Productivity Ratios'!$C40)</f>
        <v>65.405014549178944</v>
      </c>
      <c r="AT40">
        <f>SUMIFS('MoodysData(Raw)'!AW$2:AW$180,'MoodysData(Raw)'!$B$2:$B$180,"=GDP",'MoodysData(Raw)'!$D$2:$D$180,"="&amp;'Implied Productivity Ratios'!$C40)/SUMIFS('MoodysData(Raw)'!AW$2:AW$180,'MoodysData(Raw)'!$B$2:$B$180,"=EMP",'MoodysData(Raw)'!$D$2:$D$180,"="&amp;'Implied Productivity Ratios'!$C40)</f>
        <v>65.874178297345921</v>
      </c>
      <c r="AU40">
        <f>SUMIFS('MoodysData(Raw)'!AX$2:AX$180,'MoodysData(Raw)'!$B$2:$B$180,"=GDP",'MoodysData(Raw)'!$D$2:$D$180,"="&amp;'Implied Productivity Ratios'!$C40)/SUMIFS('MoodysData(Raw)'!AX$2:AX$180,'MoodysData(Raw)'!$B$2:$B$180,"=EMP",'MoodysData(Raw)'!$D$2:$D$180,"="&amp;'Implied Productivity Ratios'!$C40)</f>
        <v>66.44666892616533</v>
      </c>
      <c r="AV40">
        <f>SUMIFS('MoodysData(Raw)'!AY$2:AY$180,'MoodysData(Raw)'!$B$2:$B$180,"=GDP",'MoodysData(Raw)'!$D$2:$D$180,"="&amp;'Implied Productivity Ratios'!$C40)/SUMIFS('MoodysData(Raw)'!AY$2:AY$180,'MoodysData(Raw)'!$B$2:$B$180,"=EMP",'MoodysData(Raw)'!$D$2:$D$180,"="&amp;'Implied Productivity Ratios'!$C40)</f>
        <v>67.152666673919967</v>
      </c>
      <c r="AW40">
        <f>SUMIFS('MoodysData(Raw)'!AZ$2:AZ$180,'MoodysData(Raw)'!$B$2:$B$180,"=GDP",'MoodysData(Raw)'!$D$2:$D$180,"="&amp;'Implied Productivity Ratios'!$C40)/SUMIFS('MoodysData(Raw)'!AZ$2:AZ$180,'MoodysData(Raw)'!$B$2:$B$180,"=EMP",'MoodysData(Raw)'!$D$2:$D$180,"="&amp;'Implied Productivity Ratios'!$C40)</f>
        <v>67.949778661513108</v>
      </c>
      <c r="AX40">
        <f>SUMIFS('MoodysData(Raw)'!BA$2:BA$180,'MoodysData(Raw)'!$B$2:$B$180,"=GDP",'MoodysData(Raw)'!$D$2:$D$180,"="&amp;'Implied Productivity Ratios'!$C40)/SUMIFS('MoodysData(Raw)'!BA$2:BA$180,'MoodysData(Raw)'!$B$2:$B$180,"=EMP",'MoodysData(Raw)'!$D$2:$D$180,"="&amp;'Implied Productivity Ratios'!$C40)</f>
        <v>68.846218482240886</v>
      </c>
      <c r="AY40">
        <f>SUMIFS('MoodysData(Raw)'!BB$2:BB$180,'MoodysData(Raw)'!$B$2:$B$180,"=GDP",'MoodysData(Raw)'!$D$2:$D$180,"="&amp;'Implied Productivity Ratios'!$C40)/SUMIFS('MoodysData(Raw)'!BB$2:BB$180,'MoodysData(Raw)'!$B$2:$B$180,"=EMP",'MoodysData(Raw)'!$D$2:$D$180,"="&amp;'Implied Productivity Ratios'!$C40)</f>
        <v>69.851972099510476</v>
      </c>
      <c r="AZ40">
        <f>SUMIFS('MoodysData(Raw)'!BC$2:BC$180,'MoodysData(Raw)'!$B$2:$B$180,"=GDP",'MoodysData(Raw)'!$D$2:$D$180,"="&amp;'Implied Productivity Ratios'!$C40)/SUMIFS('MoodysData(Raw)'!BC$2:BC$180,'MoodysData(Raw)'!$B$2:$B$180,"=EMP",'MoodysData(Raw)'!$D$2:$D$180,"="&amp;'Implied Productivity Ratios'!$C40)</f>
        <v>70.995106800788221</v>
      </c>
      <c r="BA40">
        <f>SUMIFS('MoodysData(Raw)'!BD$2:BD$180,'MoodysData(Raw)'!$B$2:$B$180,"=GDP",'MoodysData(Raw)'!$D$2:$D$180,"="&amp;'Implied Productivity Ratios'!$C40)/SUMIFS('MoodysData(Raw)'!BD$2:BD$180,'MoodysData(Raw)'!$B$2:$B$180,"=EMP",'MoodysData(Raw)'!$D$2:$D$180,"="&amp;'Implied Productivity Ratios'!$C40)</f>
        <v>72.297403955681233</v>
      </c>
      <c r="BB40">
        <f>SUMIFS('MoodysData(Raw)'!BE$2:BE$180,'MoodysData(Raw)'!$B$2:$B$180,"=GDP",'MoodysData(Raw)'!$D$2:$D$180,"="&amp;'Implied Productivity Ratios'!$C40)/SUMIFS('MoodysData(Raw)'!BE$2:BE$180,'MoodysData(Raw)'!$B$2:$B$180,"=EMP",'MoodysData(Raw)'!$D$2:$D$180,"="&amp;'Implied Productivity Ratios'!$C40)</f>
        <v>73.752953250122786</v>
      </c>
      <c r="BC40">
        <f>SUMIFS('MoodysData(Raw)'!BF$2:BF$180,'MoodysData(Raw)'!$B$2:$B$180,"=GDP",'MoodysData(Raw)'!$D$2:$D$180,"="&amp;'Implied Productivity Ratios'!$C40)/SUMIFS('MoodysData(Raw)'!BF$2:BF$180,'MoodysData(Raw)'!$B$2:$B$180,"=EMP",'MoodysData(Raw)'!$D$2:$D$180,"="&amp;'Implied Productivity Ratios'!$C40)</f>
        <v>75.370007065302602</v>
      </c>
      <c r="BD40" s="5">
        <f t="shared" ref="BD40:BH40" si="34">BC40+($BC40-$AX40)/5</f>
        <v>76.674764781914945</v>
      </c>
      <c r="BE40" s="5">
        <f t="shared" si="34"/>
        <v>77.979522498527288</v>
      </c>
      <c r="BF40" s="5">
        <f t="shared" si="34"/>
        <v>79.284280215139631</v>
      </c>
      <c r="BG40" s="5">
        <f t="shared" si="34"/>
        <v>80.589037931751974</v>
      </c>
      <c r="BH40" s="5">
        <f t="shared" si="34"/>
        <v>81.893795648364318</v>
      </c>
    </row>
    <row r="41" spans="3:60">
      <c r="C41">
        <v>445</v>
      </c>
      <c r="D41" t="s">
        <v>135</v>
      </c>
      <c r="E41">
        <f>SUMIFS('MoodysData(Raw)'!H$2:H$180,'MoodysData(Raw)'!$B$2:$B$180,"=GDP",'MoodysData(Raw)'!$D$2:$D$180,"="&amp;'Implied Productivity Ratios'!$C41)/SUMIFS('MoodysData(Raw)'!H$2:H$180,'MoodysData(Raw)'!$B$2:$B$180,"=EMP",'MoodysData(Raw)'!$D$2:$D$180,"="&amp;'Implied Productivity Ratios'!$C41)</f>
        <v>63.736419294654659</v>
      </c>
      <c r="F41">
        <f>SUMIFS('MoodysData(Raw)'!I$2:I$180,'MoodysData(Raw)'!$B$2:$B$180,"=GDP",'MoodysData(Raw)'!$D$2:$D$180,"="&amp;'Implied Productivity Ratios'!$C41)/SUMIFS('MoodysData(Raw)'!I$2:I$180,'MoodysData(Raw)'!$B$2:$B$180,"=EMP",'MoodysData(Raw)'!$D$2:$D$180,"="&amp;'Implied Productivity Ratios'!$C41)</f>
        <v>63.3551008451456</v>
      </c>
      <c r="G41">
        <f>SUMIFS('MoodysData(Raw)'!J$2:J$180,'MoodysData(Raw)'!$B$2:$B$180,"=GDP",'MoodysData(Raw)'!$D$2:$D$180,"="&amp;'Implied Productivity Ratios'!$C41)/SUMIFS('MoodysData(Raw)'!J$2:J$180,'MoodysData(Raw)'!$B$2:$B$180,"=EMP",'MoodysData(Raw)'!$D$2:$D$180,"="&amp;'Implied Productivity Ratios'!$C41)</f>
        <v>60.248198147610999</v>
      </c>
      <c r="H41">
        <f>SUMIFS('MoodysData(Raw)'!K$2:K$180,'MoodysData(Raw)'!$B$2:$B$180,"=GDP",'MoodysData(Raw)'!$D$2:$D$180,"="&amp;'Implied Productivity Ratios'!$C41)/SUMIFS('MoodysData(Raw)'!K$2:K$180,'MoodysData(Raw)'!$B$2:$B$180,"=EMP",'MoodysData(Raw)'!$D$2:$D$180,"="&amp;'Implied Productivity Ratios'!$C41)</f>
        <v>58.279607181702112</v>
      </c>
      <c r="I41">
        <f>SUMIFS('MoodysData(Raw)'!L$2:L$180,'MoodysData(Raw)'!$B$2:$B$180,"=GDP",'MoodysData(Raw)'!$D$2:$D$180,"="&amp;'Implied Productivity Ratios'!$C41)/SUMIFS('MoodysData(Raw)'!L$2:L$180,'MoodysData(Raw)'!$B$2:$B$180,"=EMP",'MoodysData(Raw)'!$D$2:$D$180,"="&amp;'Implied Productivity Ratios'!$C41)</f>
        <v>58.370853996096905</v>
      </c>
      <c r="J41">
        <f>SUMIFS('MoodysData(Raw)'!M$2:M$180,'MoodysData(Raw)'!$B$2:$B$180,"=GDP",'MoodysData(Raw)'!$D$2:$D$180,"="&amp;'Implied Productivity Ratios'!$C41)/SUMIFS('MoodysData(Raw)'!M$2:M$180,'MoodysData(Raw)'!$B$2:$B$180,"=EMP",'MoodysData(Raw)'!$D$2:$D$180,"="&amp;'Implied Productivity Ratios'!$C41)</f>
        <v>62.084988066316058</v>
      </c>
      <c r="K41">
        <f>SUMIFS('MoodysData(Raw)'!N$2:N$180,'MoodysData(Raw)'!$B$2:$B$180,"=GDP",'MoodysData(Raw)'!$D$2:$D$180,"="&amp;'Implied Productivity Ratios'!$C41)/SUMIFS('MoodysData(Raw)'!N$2:N$180,'MoodysData(Raw)'!$B$2:$B$180,"=EMP",'MoodysData(Raw)'!$D$2:$D$180,"="&amp;'Implied Productivity Ratios'!$C41)</f>
        <v>57.85265975697051</v>
      </c>
      <c r="L41">
        <f>SUMIFS('MoodysData(Raw)'!O$2:O$180,'MoodysData(Raw)'!$B$2:$B$180,"=GDP",'MoodysData(Raw)'!$D$2:$D$180,"="&amp;'Implied Productivity Ratios'!$C41)/SUMIFS('MoodysData(Raw)'!O$2:O$180,'MoodysData(Raw)'!$B$2:$B$180,"=EMP",'MoodysData(Raw)'!$D$2:$D$180,"="&amp;'Implied Productivity Ratios'!$C41)</f>
        <v>54.580386149108563</v>
      </c>
      <c r="M41">
        <f>SUMIFS('MoodysData(Raw)'!P$2:P$180,'MoodysData(Raw)'!$B$2:$B$180,"=GDP",'MoodysData(Raw)'!$D$2:$D$180,"="&amp;'Implied Productivity Ratios'!$C41)/SUMIFS('MoodysData(Raw)'!P$2:P$180,'MoodysData(Raw)'!$B$2:$B$180,"=EMP",'MoodysData(Raw)'!$D$2:$D$180,"="&amp;'Implied Productivity Ratios'!$C41)</f>
        <v>54.358338803721146</v>
      </c>
      <c r="N41">
        <f>SUMIFS('MoodysData(Raw)'!Q$2:Q$180,'MoodysData(Raw)'!$B$2:$B$180,"=GDP",'MoodysData(Raw)'!$D$2:$D$180,"="&amp;'Implied Productivity Ratios'!$C41)/SUMIFS('MoodysData(Raw)'!Q$2:Q$180,'MoodysData(Raw)'!$B$2:$B$180,"=EMP",'MoodysData(Raw)'!$D$2:$D$180,"="&amp;'Implied Productivity Ratios'!$C41)</f>
        <v>52.817114410988907</v>
      </c>
      <c r="O41">
        <f>SUMIFS('MoodysData(Raw)'!R$2:R$180,'MoodysData(Raw)'!$B$2:$B$180,"=GDP",'MoodysData(Raw)'!$D$2:$D$180,"="&amp;'Implied Productivity Ratios'!$C41)/SUMIFS('MoodysData(Raw)'!R$2:R$180,'MoodysData(Raw)'!$B$2:$B$180,"=EMP",'MoodysData(Raw)'!$D$2:$D$180,"="&amp;'Implied Productivity Ratios'!$C41)</f>
        <v>51.129732076563535</v>
      </c>
      <c r="P41">
        <f>SUMIFS('MoodysData(Raw)'!S$2:S$180,'MoodysData(Raw)'!$B$2:$B$180,"=GDP",'MoodysData(Raw)'!$D$2:$D$180,"="&amp;'Implied Productivity Ratios'!$C41)/SUMIFS('MoodysData(Raw)'!S$2:S$180,'MoodysData(Raw)'!$B$2:$B$180,"=EMP",'MoodysData(Raw)'!$D$2:$D$180,"="&amp;'Implied Productivity Ratios'!$C41)</f>
        <v>49.922039710136502</v>
      </c>
      <c r="Q41">
        <f>SUMIFS('MoodysData(Raw)'!T$2:T$180,'MoodysData(Raw)'!$B$2:$B$180,"=GDP",'MoodysData(Raw)'!$D$2:$D$180,"="&amp;'Implied Productivity Ratios'!$C41)/SUMIFS('MoodysData(Raw)'!T$2:T$180,'MoodysData(Raw)'!$B$2:$B$180,"=EMP",'MoodysData(Raw)'!$D$2:$D$180,"="&amp;'Implied Productivity Ratios'!$C41)</f>
        <v>51.6309186534491</v>
      </c>
      <c r="R41">
        <f>SUMIFS('MoodysData(Raw)'!U$2:U$180,'MoodysData(Raw)'!$B$2:$B$180,"=GDP",'MoodysData(Raw)'!$D$2:$D$180,"="&amp;'Implied Productivity Ratios'!$C41)/SUMIFS('MoodysData(Raw)'!U$2:U$180,'MoodysData(Raw)'!$B$2:$B$180,"=EMP",'MoodysData(Raw)'!$D$2:$D$180,"="&amp;'Implied Productivity Ratios'!$C41)</f>
        <v>50.862304492413784</v>
      </c>
      <c r="S41">
        <f>SUMIFS('MoodysData(Raw)'!V$2:V$180,'MoodysData(Raw)'!$B$2:$B$180,"=GDP",'MoodysData(Raw)'!$D$2:$D$180,"="&amp;'Implied Productivity Ratios'!$C41)/SUMIFS('MoodysData(Raw)'!V$2:V$180,'MoodysData(Raw)'!$B$2:$B$180,"=EMP",'MoodysData(Raw)'!$D$2:$D$180,"="&amp;'Implied Productivity Ratios'!$C41)</f>
        <v>51.5598104532504</v>
      </c>
      <c r="T41">
        <f>SUMIFS('MoodysData(Raw)'!W$2:W$180,'MoodysData(Raw)'!$B$2:$B$180,"=GDP",'MoodysData(Raw)'!$D$2:$D$180,"="&amp;'Implied Productivity Ratios'!$C41)/SUMIFS('MoodysData(Raw)'!W$2:W$180,'MoodysData(Raw)'!$B$2:$B$180,"=EMP",'MoodysData(Raw)'!$D$2:$D$180,"="&amp;'Implied Productivity Ratios'!$C41)</f>
        <v>55.543434187073608</v>
      </c>
      <c r="U41">
        <f>SUMIFS('MoodysData(Raw)'!X$2:X$180,'MoodysData(Raw)'!$B$2:$B$180,"=GDP",'MoodysData(Raw)'!$D$2:$D$180,"="&amp;'Implied Productivity Ratios'!$C41)/SUMIFS('MoodysData(Raw)'!X$2:X$180,'MoodysData(Raw)'!$B$2:$B$180,"=EMP",'MoodysData(Raw)'!$D$2:$D$180,"="&amp;'Implied Productivity Ratios'!$C41)</f>
        <v>56.924466263771848</v>
      </c>
      <c r="V41">
        <f>SUMIFS('MoodysData(Raw)'!Y$2:Y$180,'MoodysData(Raw)'!$B$2:$B$180,"=GDP",'MoodysData(Raw)'!$D$2:$D$180,"="&amp;'Implied Productivity Ratios'!$C41)/SUMIFS('MoodysData(Raw)'!Y$2:Y$180,'MoodysData(Raw)'!$B$2:$B$180,"=EMP",'MoodysData(Raw)'!$D$2:$D$180,"="&amp;'Implied Productivity Ratios'!$C41)</f>
        <v>52.361142195882941</v>
      </c>
      <c r="W41">
        <f>SUMIFS('MoodysData(Raw)'!Z$2:Z$180,'MoodysData(Raw)'!$B$2:$B$180,"=GDP",'MoodysData(Raw)'!$D$2:$D$180,"="&amp;'Implied Productivity Ratios'!$C41)/SUMIFS('MoodysData(Raw)'!Z$2:Z$180,'MoodysData(Raw)'!$B$2:$B$180,"=EMP",'MoodysData(Raw)'!$D$2:$D$180,"="&amp;'Implied Productivity Ratios'!$C41)</f>
        <v>49.525657697681382</v>
      </c>
      <c r="X41">
        <f>SUMIFS('MoodysData(Raw)'!AA$2:AA$180,'MoodysData(Raw)'!$B$2:$B$180,"=GDP",'MoodysData(Raw)'!$D$2:$D$180,"="&amp;'Implied Productivity Ratios'!$C41)/SUMIFS('MoodysData(Raw)'!AA$2:AA$180,'MoodysData(Raw)'!$B$2:$B$180,"=EMP",'MoodysData(Raw)'!$D$2:$D$180,"="&amp;'Implied Productivity Ratios'!$C41)</f>
        <v>48.578963378818699</v>
      </c>
      <c r="Y41">
        <f>SUMIFS('MoodysData(Raw)'!AB$2:AB$180,'MoodysData(Raw)'!$B$2:$B$180,"=GDP",'MoodysData(Raw)'!$D$2:$D$180,"="&amp;'Implied Productivity Ratios'!$C41)/SUMIFS('MoodysData(Raw)'!AB$2:AB$180,'MoodysData(Raw)'!$B$2:$B$180,"=EMP",'MoodysData(Raw)'!$D$2:$D$180,"="&amp;'Implied Productivity Ratios'!$C41)</f>
        <v>47.687588134096167</v>
      </c>
      <c r="Z41">
        <f>SUMIFS('MoodysData(Raw)'!AC$2:AC$180,'MoodysData(Raw)'!$B$2:$B$180,"=GDP",'MoodysData(Raw)'!$D$2:$D$180,"="&amp;'Implied Productivity Ratios'!$C41)/SUMIFS('MoodysData(Raw)'!AC$2:AC$180,'MoodysData(Raw)'!$B$2:$B$180,"=EMP",'MoodysData(Raw)'!$D$2:$D$180,"="&amp;'Implied Productivity Ratios'!$C41)</f>
        <v>46.681484201215753</v>
      </c>
      <c r="AA41">
        <f>SUMIFS('MoodysData(Raw)'!AD$2:AD$180,'MoodysData(Raw)'!$B$2:$B$180,"=GDP",'MoodysData(Raw)'!$D$2:$D$180,"="&amp;'Implied Productivity Ratios'!$C41)/SUMIFS('MoodysData(Raw)'!AD$2:AD$180,'MoodysData(Raw)'!$B$2:$B$180,"=EMP",'MoodysData(Raw)'!$D$2:$D$180,"="&amp;'Implied Productivity Ratios'!$C41)</f>
        <v>45.73416633797261</v>
      </c>
      <c r="AB41">
        <f>SUMIFS('MoodysData(Raw)'!AE$2:AE$180,'MoodysData(Raw)'!$B$2:$B$180,"=GDP",'MoodysData(Raw)'!$D$2:$D$180,"="&amp;'Implied Productivity Ratios'!$C41)/SUMIFS('MoodysData(Raw)'!AE$2:AE$180,'MoodysData(Raw)'!$B$2:$B$180,"=EMP",'MoodysData(Raw)'!$D$2:$D$180,"="&amp;'Implied Productivity Ratios'!$C41)</f>
        <v>44.838456150795651</v>
      </c>
      <c r="AC41">
        <f>SUMIFS('MoodysData(Raw)'!AF$2:AF$180,'MoodysData(Raw)'!$B$2:$B$180,"=GDP",'MoodysData(Raw)'!$D$2:$D$180,"="&amp;'Implied Productivity Ratios'!$C41)/SUMIFS('MoodysData(Raw)'!AF$2:AF$180,'MoodysData(Raw)'!$B$2:$B$180,"=EMP",'MoodysData(Raw)'!$D$2:$D$180,"="&amp;'Implied Productivity Ratios'!$C41)</f>
        <v>44.031276402177568</v>
      </c>
      <c r="AD41">
        <f>SUMIFS('MoodysData(Raw)'!AG$2:AG$180,'MoodysData(Raw)'!$B$2:$B$180,"=GDP",'MoodysData(Raw)'!$D$2:$D$180,"="&amp;'Implied Productivity Ratios'!$C41)/SUMIFS('MoodysData(Raw)'!AG$2:AG$180,'MoodysData(Raw)'!$B$2:$B$180,"=EMP",'MoodysData(Raw)'!$D$2:$D$180,"="&amp;'Implied Productivity Ratios'!$C41)</f>
        <v>43.322459346079917</v>
      </c>
      <c r="AE41">
        <f>SUMIFS('MoodysData(Raw)'!AH$2:AH$180,'MoodysData(Raw)'!$B$2:$B$180,"=GDP",'MoodysData(Raw)'!$D$2:$D$180,"="&amp;'Implied Productivity Ratios'!$C41)/SUMIFS('MoodysData(Raw)'!AH$2:AH$180,'MoodysData(Raw)'!$B$2:$B$180,"=EMP",'MoodysData(Raw)'!$D$2:$D$180,"="&amp;'Implied Productivity Ratios'!$C41)</f>
        <v>42.587907216567359</v>
      </c>
      <c r="AF41">
        <f>SUMIFS('MoodysData(Raw)'!AI$2:AI$180,'MoodysData(Raw)'!$B$2:$B$180,"=GDP",'MoodysData(Raw)'!$D$2:$D$180,"="&amp;'Implied Productivity Ratios'!$C41)/SUMIFS('MoodysData(Raw)'!AI$2:AI$180,'MoodysData(Raw)'!$B$2:$B$180,"=EMP",'MoodysData(Raw)'!$D$2:$D$180,"="&amp;'Implied Productivity Ratios'!$C41)</f>
        <v>41.878978153047854</v>
      </c>
      <c r="AG41">
        <f>SUMIFS('MoodysData(Raw)'!AJ$2:AJ$180,'MoodysData(Raw)'!$B$2:$B$180,"=GDP",'MoodysData(Raw)'!$D$2:$D$180,"="&amp;'Implied Productivity Ratios'!$C41)/SUMIFS('MoodysData(Raw)'!AJ$2:AJ$180,'MoodysData(Raw)'!$B$2:$B$180,"=EMP",'MoodysData(Raw)'!$D$2:$D$180,"="&amp;'Implied Productivity Ratios'!$C41)</f>
        <v>41.194858653889007</v>
      </c>
      <c r="AH41">
        <f>SUMIFS('MoodysData(Raw)'!AK$2:AK$180,'MoodysData(Raw)'!$B$2:$B$180,"=GDP",'MoodysData(Raw)'!$D$2:$D$180,"="&amp;'Implied Productivity Ratios'!$C41)/SUMIFS('MoodysData(Raw)'!AK$2:AK$180,'MoodysData(Raw)'!$B$2:$B$180,"=EMP",'MoodysData(Raw)'!$D$2:$D$180,"="&amp;'Implied Productivity Ratios'!$C41)</f>
        <v>40.474522866018226</v>
      </c>
      <c r="AI41">
        <f>SUMIFS('MoodysData(Raw)'!AL$2:AL$180,'MoodysData(Raw)'!$B$2:$B$180,"=GDP",'MoodysData(Raw)'!$D$2:$D$180,"="&amp;'Implied Productivity Ratios'!$C41)/SUMIFS('MoodysData(Raw)'!AL$2:AL$180,'MoodysData(Raw)'!$B$2:$B$180,"=EMP",'MoodysData(Raw)'!$D$2:$D$180,"="&amp;'Implied Productivity Ratios'!$C41)</f>
        <v>39.780260957881623</v>
      </c>
      <c r="AJ41">
        <f>SUMIFS('MoodysData(Raw)'!AM$2:AM$180,'MoodysData(Raw)'!$B$2:$B$180,"=GDP",'MoodysData(Raw)'!$D$2:$D$180,"="&amp;'Implied Productivity Ratios'!$C41)/SUMIFS('MoodysData(Raw)'!AM$2:AM$180,'MoodysData(Raw)'!$B$2:$B$180,"=EMP",'MoodysData(Raw)'!$D$2:$D$180,"="&amp;'Implied Productivity Ratios'!$C41)</f>
        <v>39.202533129736025</v>
      </c>
      <c r="AK41">
        <f>SUMIFS('MoodysData(Raw)'!AN$2:AN$180,'MoodysData(Raw)'!$B$2:$B$180,"=GDP",'MoodysData(Raw)'!$D$2:$D$180,"="&amp;'Implied Productivity Ratios'!$C41)/SUMIFS('MoodysData(Raw)'!AN$2:AN$180,'MoodysData(Raw)'!$B$2:$B$180,"=EMP",'MoodysData(Raw)'!$D$2:$D$180,"="&amp;'Implied Productivity Ratios'!$C41)</f>
        <v>38.725830405000934</v>
      </c>
      <c r="AL41">
        <f>SUMIFS('MoodysData(Raw)'!AO$2:AO$180,'MoodysData(Raw)'!$B$2:$B$180,"=GDP",'MoodysData(Raw)'!$D$2:$D$180,"="&amp;'Implied Productivity Ratios'!$C41)/SUMIFS('MoodysData(Raw)'!AO$2:AO$180,'MoodysData(Raw)'!$B$2:$B$180,"=EMP",'MoodysData(Raw)'!$D$2:$D$180,"="&amp;'Implied Productivity Ratios'!$C41)</f>
        <v>38.403486063003498</v>
      </c>
      <c r="AM41">
        <f>SUMIFS('MoodysData(Raw)'!AP$2:AP$180,'MoodysData(Raw)'!$B$2:$B$180,"=GDP",'MoodysData(Raw)'!$D$2:$D$180,"="&amp;'Implied Productivity Ratios'!$C41)/SUMIFS('MoodysData(Raw)'!AP$2:AP$180,'MoodysData(Raw)'!$B$2:$B$180,"=EMP",'MoodysData(Raw)'!$D$2:$D$180,"="&amp;'Implied Productivity Ratios'!$C41)</f>
        <v>38.15502844106723</v>
      </c>
      <c r="AN41">
        <f>SUMIFS('MoodysData(Raw)'!AQ$2:AQ$180,'MoodysData(Raw)'!$B$2:$B$180,"=GDP",'MoodysData(Raw)'!$D$2:$D$180,"="&amp;'Implied Productivity Ratios'!$C41)/SUMIFS('MoodysData(Raw)'!AQ$2:AQ$180,'MoodysData(Raw)'!$B$2:$B$180,"=EMP",'MoodysData(Raw)'!$D$2:$D$180,"="&amp;'Implied Productivity Ratios'!$C41)</f>
        <v>37.945783768382277</v>
      </c>
      <c r="AO41">
        <f>SUMIFS('MoodysData(Raw)'!AR$2:AR$180,'MoodysData(Raw)'!$B$2:$B$180,"=GDP",'MoodysData(Raw)'!$D$2:$D$180,"="&amp;'Implied Productivity Ratios'!$C41)/SUMIFS('MoodysData(Raw)'!AR$2:AR$180,'MoodysData(Raw)'!$B$2:$B$180,"=EMP",'MoodysData(Raw)'!$D$2:$D$180,"="&amp;'Implied Productivity Ratios'!$C41)</f>
        <v>37.75460423364899</v>
      </c>
      <c r="AP41">
        <f>SUMIFS('MoodysData(Raw)'!AS$2:AS$180,'MoodysData(Raw)'!$B$2:$B$180,"=GDP",'MoodysData(Raw)'!$D$2:$D$180,"="&amp;'Implied Productivity Ratios'!$C41)/SUMIFS('MoodysData(Raw)'!AS$2:AS$180,'MoodysData(Raw)'!$B$2:$B$180,"=EMP",'MoodysData(Raw)'!$D$2:$D$180,"="&amp;'Implied Productivity Ratios'!$C41)</f>
        <v>37.603467056128402</v>
      </c>
      <c r="AQ41">
        <f>SUMIFS('MoodysData(Raw)'!AT$2:AT$180,'MoodysData(Raw)'!$B$2:$B$180,"=GDP",'MoodysData(Raw)'!$D$2:$D$180,"="&amp;'Implied Productivity Ratios'!$C41)/SUMIFS('MoodysData(Raw)'!AT$2:AT$180,'MoodysData(Raw)'!$B$2:$B$180,"=EMP",'MoodysData(Raw)'!$D$2:$D$180,"="&amp;'Implied Productivity Ratios'!$C41)</f>
        <v>37.508291877003316</v>
      </c>
      <c r="AR41">
        <f>SUMIFS('MoodysData(Raw)'!AU$2:AU$180,'MoodysData(Raw)'!$B$2:$B$180,"=GDP",'MoodysData(Raw)'!$D$2:$D$180,"="&amp;'Implied Productivity Ratios'!$C41)/SUMIFS('MoodysData(Raw)'!AU$2:AU$180,'MoodysData(Raw)'!$B$2:$B$180,"=EMP",'MoodysData(Raw)'!$D$2:$D$180,"="&amp;'Implied Productivity Ratios'!$C41)</f>
        <v>37.479875709431354</v>
      </c>
      <c r="AS41">
        <f>SUMIFS('MoodysData(Raw)'!AV$2:AV$180,'MoodysData(Raw)'!$B$2:$B$180,"=GDP",'MoodysData(Raw)'!$D$2:$D$180,"="&amp;'Implied Productivity Ratios'!$C41)/SUMIFS('MoodysData(Raw)'!AV$2:AV$180,'MoodysData(Raw)'!$B$2:$B$180,"=EMP",'MoodysData(Raw)'!$D$2:$D$180,"="&amp;'Implied Productivity Ratios'!$C41)</f>
        <v>37.511393191888075</v>
      </c>
      <c r="AT41">
        <f>SUMIFS('MoodysData(Raw)'!AW$2:AW$180,'MoodysData(Raw)'!$B$2:$B$180,"=GDP",'MoodysData(Raw)'!$D$2:$D$180,"="&amp;'Implied Productivity Ratios'!$C41)/SUMIFS('MoodysData(Raw)'!AW$2:AW$180,'MoodysData(Raw)'!$B$2:$B$180,"=EMP",'MoodysData(Raw)'!$D$2:$D$180,"="&amp;'Implied Productivity Ratios'!$C41)</f>
        <v>37.594604957623083</v>
      </c>
      <c r="AU41">
        <f>SUMIFS('MoodysData(Raw)'!AX$2:AX$180,'MoodysData(Raw)'!$B$2:$B$180,"=GDP",'MoodysData(Raw)'!$D$2:$D$180,"="&amp;'Implied Productivity Ratios'!$C41)/SUMIFS('MoodysData(Raw)'!AX$2:AX$180,'MoodysData(Raw)'!$B$2:$B$180,"=EMP",'MoodysData(Raw)'!$D$2:$D$180,"="&amp;'Implied Productivity Ratios'!$C41)</f>
        <v>37.753734178499172</v>
      </c>
      <c r="AV41">
        <f>SUMIFS('MoodysData(Raw)'!AY$2:AY$180,'MoodysData(Raw)'!$B$2:$B$180,"=GDP",'MoodysData(Raw)'!$D$2:$D$180,"="&amp;'Implied Productivity Ratios'!$C41)/SUMIFS('MoodysData(Raw)'!AY$2:AY$180,'MoodysData(Raw)'!$B$2:$B$180,"=EMP",'MoodysData(Raw)'!$D$2:$D$180,"="&amp;'Implied Productivity Ratios'!$C41)</f>
        <v>38.005772638328914</v>
      </c>
      <c r="AW41">
        <f>SUMIFS('MoodysData(Raw)'!AZ$2:AZ$180,'MoodysData(Raw)'!$B$2:$B$180,"=GDP",'MoodysData(Raw)'!$D$2:$D$180,"="&amp;'Implied Productivity Ratios'!$C41)/SUMIFS('MoodysData(Raw)'!AZ$2:AZ$180,'MoodysData(Raw)'!$B$2:$B$180,"=EMP",'MoodysData(Raw)'!$D$2:$D$180,"="&amp;'Implied Productivity Ratios'!$C41)</f>
        <v>38.32654156058701</v>
      </c>
      <c r="AX41">
        <f>SUMIFS('MoodysData(Raw)'!BA$2:BA$180,'MoodysData(Raw)'!$B$2:$B$180,"=GDP",'MoodysData(Raw)'!$D$2:$D$180,"="&amp;'Implied Productivity Ratios'!$C41)/SUMIFS('MoodysData(Raw)'!BA$2:BA$180,'MoodysData(Raw)'!$B$2:$B$180,"=EMP",'MoodysData(Raw)'!$D$2:$D$180,"="&amp;'Implied Productivity Ratios'!$C41)</f>
        <v>38.720265665247069</v>
      </c>
      <c r="AY41">
        <f>SUMIFS('MoodysData(Raw)'!BB$2:BB$180,'MoodysData(Raw)'!$B$2:$B$180,"=GDP",'MoodysData(Raw)'!$D$2:$D$180,"="&amp;'Implied Productivity Ratios'!$C41)/SUMIFS('MoodysData(Raw)'!BB$2:BB$180,'MoodysData(Raw)'!$B$2:$B$180,"=EMP",'MoodysData(Raw)'!$D$2:$D$180,"="&amp;'Implied Productivity Ratios'!$C41)</f>
        <v>39.192646336569851</v>
      </c>
      <c r="AZ41">
        <f>SUMIFS('MoodysData(Raw)'!BC$2:BC$180,'MoodysData(Raw)'!$B$2:$B$180,"=GDP",'MoodysData(Raw)'!$D$2:$D$180,"="&amp;'Implied Productivity Ratios'!$C41)/SUMIFS('MoodysData(Raw)'!BC$2:BC$180,'MoodysData(Raw)'!$B$2:$B$180,"=EMP",'MoodysData(Raw)'!$D$2:$D$180,"="&amp;'Implied Productivity Ratios'!$C41)</f>
        <v>39.759794643298008</v>
      </c>
      <c r="BA41">
        <f>SUMIFS('MoodysData(Raw)'!BD$2:BD$180,'MoodysData(Raw)'!$B$2:$B$180,"=GDP",'MoodysData(Raw)'!$D$2:$D$180,"="&amp;'Implied Productivity Ratios'!$C41)/SUMIFS('MoodysData(Raw)'!BD$2:BD$180,'MoodysData(Raw)'!$B$2:$B$180,"=EMP",'MoodysData(Raw)'!$D$2:$D$180,"="&amp;'Implied Productivity Ratios'!$C41)</f>
        <v>40.434363566414291</v>
      </c>
      <c r="BB41">
        <f>SUMIFS('MoodysData(Raw)'!BE$2:BE$180,'MoodysData(Raw)'!$B$2:$B$180,"=GDP",'MoodysData(Raw)'!$D$2:$D$180,"="&amp;'Implied Productivity Ratios'!$C41)/SUMIFS('MoodysData(Raw)'!BE$2:BE$180,'MoodysData(Raw)'!$B$2:$B$180,"=EMP",'MoodysData(Raw)'!$D$2:$D$180,"="&amp;'Implied Productivity Ratios'!$C41)</f>
        <v>41.213485352674425</v>
      </c>
      <c r="BC41">
        <f>SUMIFS('MoodysData(Raw)'!BF$2:BF$180,'MoodysData(Raw)'!$B$2:$B$180,"=GDP",'MoodysData(Raw)'!$D$2:$D$180,"="&amp;'Implied Productivity Ratios'!$C41)/SUMIFS('MoodysData(Raw)'!BF$2:BF$180,'MoodysData(Raw)'!$B$2:$B$180,"=EMP",'MoodysData(Raw)'!$D$2:$D$180,"="&amp;'Implied Productivity Ratios'!$C41)</f>
        <v>42.102407472482057</v>
      </c>
      <c r="BD41" s="5">
        <f t="shared" ref="BD41:BH41" si="35">BC41+($BC41-$AX41)/5</f>
        <v>42.778835833929051</v>
      </c>
      <c r="BE41" s="5">
        <f t="shared" si="35"/>
        <v>43.455264195376046</v>
      </c>
      <c r="BF41" s="5">
        <f t="shared" si="35"/>
        <v>44.13169255682304</v>
      </c>
      <c r="BG41" s="5">
        <f t="shared" si="35"/>
        <v>44.808120918270035</v>
      </c>
      <c r="BH41" s="5">
        <f t="shared" si="35"/>
        <v>45.484549279717029</v>
      </c>
    </row>
    <row r="42" spans="3:60">
      <c r="C42">
        <v>446</v>
      </c>
      <c r="D42" t="s">
        <v>139</v>
      </c>
      <c r="E42">
        <f>SUMIFS('MoodysData(Raw)'!H$2:H$180,'MoodysData(Raw)'!$B$2:$B$180,"=GDP",'MoodysData(Raw)'!$D$2:$D$180,"="&amp;'Implied Productivity Ratios'!$C42)/SUMIFS('MoodysData(Raw)'!H$2:H$180,'MoodysData(Raw)'!$B$2:$B$180,"=EMP",'MoodysData(Raw)'!$D$2:$D$180,"="&amp;'Implied Productivity Ratios'!$C42)</f>
        <v>60.845580931893437</v>
      </c>
      <c r="F42">
        <f>SUMIFS('MoodysData(Raw)'!I$2:I$180,'MoodysData(Raw)'!$B$2:$B$180,"=GDP",'MoodysData(Raw)'!$D$2:$D$180,"="&amp;'Implied Productivity Ratios'!$C42)/SUMIFS('MoodysData(Raw)'!I$2:I$180,'MoodysData(Raw)'!$B$2:$B$180,"=EMP",'MoodysData(Raw)'!$D$2:$D$180,"="&amp;'Implied Productivity Ratios'!$C42)</f>
        <v>55.774509610522834</v>
      </c>
      <c r="G42">
        <f>SUMIFS('MoodysData(Raw)'!J$2:J$180,'MoodysData(Raw)'!$B$2:$B$180,"=GDP",'MoodysData(Raw)'!$D$2:$D$180,"="&amp;'Implied Productivity Ratios'!$C42)/SUMIFS('MoodysData(Raw)'!J$2:J$180,'MoodysData(Raw)'!$B$2:$B$180,"=EMP",'MoodysData(Raw)'!$D$2:$D$180,"="&amp;'Implied Productivity Ratios'!$C42)</f>
        <v>53.607726224112348</v>
      </c>
      <c r="H42">
        <f>SUMIFS('MoodysData(Raw)'!K$2:K$180,'MoodysData(Raw)'!$B$2:$B$180,"=GDP",'MoodysData(Raw)'!$D$2:$D$180,"="&amp;'Implied Productivity Ratios'!$C42)/SUMIFS('MoodysData(Raw)'!K$2:K$180,'MoodysData(Raw)'!$B$2:$B$180,"=EMP",'MoodysData(Raw)'!$D$2:$D$180,"="&amp;'Implied Productivity Ratios'!$C42)</f>
        <v>52.069437492069298</v>
      </c>
      <c r="I42">
        <f>SUMIFS('MoodysData(Raw)'!L$2:L$180,'MoodysData(Raw)'!$B$2:$B$180,"=GDP",'MoodysData(Raw)'!$D$2:$D$180,"="&amp;'Implied Productivity Ratios'!$C42)/SUMIFS('MoodysData(Raw)'!L$2:L$180,'MoodysData(Raw)'!$B$2:$B$180,"=EMP",'MoodysData(Raw)'!$D$2:$D$180,"="&amp;'Implied Productivity Ratios'!$C42)</f>
        <v>51.610130858453516</v>
      </c>
      <c r="J42">
        <f>SUMIFS('MoodysData(Raw)'!M$2:M$180,'MoodysData(Raw)'!$B$2:$B$180,"=GDP",'MoodysData(Raw)'!$D$2:$D$180,"="&amp;'Implied Productivity Ratios'!$C42)/SUMIFS('MoodysData(Raw)'!M$2:M$180,'MoodysData(Raw)'!$B$2:$B$180,"=EMP",'MoodysData(Raw)'!$D$2:$D$180,"="&amp;'Implied Productivity Ratios'!$C42)</f>
        <v>53.251821776137035</v>
      </c>
      <c r="K42">
        <f>SUMIFS('MoodysData(Raw)'!N$2:N$180,'MoodysData(Raw)'!$B$2:$B$180,"=GDP",'MoodysData(Raw)'!$D$2:$D$180,"="&amp;'Implied Productivity Ratios'!$C42)/SUMIFS('MoodysData(Raw)'!N$2:N$180,'MoodysData(Raw)'!$B$2:$B$180,"=EMP",'MoodysData(Raw)'!$D$2:$D$180,"="&amp;'Implied Productivity Ratios'!$C42)</f>
        <v>56.90779501344003</v>
      </c>
      <c r="L42">
        <f>SUMIFS('MoodysData(Raw)'!O$2:O$180,'MoodysData(Raw)'!$B$2:$B$180,"=GDP",'MoodysData(Raw)'!$D$2:$D$180,"="&amp;'Implied Productivity Ratios'!$C42)/SUMIFS('MoodysData(Raw)'!O$2:O$180,'MoodysData(Raw)'!$B$2:$B$180,"=EMP",'MoodysData(Raw)'!$D$2:$D$180,"="&amp;'Implied Productivity Ratios'!$C42)</f>
        <v>56.085045480503553</v>
      </c>
      <c r="M42">
        <f>SUMIFS('MoodysData(Raw)'!P$2:P$180,'MoodysData(Raw)'!$B$2:$B$180,"=GDP",'MoodysData(Raw)'!$D$2:$D$180,"="&amp;'Implied Productivity Ratios'!$C42)/SUMIFS('MoodysData(Raw)'!P$2:P$180,'MoodysData(Raw)'!$B$2:$B$180,"=EMP",'MoodysData(Raw)'!$D$2:$D$180,"="&amp;'Implied Productivity Ratios'!$C42)</f>
        <v>56.416026349029458</v>
      </c>
      <c r="N42">
        <f>SUMIFS('MoodysData(Raw)'!Q$2:Q$180,'MoodysData(Raw)'!$B$2:$B$180,"=GDP",'MoodysData(Raw)'!$D$2:$D$180,"="&amp;'Implied Productivity Ratios'!$C42)/SUMIFS('MoodysData(Raw)'!Q$2:Q$180,'MoodysData(Raw)'!$B$2:$B$180,"=EMP",'MoodysData(Raw)'!$D$2:$D$180,"="&amp;'Implied Productivity Ratios'!$C42)</f>
        <v>55.682598908111167</v>
      </c>
      <c r="O42">
        <f>SUMIFS('MoodysData(Raw)'!R$2:R$180,'MoodysData(Raw)'!$B$2:$B$180,"=GDP",'MoodysData(Raw)'!$D$2:$D$180,"="&amp;'Implied Productivity Ratios'!$C42)/SUMIFS('MoodysData(Raw)'!R$2:R$180,'MoodysData(Raw)'!$B$2:$B$180,"=EMP",'MoodysData(Raw)'!$D$2:$D$180,"="&amp;'Implied Productivity Ratios'!$C42)</f>
        <v>61.505954552574309</v>
      </c>
      <c r="P42">
        <f>SUMIFS('MoodysData(Raw)'!S$2:S$180,'MoodysData(Raw)'!$B$2:$B$180,"=GDP",'MoodysData(Raw)'!$D$2:$D$180,"="&amp;'Implied Productivity Ratios'!$C42)/SUMIFS('MoodysData(Raw)'!S$2:S$180,'MoodysData(Raw)'!$B$2:$B$180,"=EMP",'MoodysData(Raw)'!$D$2:$D$180,"="&amp;'Implied Productivity Ratios'!$C42)</f>
        <v>64.281973123253437</v>
      </c>
      <c r="Q42">
        <f>SUMIFS('MoodysData(Raw)'!T$2:T$180,'MoodysData(Raw)'!$B$2:$B$180,"=GDP",'MoodysData(Raw)'!$D$2:$D$180,"="&amp;'Implied Productivity Ratios'!$C42)/SUMIFS('MoodysData(Raw)'!T$2:T$180,'MoodysData(Raw)'!$B$2:$B$180,"=EMP",'MoodysData(Raw)'!$D$2:$D$180,"="&amp;'Implied Productivity Ratios'!$C42)</f>
        <v>67.784623454857723</v>
      </c>
      <c r="R42">
        <f>SUMIFS('MoodysData(Raw)'!U$2:U$180,'MoodysData(Raw)'!$B$2:$B$180,"=GDP",'MoodysData(Raw)'!$D$2:$D$180,"="&amp;'Implied Productivity Ratios'!$C42)/SUMIFS('MoodysData(Raw)'!U$2:U$180,'MoodysData(Raw)'!$B$2:$B$180,"=EMP",'MoodysData(Raw)'!$D$2:$D$180,"="&amp;'Implied Productivity Ratios'!$C42)</f>
        <v>68.218051932247718</v>
      </c>
      <c r="S42">
        <f>SUMIFS('MoodysData(Raw)'!V$2:V$180,'MoodysData(Raw)'!$B$2:$B$180,"=GDP",'MoodysData(Raw)'!$D$2:$D$180,"="&amp;'Implied Productivity Ratios'!$C42)/SUMIFS('MoodysData(Raw)'!V$2:V$180,'MoodysData(Raw)'!$B$2:$B$180,"=EMP",'MoodysData(Raw)'!$D$2:$D$180,"="&amp;'Implied Productivity Ratios'!$C42)</f>
        <v>69.833210969095887</v>
      </c>
      <c r="T42">
        <f>SUMIFS('MoodysData(Raw)'!W$2:W$180,'MoodysData(Raw)'!$B$2:$B$180,"=GDP",'MoodysData(Raw)'!$D$2:$D$180,"="&amp;'Implied Productivity Ratios'!$C42)/SUMIFS('MoodysData(Raw)'!W$2:W$180,'MoodysData(Raw)'!$B$2:$B$180,"=EMP",'MoodysData(Raw)'!$D$2:$D$180,"="&amp;'Implied Productivity Ratios'!$C42)</f>
        <v>71.663402974358121</v>
      </c>
      <c r="U42">
        <f>SUMIFS('MoodysData(Raw)'!X$2:X$180,'MoodysData(Raw)'!$B$2:$B$180,"=GDP",'MoodysData(Raw)'!$D$2:$D$180,"="&amp;'Implied Productivity Ratios'!$C42)/SUMIFS('MoodysData(Raw)'!X$2:X$180,'MoodysData(Raw)'!$B$2:$B$180,"=EMP",'MoodysData(Raw)'!$D$2:$D$180,"="&amp;'Implied Productivity Ratios'!$C42)</f>
        <v>75.738193482497124</v>
      </c>
      <c r="V42">
        <f>SUMIFS('MoodysData(Raw)'!Y$2:Y$180,'MoodysData(Raw)'!$B$2:$B$180,"=GDP",'MoodysData(Raw)'!$D$2:$D$180,"="&amp;'Implied Productivity Ratios'!$C42)/SUMIFS('MoodysData(Raw)'!Y$2:Y$180,'MoodysData(Raw)'!$B$2:$B$180,"=EMP",'MoodysData(Raw)'!$D$2:$D$180,"="&amp;'Implied Productivity Ratios'!$C42)</f>
        <v>79.589367637117661</v>
      </c>
      <c r="W42">
        <f>SUMIFS('MoodysData(Raw)'!Z$2:Z$180,'MoodysData(Raw)'!$B$2:$B$180,"=GDP",'MoodysData(Raw)'!$D$2:$D$180,"="&amp;'Implied Productivity Ratios'!$C42)/SUMIFS('MoodysData(Raw)'!Z$2:Z$180,'MoodysData(Raw)'!$B$2:$B$180,"=EMP",'MoodysData(Raw)'!$D$2:$D$180,"="&amp;'Implied Productivity Ratios'!$C42)</f>
        <v>89.943799560409275</v>
      </c>
      <c r="X42">
        <f>SUMIFS('MoodysData(Raw)'!AA$2:AA$180,'MoodysData(Raw)'!$B$2:$B$180,"=GDP",'MoodysData(Raw)'!$D$2:$D$180,"="&amp;'Implied Productivity Ratios'!$C42)/SUMIFS('MoodysData(Raw)'!AA$2:AA$180,'MoodysData(Raw)'!$B$2:$B$180,"=EMP",'MoodysData(Raw)'!$D$2:$D$180,"="&amp;'Implied Productivity Ratios'!$C42)</f>
        <v>93.836646073434352</v>
      </c>
      <c r="Y42">
        <f>SUMIFS('MoodysData(Raw)'!AB$2:AB$180,'MoodysData(Raw)'!$B$2:$B$180,"=GDP",'MoodysData(Raw)'!$D$2:$D$180,"="&amp;'Implied Productivity Ratios'!$C42)/SUMIFS('MoodysData(Raw)'!AB$2:AB$180,'MoodysData(Raw)'!$B$2:$B$180,"=EMP",'MoodysData(Raw)'!$D$2:$D$180,"="&amp;'Implied Productivity Ratios'!$C42)</f>
        <v>95.911243039149312</v>
      </c>
      <c r="Z42">
        <f>SUMIFS('MoodysData(Raw)'!AC$2:AC$180,'MoodysData(Raw)'!$B$2:$B$180,"=GDP",'MoodysData(Raw)'!$D$2:$D$180,"="&amp;'Implied Productivity Ratios'!$C42)/SUMIFS('MoodysData(Raw)'!AC$2:AC$180,'MoodysData(Raw)'!$B$2:$B$180,"=EMP",'MoodysData(Raw)'!$D$2:$D$180,"="&amp;'Implied Productivity Ratios'!$C42)</f>
        <v>97.225074843070985</v>
      </c>
      <c r="AA42">
        <f>SUMIFS('MoodysData(Raw)'!AD$2:AD$180,'MoodysData(Raw)'!$B$2:$B$180,"=GDP",'MoodysData(Raw)'!$D$2:$D$180,"="&amp;'Implied Productivity Ratios'!$C42)/SUMIFS('MoodysData(Raw)'!AD$2:AD$180,'MoodysData(Raw)'!$B$2:$B$180,"=EMP",'MoodysData(Raw)'!$D$2:$D$180,"="&amp;'Implied Productivity Ratios'!$C42)</f>
        <v>98.528791406242448</v>
      </c>
      <c r="AB42">
        <f>SUMIFS('MoodysData(Raw)'!AE$2:AE$180,'MoodysData(Raw)'!$B$2:$B$180,"=GDP",'MoodysData(Raw)'!$D$2:$D$180,"="&amp;'Implied Productivity Ratios'!$C42)/SUMIFS('MoodysData(Raw)'!AE$2:AE$180,'MoodysData(Raw)'!$B$2:$B$180,"=EMP",'MoodysData(Raw)'!$D$2:$D$180,"="&amp;'Implied Productivity Ratios'!$C42)</f>
        <v>99.806547452103018</v>
      </c>
      <c r="AC42">
        <f>SUMIFS('MoodysData(Raw)'!AF$2:AF$180,'MoodysData(Raw)'!$B$2:$B$180,"=GDP",'MoodysData(Raw)'!$D$2:$D$180,"="&amp;'Implied Productivity Ratios'!$C42)/SUMIFS('MoodysData(Raw)'!AF$2:AF$180,'MoodysData(Raw)'!$B$2:$B$180,"=EMP",'MoodysData(Raw)'!$D$2:$D$180,"="&amp;'Implied Productivity Ratios'!$C42)</f>
        <v>101.14561847813569</v>
      </c>
      <c r="AD42">
        <f>SUMIFS('MoodysData(Raw)'!AG$2:AG$180,'MoodysData(Raw)'!$B$2:$B$180,"=GDP",'MoodysData(Raw)'!$D$2:$D$180,"="&amp;'Implied Productivity Ratios'!$C42)/SUMIFS('MoodysData(Raw)'!AG$2:AG$180,'MoodysData(Raw)'!$B$2:$B$180,"=EMP",'MoodysData(Raw)'!$D$2:$D$180,"="&amp;'Implied Productivity Ratios'!$C42)</f>
        <v>102.57720599982765</v>
      </c>
      <c r="AE42">
        <f>SUMIFS('MoodysData(Raw)'!AH$2:AH$180,'MoodysData(Raw)'!$B$2:$B$180,"=GDP",'MoodysData(Raw)'!$D$2:$D$180,"="&amp;'Implied Productivity Ratios'!$C42)/SUMIFS('MoodysData(Raw)'!AH$2:AH$180,'MoodysData(Raw)'!$B$2:$B$180,"=EMP",'MoodysData(Raw)'!$D$2:$D$180,"="&amp;'Implied Productivity Ratios'!$C42)</f>
        <v>103.81729365340028</v>
      </c>
      <c r="AF42">
        <f>SUMIFS('MoodysData(Raw)'!AI$2:AI$180,'MoodysData(Raw)'!$B$2:$B$180,"=GDP",'MoodysData(Raw)'!$D$2:$D$180,"="&amp;'Implied Productivity Ratios'!$C42)/SUMIFS('MoodysData(Raw)'!AI$2:AI$180,'MoodysData(Raw)'!$B$2:$B$180,"=EMP",'MoodysData(Raw)'!$D$2:$D$180,"="&amp;'Implied Productivity Ratios'!$C42)</f>
        <v>104.98168437822825</v>
      </c>
      <c r="AG42">
        <f>SUMIFS('MoodysData(Raw)'!AJ$2:AJ$180,'MoodysData(Raw)'!$B$2:$B$180,"=GDP",'MoodysData(Raw)'!$D$2:$D$180,"="&amp;'Implied Productivity Ratios'!$C42)/SUMIFS('MoodysData(Raw)'!AJ$2:AJ$180,'MoodysData(Raw)'!$B$2:$B$180,"=EMP",'MoodysData(Raw)'!$D$2:$D$180,"="&amp;'Implied Productivity Ratios'!$C42)</f>
        <v>106.06847890757784</v>
      </c>
      <c r="AH42">
        <f>SUMIFS('MoodysData(Raw)'!AK$2:AK$180,'MoodysData(Raw)'!$B$2:$B$180,"=GDP",'MoodysData(Raw)'!$D$2:$D$180,"="&amp;'Implied Productivity Ratios'!$C42)/SUMIFS('MoodysData(Raw)'!AK$2:AK$180,'MoodysData(Raw)'!$B$2:$B$180,"=EMP",'MoodysData(Raw)'!$D$2:$D$180,"="&amp;'Implied Productivity Ratios'!$C42)</f>
        <v>106.91705391505211</v>
      </c>
      <c r="AI42">
        <f>SUMIFS('MoodysData(Raw)'!AL$2:AL$180,'MoodysData(Raw)'!$B$2:$B$180,"=GDP",'MoodysData(Raw)'!$D$2:$D$180,"="&amp;'Implied Productivity Ratios'!$C42)/SUMIFS('MoodysData(Raw)'!AL$2:AL$180,'MoodysData(Raw)'!$B$2:$B$180,"=EMP",'MoodysData(Raw)'!$D$2:$D$180,"="&amp;'Implied Productivity Ratios'!$C42)</f>
        <v>107.68367827497525</v>
      </c>
      <c r="AJ42">
        <f>SUMIFS('MoodysData(Raw)'!AM$2:AM$180,'MoodysData(Raw)'!$B$2:$B$180,"=GDP",'MoodysData(Raw)'!$D$2:$D$180,"="&amp;'Implied Productivity Ratios'!$C42)/SUMIFS('MoodysData(Raw)'!AM$2:AM$180,'MoodysData(Raw)'!$B$2:$B$180,"=EMP",'MoodysData(Raw)'!$D$2:$D$180,"="&amp;'Implied Productivity Ratios'!$C42)</f>
        <v>108.61704286936991</v>
      </c>
      <c r="AK42">
        <f>SUMIFS('MoodysData(Raw)'!AN$2:AN$180,'MoodysData(Raw)'!$B$2:$B$180,"=GDP",'MoodysData(Raw)'!$D$2:$D$180,"="&amp;'Implied Productivity Ratios'!$C42)/SUMIFS('MoodysData(Raw)'!AN$2:AN$180,'MoodysData(Raw)'!$B$2:$B$180,"=EMP",'MoodysData(Raw)'!$D$2:$D$180,"="&amp;'Implied Productivity Ratios'!$C42)</f>
        <v>109.69091604260896</v>
      </c>
      <c r="AL42">
        <f>SUMIFS('MoodysData(Raw)'!AO$2:AO$180,'MoodysData(Raw)'!$B$2:$B$180,"=GDP",'MoodysData(Raw)'!$D$2:$D$180,"="&amp;'Implied Productivity Ratios'!$C42)/SUMIFS('MoodysData(Raw)'!AO$2:AO$180,'MoodysData(Raw)'!$B$2:$B$180,"=EMP",'MoodysData(Raw)'!$D$2:$D$180,"="&amp;'Implied Productivity Ratios'!$C42)</f>
        <v>111.07410992573845</v>
      </c>
      <c r="AM42">
        <f>SUMIFS('MoodysData(Raw)'!AP$2:AP$180,'MoodysData(Raw)'!$B$2:$B$180,"=GDP",'MoodysData(Raw)'!$D$2:$D$180,"="&amp;'Implied Productivity Ratios'!$C42)/SUMIFS('MoodysData(Raw)'!AP$2:AP$180,'MoodysData(Raw)'!$B$2:$B$180,"=EMP",'MoodysData(Raw)'!$D$2:$D$180,"="&amp;'Implied Productivity Ratios'!$C42)</f>
        <v>112.55208516774063</v>
      </c>
      <c r="AN42">
        <f>SUMIFS('MoodysData(Raw)'!AQ$2:AQ$180,'MoodysData(Raw)'!$B$2:$B$180,"=GDP",'MoodysData(Raw)'!$D$2:$D$180,"="&amp;'Implied Productivity Ratios'!$C42)/SUMIFS('MoodysData(Raw)'!AQ$2:AQ$180,'MoodysData(Raw)'!$B$2:$B$180,"=EMP",'MoodysData(Raw)'!$D$2:$D$180,"="&amp;'Implied Productivity Ratios'!$C42)</f>
        <v>114.02764506548927</v>
      </c>
      <c r="AO42">
        <f>SUMIFS('MoodysData(Raw)'!AR$2:AR$180,'MoodysData(Raw)'!$B$2:$B$180,"=GDP",'MoodysData(Raw)'!$D$2:$D$180,"="&amp;'Implied Productivity Ratios'!$C42)/SUMIFS('MoodysData(Raw)'!AR$2:AR$180,'MoodysData(Raw)'!$B$2:$B$180,"=EMP",'MoodysData(Raw)'!$D$2:$D$180,"="&amp;'Implied Productivity Ratios'!$C42)</f>
        <v>115.43738927202543</v>
      </c>
      <c r="AP42">
        <f>SUMIFS('MoodysData(Raw)'!AS$2:AS$180,'MoodysData(Raw)'!$B$2:$B$180,"=GDP",'MoodysData(Raw)'!$D$2:$D$180,"="&amp;'Implied Productivity Ratios'!$C42)/SUMIFS('MoodysData(Raw)'!AS$2:AS$180,'MoodysData(Raw)'!$B$2:$B$180,"=EMP",'MoodysData(Raw)'!$D$2:$D$180,"="&amp;'Implied Productivity Ratios'!$C42)</f>
        <v>116.84756920109557</v>
      </c>
      <c r="AQ42">
        <f>SUMIFS('MoodysData(Raw)'!AT$2:AT$180,'MoodysData(Raw)'!$B$2:$B$180,"=GDP",'MoodysData(Raw)'!$D$2:$D$180,"="&amp;'Implied Productivity Ratios'!$C42)/SUMIFS('MoodysData(Raw)'!AT$2:AT$180,'MoodysData(Raw)'!$B$2:$B$180,"=EMP",'MoodysData(Raw)'!$D$2:$D$180,"="&amp;'Implied Productivity Ratios'!$C42)</f>
        <v>118.30929476528016</v>
      </c>
      <c r="AR42">
        <f>SUMIFS('MoodysData(Raw)'!AU$2:AU$180,'MoodysData(Raw)'!$B$2:$B$180,"=GDP",'MoodysData(Raw)'!$D$2:$D$180,"="&amp;'Implied Productivity Ratios'!$C42)/SUMIFS('MoodysData(Raw)'!AU$2:AU$180,'MoodysData(Raw)'!$B$2:$B$180,"=EMP",'MoodysData(Raw)'!$D$2:$D$180,"="&amp;'Implied Productivity Ratios'!$C42)</f>
        <v>119.85970605394949</v>
      </c>
      <c r="AS42">
        <f>SUMIFS('MoodysData(Raw)'!AV$2:AV$180,'MoodysData(Raw)'!$B$2:$B$180,"=GDP",'MoodysData(Raw)'!$D$2:$D$180,"="&amp;'Implied Productivity Ratios'!$C42)/SUMIFS('MoodysData(Raw)'!AV$2:AV$180,'MoodysData(Raw)'!$B$2:$B$180,"=EMP",'MoodysData(Raw)'!$D$2:$D$180,"="&amp;'Implied Productivity Ratios'!$C42)</f>
        <v>121.47984883067407</v>
      </c>
      <c r="AT42">
        <f>SUMIFS('MoodysData(Raw)'!AW$2:AW$180,'MoodysData(Raw)'!$B$2:$B$180,"=GDP",'MoodysData(Raw)'!$D$2:$D$180,"="&amp;'Implied Productivity Ratios'!$C42)/SUMIFS('MoodysData(Raw)'!AW$2:AW$180,'MoodysData(Raw)'!$B$2:$B$180,"=EMP",'MoodysData(Raw)'!$D$2:$D$180,"="&amp;'Implied Productivity Ratios'!$C42)</f>
        <v>123.14514812899522</v>
      </c>
      <c r="AU42">
        <f>SUMIFS('MoodysData(Raw)'!AX$2:AX$180,'MoodysData(Raw)'!$B$2:$B$180,"=GDP",'MoodysData(Raw)'!$D$2:$D$180,"="&amp;'Implied Productivity Ratios'!$C42)/SUMIFS('MoodysData(Raw)'!AX$2:AX$180,'MoodysData(Raw)'!$B$2:$B$180,"=EMP",'MoodysData(Raw)'!$D$2:$D$180,"="&amp;'Implied Productivity Ratios'!$C42)</f>
        <v>124.93605524517709</v>
      </c>
      <c r="AV42">
        <f>SUMIFS('MoodysData(Raw)'!AY$2:AY$180,'MoodysData(Raw)'!$B$2:$B$180,"=GDP",'MoodysData(Raw)'!$D$2:$D$180,"="&amp;'Implied Productivity Ratios'!$C42)/SUMIFS('MoodysData(Raw)'!AY$2:AY$180,'MoodysData(Raw)'!$B$2:$B$180,"=EMP",'MoodysData(Raw)'!$D$2:$D$180,"="&amp;'Implied Productivity Ratios'!$C42)</f>
        <v>126.90963224320772</v>
      </c>
      <c r="AW42">
        <f>SUMIFS('MoodysData(Raw)'!AZ$2:AZ$180,'MoodysData(Raw)'!$B$2:$B$180,"=GDP",'MoodysData(Raw)'!$D$2:$D$180,"="&amp;'Implied Productivity Ratios'!$C42)/SUMIFS('MoodysData(Raw)'!AZ$2:AZ$180,'MoodysData(Raw)'!$B$2:$B$180,"=EMP",'MoodysData(Raw)'!$D$2:$D$180,"="&amp;'Implied Productivity Ratios'!$C42)</f>
        <v>128.98614443865409</v>
      </c>
      <c r="AX42">
        <f>SUMIFS('MoodysData(Raw)'!BA$2:BA$180,'MoodysData(Raw)'!$B$2:$B$180,"=GDP",'MoodysData(Raw)'!$D$2:$D$180,"="&amp;'Implied Productivity Ratios'!$C42)/SUMIFS('MoodysData(Raw)'!BA$2:BA$180,'MoodysData(Raw)'!$B$2:$B$180,"=EMP",'MoodysData(Raw)'!$D$2:$D$180,"="&amp;'Implied Productivity Ratios'!$C42)</f>
        <v>131.17913561759192</v>
      </c>
      <c r="AY42">
        <f>SUMIFS('MoodysData(Raw)'!BB$2:BB$180,'MoodysData(Raw)'!$B$2:$B$180,"=GDP",'MoodysData(Raw)'!$D$2:$D$180,"="&amp;'Implied Productivity Ratios'!$C42)/SUMIFS('MoodysData(Raw)'!BB$2:BB$180,'MoodysData(Raw)'!$B$2:$B$180,"=EMP",'MoodysData(Raw)'!$D$2:$D$180,"="&amp;'Implied Productivity Ratios'!$C42)</f>
        <v>133.50521466835744</v>
      </c>
      <c r="AZ42">
        <f>SUMIFS('MoodysData(Raw)'!BC$2:BC$180,'MoodysData(Raw)'!$B$2:$B$180,"=GDP",'MoodysData(Raw)'!$D$2:$D$180,"="&amp;'Implied Productivity Ratios'!$C42)/SUMIFS('MoodysData(Raw)'!BC$2:BC$180,'MoodysData(Raw)'!$B$2:$B$180,"=EMP",'MoodysData(Raw)'!$D$2:$D$180,"="&amp;'Implied Productivity Ratios'!$C42)</f>
        <v>136.0153295014569</v>
      </c>
      <c r="BA42">
        <f>SUMIFS('MoodysData(Raw)'!BD$2:BD$180,'MoodysData(Raw)'!$B$2:$B$180,"=GDP",'MoodysData(Raw)'!$D$2:$D$180,"="&amp;'Implied Productivity Ratios'!$C42)/SUMIFS('MoodysData(Raw)'!BD$2:BD$180,'MoodysData(Raw)'!$B$2:$B$180,"=EMP",'MoodysData(Raw)'!$D$2:$D$180,"="&amp;'Implied Productivity Ratios'!$C42)</f>
        <v>138.74757884281104</v>
      </c>
      <c r="BB42">
        <f>SUMIFS('MoodysData(Raw)'!BE$2:BE$180,'MoodysData(Raw)'!$B$2:$B$180,"=GDP",'MoodysData(Raw)'!$D$2:$D$180,"="&amp;'Implied Productivity Ratios'!$C42)/SUMIFS('MoodysData(Raw)'!BE$2:BE$180,'MoodysData(Raw)'!$B$2:$B$180,"=EMP",'MoodysData(Raw)'!$D$2:$D$180,"="&amp;'Implied Productivity Ratios'!$C42)</f>
        <v>141.68728973578851</v>
      </c>
      <c r="BC42">
        <f>SUMIFS('MoodysData(Raw)'!BF$2:BF$180,'MoodysData(Raw)'!$B$2:$B$180,"=GDP",'MoodysData(Raw)'!$D$2:$D$180,"="&amp;'Implied Productivity Ratios'!$C42)/SUMIFS('MoodysData(Raw)'!BF$2:BF$180,'MoodysData(Raw)'!$B$2:$B$180,"=EMP",'MoodysData(Raw)'!$D$2:$D$180,"="&amp;'Implied Productivity Ratios'!$C42)</f>
        <v>144.84473873169668</v>
      </c>
      <c r="BD42" s="5">
        <f t="shared" ref="BD42:BH42" si="36">BC42+($BC42-$AX42)/5</f>
        <v>147.57785935451764</v>
      </c>
      <c r="BE42" s="5">
        <f t="shared" si="36"/>
        <v>150.3109799773386</v>
      </c>
      <c r="BF42" s="5">
        <f t="shared" si="36"/>
        <v>153.04410060015957</v>
      </c>
      <c r="BG42" s="5">
        <f t="shared" si="36"/>
        <v>155.77722122298053</v>
      </c>
      <c r="BH42" s="5">
        <f t="shared" si="36"/>
        <v>158.51034184580149</v>
      </c>
    </row>
    <row r="43" spans="3:60">
      <c r="C43">
        <v>447</v>
      </c>
      <c r="D43" t="s">
        <v>143</v>
      </c>
      <c r="E43">
        <f>SUMIFS('MoodysData(Raw)'!H$2:H$180,'MoodysData(Raw)'!$B$2:$B$180,"=GDP",'MoodysData(Raw)'!$D$2:$D$180,"="&amp;'Implied Productivity Ratios'!$C43)/SUMIFS('MoodysData(Raw)'!H$2:H$180,'MoodysData(Raw)'!$B$2:$B$180,"=EMP",'MoodysData(Raw)'!$D$2:$D$180,"="&amp;'Implied Productivity Ratios'!$C43)</f>
        <v>151.66421017570153</v>
      </c>
      <c r="F43">
        <f>SUMIFS('MoodysData(Raw)'!I$2:I$180,'MoodysData(Raw)'!$B$2:$B$180,"=GDP",'MoodysData(Raw)'!$D$2:$D$180,"="&amp;'Implied Productivity Ratios'!$C43)/SUMIFS('MoodysData(Raw)'!I$2:I$180,'MoodysData(Raw)'!$B$2:$B$180,"=EMP",'MoodysData(Raw)'!$D$2:$D$180,"="&amp;'Implied Productivity Ratios'!$C43)</f>
        <v>164.93411021197821</v>
      </c>
      <c r="G43">
        <f>SUMIFS('MoodysData(Raw)'!J$2:J$180,'MoodysData(Raw)'!$B$2:$B$180,"=GDP",'MoodysData(Raw)'!$D$2:$D$180,"="&amp;'Implied Productivity Ratios'!$C43)/SUMIFS('MoodysData(Raw)'!J$2:J$180,'MoodysData(Raw)'!$B$2:$B$180,"=EMP",'MoodysData(Raw)'!$D$2:$D$180,"="&amp;'Implied Productivity Ratios'!$C43)</f>
        <v>114.31180313523137</v>
      </c>
      <c r="H43">
        <f>SUMIFS('MoodysData(Raw)'!K$2:K$180,'MoodysData(Raw)'!$B$2:$B$180,"=GDP",'MoodysData(Raw)'!$D$2:$D$180,"="&amp;'Implied Productivity Ratios'!$C43)/SUMIFS('MoodysData(Raw)'!K$2:K$180,'MoodysData(Raw)'!$B$2:$B$180,"=EMP",'MoodysData(Raw)'!$D$2:$D$180,"="&amp;'Implied Productivity Ratios'!$C43)</f>
        <v>122.06108851337424</v>
      </c>
      <c r="I43">
        <f>SUMIFS('MoodysData(Raw)'!L$2:L$180,'MoodysData(Raw)'!$B$2:$B$180,"=GDP",'MoodysData(Raw)'!$D$2:$D$180,"="&amp;'Implied Productivity Ratios'!$C43)/SUMIFS('MoodysData(Raw)'!L$2:L$180,'MoodysData(Raw)'!$B$2:$B$180,"=EMP",'MoodysData(Raw)'!$D$2:$D$180,"="&amp;'Implied Productivity Ratios'!$C43)</f>
        <v>114.78373374090913</v>
      </c>
      <c r="J43">
        <f>SUMIFS('MoodysData(Raw)'!M$2:M$180,'MoodysData(Raw)'!$B$2:$B$180,"=GDP",'MoodysData(Raw)'!$D$2:$D$180,"="&amp;'Implied Productivity Ratios'!$C43)/SUMIFS('MoodysData(Raw)'!M$2:M$180,'MoodysData(Raw)'!$B$2:$B$180,"=EMP",'MoodysData(Raw)'!$D$2:$D$180,"="&amp;'Implied Productivity Ratios'!$C43)</f>
        <v>111.2603972805188</v>
      </c>
      <c r="K43">
        <f>SUMIFS('MoodysData(Raw)'!N$2:N$180,'MoodysData(Raw)'!$B$2:$B$180,"=GDP",'MoodysData(Raw)'!$D$2:$D$180,"="&amp;'Implied Productivity Ratios'!$C43)/SUMIFS('MoodysData(Raw)'!N$2:N$180,'MoodysData(Raw)'!$B$2:$B$180,"=EMP",'MoodysData(Raw)'!$D$2:$D$180,"="&amp;'Implied Productivity Ratios'!$C43)</f>
        <v>102.87613578303646</v>
      </c>
      <c r="L43">
        <f>SUMIFS('MoodysData(Raw)'!O$2:O$180,'MoodysData(Raw)'!$B$2:$B$180,"=GDP",'MoodysData(Raw)'!$D$2:$D$180,"="&amp;'Implied Productivity Ratios'!$C43)/SUMIFS('MoodysData(Raw)'!O$2:O$180,'MoodysData(Raw)'!$B$2:$B$180,"=EMP",'MoodysData(Raw)'!$D$2:$D$180,"="&amp;'Implied Productivity Ratios'!$C43)</f>
        <v>92.935409346816726</v>
      </c>
      <c r="M43">
        <f>SUMIFS('MoodysData(Raw)'!P$2:P$180,'MoodysData(Raw)'!$B$2:$B$180,"=GDP",'MoodysData(Raw)'!$D$2:$D$180,"="&amp;'Implied Productivity Ratios'!$C43)/SUMIFS('MoodysData(Raw)'!P$2:P$180,'MoodysData(Raw)'!$B$2:$B$180,"=EMP",'MoodysData(Raw)'!$D$2:$D$180,"="&amp;'Implied Productivity Ratios'!$C43)</f>
        <v>89.627641587211386</v>
      </c>
      <c r="N43">
        <f>SUMIFS('MoodysData(Raw)'!Q$2:Q$180,'MoodysData(Raw)'!$B$2:$B$180,"=GDP",'MoodysData(Raw)'!$D$2:$D$180,"="&amp;'Implied Productivity Ratios'!$C43)/SUMIFS('MoodysData(Raw)'!Q$2:Q$180,'MoodysData(Raw)'!$B$2:$B$180,"=EMP",'MoodysData(Raw)'!$D$2:$D$180,"="&amp;'Implied Productivity Ratios'!$C43)</f>
        <v>80.309270088159337</v>
      </c>
      <c r="O43">
        <f>SUMIFS('MoodysData(Raw)'!R$2:R$180,'MoodysData(Raw)'!$B$2:$B$180,"=GDP",'MoodysData(Raw)'!$D$2:$D$180,"="&amp;'Implied Productivity Ratios'!$C43)/SUMIFS('MoodysData(Raw)'!R$2:R$180,'MoodysData(Raw)'!$B$2:$B$180,"=EMP",'MoodysData(Raw)'!$D$2:$D$180,"="&amp;'Implied Productivity Ratios'!$C43)</f>
        <v>69.355092643009385</v>
      </c>
      <c r="P43">
        <f>SUMIFS('MoodysData(Raw)'!S$2:S$180,'MoodysData(Raw)'!$B$2:$B$180,"=GDP",'MoodysData(Raw)'!$D$2:$D$180,"="&amp;'Implied Productivity Ratios'!$C43)/SUMIFS('MoodysData(Raw)'!S$2:S$180,'MoodysData(Raw)'!$B$2:$B$180,"=EMP",'MoodysData(Raw)'!$D$2:$D$180,"="&amp;'Implied Productivity Ratios'!$C43)</f>
        <v>66.354236748571552</v>
      </c>
      <c r="Q43">
        <f>SUMIFS('MoodysData(Raw)'!T$2:T$180,'MoodysData(Raw)'!$B$2:$B$180,"=GDP",'MoodysData(Raw)'!$D$2:$D$180,"="&amp;'Implied Productivity Ratios'!$C43)/SUMIFS('MoodysData(Raw)'!T$2:T$180,'MoodysData(Raw)'!$B$2:$B$180,"=EMP",'MoodysData(Raw)'!$D$2:$D$180,"="&amp;'Implied Productivity Ratios'!$C43)</f>
        <v>66.142243236292174</v>
      </c>
      <c r="R43">
        <f>SUMIFS('MoodysData(Raw)'!U$2:U$180,'MoodysData(Raw)'!$B$2:$B$180,"=GDP",'MoodysData(Raw)'!$D$2:$D$180,"="&amp;'Implied Productivity Ratios'!$C43)/SUMIFS('MoodysData(Raw)'!U$2:U$180,'MoodysData(Raw)'!$B$2:$B$180,"=EMP",'MoodysData(Raw)'!$D$2:$D$180,"="&amp;'Implied Productivity Ratios'!$C43)</f>
        <v>69.019722414058123</v>
      </c>
      <c r="S43">
        <f>SUMIFS('MoodysData(Raw)'!V$2:V$180,'MoodysData(Raw)'!$B$2:$B$180,"=GDP",'MoodysData(Raw)'!$D$2:$D$180,"="&amp;'Implied Productivity Ratios'!$C43)/SUMIFS('MoodysData(Raw)'!V$2:V$180,'MoodysData(Raw)'!$B$2:$B$180,"=EMP",'MoodysData(Raw)'!$D$2:$D$180,"="&amp;'Implied Productivity Ratios'!$C43)</f>
        <v>72.164637468127552</v>
      </c>
      <c r="T43">
        <f>SUMIFS('MoodysData(Raw)'!W$2:W$180,'MoodysData(Raw)'!$B$2:$B$180,"=GDP",'MoodysData(Raw)'!$D$2:$D$180,"="&amp;'Implied Productivity Ratios'!$C43)/SUMIFS('MoodysData(Raw)'!W$2:W$180,'MoodysData(Raw)'!$B$2:$B$180,"=EMP",'MoodysData(Raw)'!$D$2:$D$180,"="&amp;'Implied Productivity Ratios'!$C43)</f>
        <v>51.542531064482489</v>
      </c>
      <c r="U43">
        <f>SUMIFS('MoodysData(Raw)'!X$2:X$180,'MoodysData(Raw)'!$B$2:$B$180,"=GDP",'MoodysData(Raw)'!$D$2:$D$180,"="&amp;'Implied Productivity Ratios'!$C43)/SUMIFS('MoodysData(Raw)'!X$2:X$180,'MoodysData(Raw)'!$B$2:$B$180,"=EMP",'MoodysData(Raw)'!$D$2:$D$180,"="&amp;'Implied Productivity Ratios'!$C43)</f>
        <v>60.263160860317114</v>
      </c>
      <c r="V43">
        <f>SUMIFS('MoodysData(Raw)'!Y$2:Y$180,'MoodysData(Raw)'!$B$2:$B$180,"=GDP",'MoodysData(Raw)'!$D$2:$D$180,"="&amp;'Implied Productivity Ratios'!$C43)/SUMIFS('MoodysData(Raw)'!Y$2:Y$180,'MoodysData(Raw)'!$B$2:$B$180,"=EMP",'MoodysData(Raw)'!$D$2:$D$180,"="&amp;'Implied Productivity Ratios'!$C43)</f>
        <v>52.530758933891754</v>
      </c>
      <c r="W43">
        <f>SUMIFS('MoodysData(Raw)'!Z$2:Z$180,'MoodysData(Raw)'!$B$2:$B$180,"=GDP",'MoodysData(Raw)'!$D$2:$D$180,"="&amp;'Implied Productivity Ratios'!$C43)/SUMIFS('MoodysData(Raw)'!Z$2:Z$180,'MoodysData(Raw)'!$B$2:$B$180,"=EMP",'MoodysData(Raw)'!$D$2:$D$180,"="&amp;'Implied Productivity Ratios'!$C43)</f>
        <v>56.129528475507783</v>
      </c>
      <c r="X43">
        <f>SUMIFS('MoodysData(Raw)'!AA$2:AA$180,'MoodysData(Raw)'!$B$2:$B$180,"=GDP",'MoodysData(Raw)'!$D$2:$D$180,"="&amp;'Implied Productivity Ratios'!$C43)/SUMIFS('MoodysData(Raw)'!AA$2:AA$180,'MoodysData(Raw)'!$B$2:$B$180,"=EMP",'MoodysData(Raw)'!$D$2:$D$180,"="&amp;'Implied Productivity Ratios'!$C43)</f>
        <v>57.249504795581487</v>
      </c>
      <c r="Y43">
        <f>SUMIFS('MoodysData(Raw)'!AB$2:AB$180,'MoodysData(Raw)'!$B$2:$B$180,"=GDP",'MoodysData(Raw)'!$D$2:$D$180,"="&amp;'Implied Productivity Ratios'!$C43)/SUMIFS('MoodysData(Raw)'!AB$2:AB$180,'MoodysData(Raw)'!$B$2:$B$180,"=EMP",'MoodysData(Raw)'!$D$2:$D$180,"="&amp;'Implied Productivity Ratios'!$C43)</f>
        <v>55.30359986204418</v>
      </c>
      <c r="Z43">
        <f>SUMIFS('MoodysData(Raw)'!AC$2:AC$180,'MoodysData(Raw)'!$B$2:$B$180,"=GDP",'MoodysData(Raw)'!$D$2:$D$180,"="&amp;'Implied Productivity Ratios'!$C43)/SUMIFS('MoodysData(Raw)'!AC$2:AC$180,'MoodysData(Raw)'!$B$2:$B$180,"=EMP",'MoodysData(Raw)'!$D$2:$D$180,"="&amp;'Implied Productivity Ratios'!$C43)</f>
        <v>53.327607323109802</v>
      </c>
      <c r="AA43">
        <f>SUMIFS('MoodysData(Raw)'!AD$2:AD$180,'MoodysData(Raw)'!$B$2:$B$180,"=GDP",'MoodysData(Raw)'!$D$2:$D$180,"="&amp;'Implied Productivity Ratios'!$C43)/SUMIFS('MoodysData(Raw)'!AD$2:AD$180,'MoodysData(Raw)'!$B$2:$B$180,"=EMP",'MoodysData(Raw)'!$D$2:$D$180,"="&amp;'Implied Productivity Ratios'!$C43)</f>
        <v>51.495312758198743</v>
      </c>
      <c r="AB43">
        <f>SUMIFS('MoodysData(Raw)'!AE$2:AE$180,'MoodysData(Raw)'!$B$2:$B$180,"=GDP",'MoodysData(Raw)'!$D$2:$D$180,"="&amp;'Implied Productivity Ratios'!$C43)/SUMIFS('MoodysData(Raw)'!AE$2:AE$180,'MoodysData(Raw)'!$B$2:$B$180,"=EMP",'MoodysData(Raw)'!$D$2:$D$180,"="&amp;'Implied Productivity Ratios'!$C43)</f>
        <v>49.788822034034872</v>
      </c>
      <c r="AC43">
        <f>SUMIFS('MoodysData(Raw)'!AF$2:AF$180,'MoodysData(Raw)'!$B$2:$B$180,"=GDP",'MoodysData(Raw)'!$D$2:$D$180,"="&amp;'Implied Productivity Ratios'!$C43)/SUMIFS('MoodysData(Raw)'!AF$2:AF$180,'MoodysData(Raw)'!$B$2:$B$180,"=EMP",'MoodysData(Raw)'!$D$2:$D$180,"="&amp;'Implied Productivity Ratios'!$C43)</f>
        <v>48.242311439953099</v>
      </c>
      <c r="AD43">
        <f>SUMIFS('MoodysData(Raw)'!AG$2:AG$180,'MoodysData(Raw)'!$B$2:$B$180,"=GDP",'MoodysData(Raw)'!$D$2:$D$180,"="&amp;'Implied Productivity Ratios'!$C43)/SUMIFS('MoodysData(Raw)'!AG$2:AG$180,'MoodysData(Raw)'!$B$2:$B$180,"=EMP",'MoodysData(Raw)'!$D$2:$D$180,"="&amp;'Implied Productivity Ratios'!$C43)</f>
        <v>46.857180207271917</v>
      </c>
      <c r="AE43">
        <f>SUMIFS('MoodysData(Raw)'!AH$2:AH$180,'MoodysData(Raw)'!$B$2:$B$180,"=GDP",'MoodysData(Raw)'!$D$2:$D$180,"="&amp;'Implied Productivity Ratios'!$C43)/SUMIFS('MoodysData(Raw)'!AH$2:AH$180,'MoodysData(Raw)'!$B$2:$B$180,"=EMP",'MoodysData(Raw)'!$D$2:$D$180,"="&amp;'Implied Productivity Ratios'!$C43)</f>
        <v>45.496242124768379</v>
      </c>
      <c r="AF43">
        <f>SUMIFS('MoodysData(Raw)'!AI$2:AI$180,'MoodysData(Raw)'!$B$2:$B$180,"=GDP",'MoodysData(Raw)'!$D$2:$D$180,"="&amp;'Implied Productivity Ratios'!$C43)/SUMIFS('MoodysData(Raw)'!AI$2:AI$180,'MoodysData(Raw)'!$B$2:$B$180,"=EMP",'MoodysData(Raw)'!$D$2:$D$180,"="&amp;'Implied Productivity Ratios'!$C43)</f>
        <v>44.212922702703764</v>
      </c>
      <c r="AG43">
        <f>SUMIFS('MoodysData(Raw)'!AJ$2:AJ$180,'MoodysData(Raw)'!$B$2:$B$180,"=GDP",'MoodysData(Raw)'!$D$2:$D$180,"="&amp;'Implied Productivity Ratios'!$C43)/SUMIFS('MoodysData(Raw)'!AJ$2:AJ$180,'MoodysData(Raw)'!$B$2:$B$180,"=EMP",'MoodysData(Raw)'!$D$2:$D$180,"="&amp;'Implied Productivity Ratios'!$C43)</f>
        <v>43.003731310489755</v>
      </c>
      <c r="AH43">
        <f>SUMIFS('MoodysData(Raw)'!AK$2:AK$180,'MoodysData(Raw)'!$B$2:$B$180,"=GDP",'MoodysData(Raw)'!$D$2:$D$180,"="&amp;'Implied Productivity Ratios'!$C43)/SUMIFS('MoodysData(Raw)'!AK$2:AK$180,'MoodysData(Raw)'!$B$2:$B$180,"=EMP",'MoodysData(Raw)'!$D$2:$D$180,"="&amp;'Implied Productivity Ratios'!$C43)</f>
        <v>41.801811589981398</v>
      </c>
      <c r="AI43">
        <f>SUMIFS('MoodysData(Raw)'!AL$2:AL$180,'MoodysData(Raw)'!$B$2:$B$180,"=GDP",'MoodysData(Raw)'!$D$2:$D$180,"="&amp;'Implied Productivity Ratios'!$C43)/SUMIFS('MoodysData(Raw)'!AL$2:AL$180,'MoodysData(Raw)'!$B$2:$B$180,"=EMP",'MoodysData(Raw)'!$D$2:$D$180,"="&amp;'Implied Productivity Ratios'!$C43)</f>
        <v>40.668763503639774</v>
      </c>
      <c r="AJ43">
        <f>SUMIFS('MoodysData(Raw)'!AM$2:AM$180,'MoodysData(Raw)'!$B$2:$B$180,"=GDP",'MoodysData(Raw)'!$D$2:$D$180,"="&amp;'Implied Productivity Ratios'!$C43)/SUMIFS('MoodysData(Raw)'!AM$2:AM$180,'MoodysData(Raw)'!$B$2:$B$180,"=EMP",'MoodysData(Raw)'!$D$2:$D$180,"="&amp;'Implied Productivity Ratios'!$C43)</f>
        <v>39.693363604644126</v>
      </c>
      <c r="AK43">
        <f>SUMIFS('MoodysData(Raw)'!AN$2:AN$180,'MoodysData(Raw)'!$B$2:$B$180,"=GDP",'MoodysData(Raw)'!$D$2:$D$180,"="&amp;'Implied Productivity Ratios'!$C43)/SUMIFS('MoodysData(Raw)'!AN$2:AN$180,'MoodysData(Raw)'!$B$2:$B$180,"=EMP",'MoodysData(Raw)'!$D$2:$D$180,"="&amp;'Implied Productivity Ratios'!$C43)</f>
        <v>38.854359876039545</v>
      </c>
      <c r="AL43">
        <f>SUMIFS('MoodysData(Raw)'!AO$2:AO$180,'MoodysData(Raw)'!$B$2:$B$180,"=GDP",'MoodysData(Raw)'!$D$2:$D$180,"="&amp;'Implied Productivity Ratios'!$C43)/SUMIFS('MoodysData(Raw)'!AO$2:AO$180,'MoodysData(Raw)'!$B$2:$B$180,"=EMP",'MoodysData(Raw)'!$D$2:$D$180,"="&amp;'Implied Productivity Ratios'!$C43)</f>
        <v>38.199892112775558</v>
      </c>
      <c r="AM43">
        <f>SUMIFS('MoodysData(Raw)'!AP$2:AP$180,'MoodysData(Raw)'!$B$2:$B$180,"=GDP",'MoodysData(Raw)'!$D$2:$D$180,"="&amp;'Implied Productivity Ratios'!$C43)/SUMIFS('MoodysData(Raw)'!AP$2:AP$180,'MoodysData(Raw)'!$B$2:$B$180,"=EMP",'MoodysData(Raw)'!$D$2:$D$180,"="&amp;'Implied Productivity Ratios'!$C43)</f>
        <v>37.646282574227655</v>
      </c>
      <c r="AN43">
        <f>SUMIFS('MoodysData(Raw)'!AQ$2:AQ$180,'MoodysData(Raw)'!$B$2:$B$180,"=GDP",'MoodysData(Raw)'!$D$2:$D$180,"="&amp;'Implied Productivity Ratios'!$C43)/SUMIFS('MoodysData(Raw)'!AQ$2:AQ$180,'MoodysData(Raw)'!$B$2:$B$180,"=EMP",'MoodysData(Raw)'!$D$2:$D$180,"="&amp;'Implied Productivity Ratios'!$C43)</f>
        <v>37.156219901597495</v>
      </c>
      <c r="AO43">
        <f>SUMIFS('MoodysData(Raw)'!AR$2:AR$180,'MoodysData(Raw)'!$B$2:$B$180,"=GDP",'MoodysData(Raw)'!$D$2:$D$180,"="&amp;'Implied Productivity Ratios'!$C43)/SUMIFS('MoodysData(Raw)'!AR$2:AR$180,'MoodysData(Raw)'!$B$2:$B$180,"=EMP",'MoodysData(Raw)'!$D$2:$D$180,"="&amp;'Implied Productivity Ratios'!$C43)</f>
        <v>36.707079969264427</v>
      </c>
      <c r="AP43">
        <f>SUMIFS('MoodysData(Raw)'!AS$2:AS$180,'MoodysData(Raw)'!$B$2:$B$180,"=GDP",'MoodysData(Raw)'!$D$2:$D$180,"="&amp;'Implied Productivity Ratios'!$C43)/SUMIFS('MoodysData(Raw)'!AS$2:AS$180,'MoodysData(Raw)'!$B$2:$B$180,"=EMP",'MoodysData(Raw)'!$D$2:$D$180,"="&amp;'Implied Productivity Ratios'!$C43)</f>
        <v>36.319068638186359</v>
      </c>
      <c r="AQ43">
        <f>SUMIFS('MoodysData(Raw)'!AT$2:AT$180,'MoodysData(Raw)'!$B$2:$B$180,"=GDP",'MoodysData(Raw)'!$D$2:$D$180,"="&amp;'Implied Productivity Ratios'!$C43)/SUMIFS('MoodysData(Raw)'!AT$2:AT$180,'MoodysData(Raw)'!$B$2:$B$180,"=EMP",'MoodysData(Raw)'!$D$2:$D$180,"="&amp;'Implied Productivity Ratios'!$C43)</f>
        <v>36.006314278069425</v>
      </c>
      <c r="AR43">
        <f>SUMIFS('MoodysData(Raw)'!AU$2:AU$180,'MoodysData(Raw)'!$B$2:$B$180,"=GDP",'MoodysData(Raw)'!$D$2:$D$180,"="&amp;'Implied Productivity Ratios'!$C43)/SUMIFS('MoodysData(Raw)'!AU$2:AU$180,'MoodysData(Raw)'!$B$2:$B$180,"=EMP",'MoodysData(Raw)'!$D$2:$D$180,"="&amp;'Implied Productivity Ratios'!$C43)</f>
        <v>35.777333549071692</v>
      </c>
      <c r="AS43">
        <f>SUMIFS('MoodysData(Raw)'!AV$2:AV$180,'MoodysData(Raw)'!$B$2:$B$180,"=GDP",'MoodysData(Raw)'!$D$2:$D$180,"="&amp;'Implied Productivity Ratios'!$C43)/SUMIFS('MoodysData(Raw)'!AV$2:AV$180,'MoodysData(Raw)'!$B$2:$B$180,"=EMP",'MoodysData(Raw)'!$D$2:$D$180,"="&amp;'Implied Productivity Ratios'!$C43)</f>
        <v>35.62387766765427</v>
      </c>
      <c r="AT43">
        <f>SUMIFS('MoodysData(Raw)'!AW$2:AW$180,'MoodysData(Raw)'!$B$2:$B$180,"=GDP",'MoodysData(Raw)'!$D$2:$D$180,"="&amp;'Implied Productivity Ratios'!$C43)/SUMIFS('MoodysData(Raw)'!AW$2:AW$180,'MoodysData(Raw)'!$B$2:$B$180,"=EMP",'MoodysData(Raw)'!$D$2:$D$180,"="&amp;'Implied Productivity Ratios'!$C43)</f>
        <v>35.537203884334566</v>
      </c>
      <c r="AU43">
        <f>SUMIFS('MoodysData(Raw)'!AX$2:AX$180,'MoodysData(Raw)'!$B$2:$B$180,"=GDP",'MoodysData(Raw)'!$D$2:$D$180,"="&amp;'Implied Productivity Ratios'!$C43)/SUMIFS('MoodysData(Raw)'!AX$2:AX$180,'MoodysData(Raw)'!$B$2:$B$180,"=EMP",'MoodysData(Raw)'!$D$2:$D$180,"="&amp;'Implied Productivity Ratios'!$C43)</f>
        <v>35.539680898267989</v>
      </c>
      <c r="AV43">
        <f>SUMIFS('MoodysData(Raw)'!AY$2:AY$180,'MoodysData(Raw)'!$B$2:$B$180,"=GDP",'MoodysData(Raw)'!$D$2:$D$180,"="&amp;'Implied Productivity Ratios'!$C43)/SUMIFS('MoodysData(Raw)'!AY$2:AY$180,'MoodysData(Raw)'!$B$2:$B$180,"=EMP",'MoodysData(Raw)'!$D$2:$D$180,"="&amp;'Implied Productivity Ratios'!$C43)</f>
        <v>35.645954254772725</v>
      </c>
      <c r="AW43">
        <f>SUMIFS('MoodysData(Raw)'!AZ$2:AZ$180,'MoodysData(Raw)'!$B$2:$B$180,"=GDP",'MoodysData(Raw)'!$D$2:$D$180,"="&amp;'Implied Productivity Ratios'!$C43)/SUMIFS('MoodysData(Raw)'!AZ$2:AZ$180,'MoodysData(Raw)'!$B$2:$B$180,"=EMP",'MoodysData(Raw)'!$D$2:$D$180,"="&amp;'Implied Productivity Ratios'!$C43)</f>
        <v>35.832463512719713</v>
      </c>
      <c r="AX43">
        <f>SUMIFS('MoodysData(Raw)'!BA$2:BA$180,'MoodysData(Raw)'!$B$2:$B$180,"=GDP",'MoodysData(Raw)'!$D$2:$D$180,"="&amp;'Implied Productivity Ratios'!$C43)/SUMIFS('MoodysData(Raw)'!BA$2:BA$180,'MoodysData(Raw)'!$B$2:$B$180,"=EMP",'MoodysData(Raw)'!$D$2:$D$180,"="&amp;'Implied Productivity Ratios'!$C43)</f>
        <v>36.103306727265192</v>
      </c>
      <c r="AY43">
        <f>SUMIFS('MoodysData(Raw)'!BB$2:BB$180,'MoodysData(Raw)'!$B$2:$B$180,"=GDP",'MoodysData(Raw)'!$D$2:$D$180,"="&amp;'Implied Productivity Ratios'!$C43)/SUMIFS('MoodysData(Raw)'!BB$2:BB$180,'MoodysData(Raw)'!$B$2:$B$180,"=EMP",'MoodysData(Raw)'!$D$2:$D$180,"="&amp;'Implied Productivity Ratios'!$C43)</f>
        <v>36.463605778707965</v>
      </c>
      <c r="AZ43">
        <f>SUMIFS('MoodysData(Raw)'!BC$2:BC$180,'MoodysData(Raw)'!$B$2:$B$180,"=GDP",'MoodysData(Raw)'!$D$2:$D$180,"="&amp;'Implied Productivity Ratios'!$C43)/SUMIFS('MoodysData(Raw)'!BC$2:BC$180,'MoodysData(Raw)'!$B$2:$B$180,"=EMP",'MoodysData(Raw)'!$D$2:$D$180,"="&amp;'Implied Productivity Ratios'!$C43)</f>
        <v>36.928113731754713</v>
      </c>
      <c r="BA43">
        <f>SUMIFS('MoodysData(Raw)'!BD$2:BD$180,'MoodysData(Raw)'!$B$2:$B$180,"=GDP",'MoodysData(Raw)'!$D$2:$D$180,"="&amp;'Implied Productivity Ratios'!$C43)/SUMIFS('MoodysData(Raw)'!BD$2:BD$180,'MoodysData(Raw)'!$B$2:$B$180,"=EMP",'MoodysData(Raw)'!$D$2:$D$180,"="&amp;'Implied Productivity Ratios'!$C43)</f>
        <v>37.508474688658325</v>
      </c>
      <c r="BB43">
        <f>SUMIFS('MoodysData(Raw)'!BE$2:BE$180,'MoodysData(Raw)'!$B$2:$B$180,"=GDP",'MoodysData(Raw)'!$D$2:$D$180,"="&amp;'Implied Productivity Ratios'!$C43)/SUMIFS('MoodysData(Raw)'!BE$2:BE$180,'MoodysData(Raw)'!$B$2:$B$180,"=EMP",'MoodysData(Raw)'!$D$2:$D$180,"="&amp;'Implied Productivity Ratios'!$C43)</f>
        <v>38.202462095462295</v>
      </c>
      <c r="BC43">
        <f>SUMIFS('MoodysData(Raw)'!BF$2:BF$180,'MoodysData(Raw)'!$B$2:$B$180,"=GDP",'MoodysData(Raw)'!$D$2:$D$180,"="&amp;'Implied Productivity Ratios'!$C43)/SUMIFS('MoodysData(Raw)'!BF$2:BF$180,'MoodysData(Raw)'!$B$2:$B$180,"=EMP",'MoodysData(Raw)'!$D$2:$D$180,"="&amp;'Implied Productivity Ratios'!$C43)</f>
        <v>39.016351963457765</v>
      </c>
      <c r="BD43" s="5">
        <f t="shared" ref="BD43:BH43" si="37">BC43+($BC43-$AX43)/5</f>
        <v>39.598961010696279</v>
      </c>
      <c r="BE43" s="5">
        <f t="shared" si="37"/>
        <v>40.181570057934792</v>
      </c>
      <c r="BF43" s="5">
        <f t="shared" si="37"/>
        <v>40.764179105173305</v>
      </c>
      <c r="BG43" s="5">
        <f t="shared" si="37"/>
        <v>41.346788152411818</v>
      </c>
      <c r="BH43" s="5">
        <f t="shared" si="37"/>
        <v>41.929397199650332</v>
      </c>
    </row>
    <row r="44" spans="3:60">
      <c r="C44">
        <v>448</v>
      </c>
      <c r="D44" t="s">
        <v>147</v>
      </c>
      <c r="E44">
        <f>SUMIFS('MoodysData(Raw)'!H$2:H$180,'MoodysData(Raw)'!$B$2:$B$180,"=GDP",'MoodysData(Raw)'!$D$2:$D$180,"="&amp;'Implied Productivity Ratios'!$C44)/SUMIFS('MoodysData(Raw)'!H$2:H$180,'MoodysData(Raw)'!$B$2:$B$180,"=EMP",'MoodysData(Raw)'!$D$2:$D$180,"="&amp;'Implied Productivity Ratios'!$C44)</f>
        <v>48.781465155630123</v>
      </c>
      <c r="F44">
        <f>SUMIFS('MoodysData(Raw)'!I$2:I$180,'MoodysData(Raw)'!$B$2:$B$180,"=GDP",'MoodysData(Raw)'!$D$2:$D$180,"="&amp;'Implied Productivity Ratios'!$C44)/SUMIFS('MoodysData(Raw)'!I$2:I$180,'MoodysData(Raw)'!$B$2:$B$180,"=EMP",'MoodysData(Raw)'!$D$2:$D$180,"="&amp;'Implied Productivity Ratios'!$C44)</f>
        <v>46.778337160567396</v>
      </c>
      <c r="G44">
        <f>SUMIFS('MoodysData(Raw)'!J$2:J$180,'MoodysData(Raw)'!$B$2:$B$180,"=GDP",'MoodysData(Raw)'!$D$2:$D$180,"="&amp;'Implied Productivity Ratios'!$C44)/SUMIFS('MoodysData(Raw)'!J$2:J$180,'MoodysData(Raw)'!$B$2:$B$180,"=EMP",'MoodysData(Raw)'!$D$2:$D$180,"="&amp;'Implied Productivity Ratios'!$C44)</f>
        <v>44.496788437295649</v>
      </c>
      <c r="H44">
        <f>SUMIFS('MoodysData(Raw)'!K$2:K$180,'MoodysData(Raw)'!$B$2:$B$180,"=GDP",'MoodysData(Raw)'!$D$2:$D$180,"="&amp;'Implied Productivity Ratios'!$C44)/SUMIFS('MoodysData(Raw)'!K$2:K$180,'MoodysData(Raw)'!$B$2:$B$180,"=EMP",'MoodysData(Raw)'!$D$2:$D$180,"="&amp;'Implied Productivity Ratios'!$C44)</f>
        <v>43.881057854077952</v>
      </c>
      <c r="I44">
        <f>SUMIFS('MoodysData(Raw)'!L$2:L$180,'MoodysData(Raw)'!$B$2:$B$180,"=GDP",'MoodysData(Raw)'!$D$2:$D$180,"="&amp;'Implied Productivity Ratios'!$C44)/SUMIFS('MoodysData(Raw)'!L$2:L$180,'MoodysData(Raw)'!$B$2:$B$180,"=EMP",'MoodysData(Raw)'!$D$2:$D$180,"="&amp;'Implied Productivity Ratios'!$C44)</f>
        <v>45.098435392857716</v>
      </c>
      <c r="J44">
        <f>SUMIFS('MoodysData(Raw)'!M$2:M$180,'MoodysData(Raw)'!$B$2:$B$180,"=GDP",'MoodysData(Raw)'!$D$2:$D$180,"="&amp;'Implied Productivity Ratios'!$C44)/SUMIFS('MoodysData(Raw)'!M$2:M$180,'MoodysData(Raw)'!$B$2:$B$180,"=EMP",'MoodysData(Raw)'!$D$2:$D$180,"="&amp;'Implied Productivity Ratios'!$C44)</f>
        <v>45.209377756218032</v>
      </c>
      <c r="K44">
        <f>SUMIFS('MoodysData(Raw)'!N$2:N$180,'MoodysData(Raw)'!$B$2:$B$180,"=GDP",'MoodysData(Raw)'!$D$2:$D$180,"="&amp;'Implied Productivity Ratios'!$C44)/SUMIFS('MoodysData(Raw)'!N$2:N$180,'MoodysData(Raw)'!$B$2:$B$180,"=EMP",'MoodysData(Raw)'!$D$2:$D$180,"="&amp;'Implied Productivity Ratios'!$C44)</f>
        <v>43.165139053537636</v>
      </c>
      <c r="L44">
        <f>SUMIFS('MoodysData(Raw)'!O$2:O$180,'MoodysData(Raw)'!$B$2:$B$180,"=GDP",'MoodysData(Raw)'!$D$2:$D$180,"="&amp;'Implied Productivity Ratios'!$C44)/SUMIFS('MoodysData(Raw)'!O$2:O$180,'MoodysData(Raw)'!$B$2:$B$180,"=EMP",'MoodysData(Raw)'!$D$2:$D$180,"="&amp;'Implied Productivity Ratios'!$C44)</f>
        <v>45.440492825861476</v>
      </c>
      <c r="M44">
        <f>SUMIFS('MoodysData(Raw)'!P$2:P$180,'MoodysData(Raw)'!$B$2:$B$180,"=GDP",'MoodysData(Raw)'!$D$2:$D$180,"="&amp;'Implied Productivity Ratios'!$C44)/SUMIFS('MoodysData(Raw)'!P$2:P$180,'MoodysData(Raw)'!$B$2:$B$180,"=EMP",'MoodysData(Raw)'!$D$2:$D$180,"="&amp;'Implied Productivity Ratios'!$C44)</f>
        <v>48.633205318426597</v>
      </c>
      <c r="N44">
        <f>SUMIFS('MoodysData(Raw)'!Q$2:Q$180,'MoodysData(Raw)'!$B$2:$B$180,"=GDP",'MoodysData(Raw)'!$D$2:$D$180,"="&amp;'Implied Productivity Ratios'!$C44)/SUMIFS('MoodysData(Raw)'!Q$2:Q$180,'MoodysData(Raw)'!$B$2:$B$180,"=EMP",'MoodysData(Raw)'!$D$2:$D$180,"="&amp;'Implied Productivity Ratios'!$C44)</f>
        <v>47.841830165097086</v>
      </c>
      <c r="O44">
        <f>SUMIFS('MoodysData(Raw)'!R$2:R$180,'MoodysData(Raw)'!$B$2:$B$180,"=GDP",'MoodysData(Raw)'!$D$2:$D$180,"="&amp;'Implied Productivity Ratios'!$C44)/SUMIFS('MoodysData(Raw)'!R$2:R$180,'MoodysData(Raw)'!$B$2:$B$180,"=EMP",'MoodysData(Raw)'!$D$2:$D$180,"="&amp;'Implied Productivity Ratios'!$C44)</f>
        <v>48.683600959018541</v>
      </c>
      <c r="P44">
        <f>SUMIFS('MoodysData(Raw)'!S$2:S$180,'MoodysData(Raw)'!$B$2:$B$180,"=GDP",'MoodysData(Raw)'!$D$2:$D$180,"="&amp;'Implied Productivity Ratios'!$C44)/SUMIFS('MoodysData(Raw)'!S$2:S$180,'MoodysData(Raw)'!$B$2:$B$180,"=EMP",'MoodysData(Raw)'!$D$2:$D$180,"="&amp;'Implied Productivity Ratios'!$C44)</f>
        <v>49.42294239091887</v>
      </c>
      <c r="Q44">
        <f>SUMIFS('MoodysData(Raw)'!T$2:T$180,'MoodysData(Raw)'!$B$2:$B$180,"=GDP",'MoodysData(Raw)'!$D$2:$D$180,"="&amp;'Implied Productivity Ratios'!$C44)/SUMIFS('MoodysData(Raw)'!T$2:T$180,'MoodysData(Raw)'!$B$2:$B$180,"=EMP",'MoodysData(Raw)'!$D$2:$D$180,"="&amp;'Implied Productivity Ratios'!$C44)</f>
        <v>51.686093610354888</v>
      </c>
      <c r="R44">
        <f>SUMIFS('MoodysData(Raw)'!U$2:U$180,'MoodysData(Raw)'!$B$2:$B$180,"=GDP",'MoodysData(Raw)'!$D$2:$D$180,"="&amp;'Implied Productivity Ratios'!$C44)/SUMIFS('MoodysData(Raw)'!U$2:U$180,'MoodysData(Raw)'!$B$2:$B$180,"=EMP",'MoodysData(Raw)'!$D$2:$D$180,"="&amp;'Implied Productivity Ratios'!$C44)</f>
        <v>56.702394909481669</v>
      </c>
      <c r="S44">
        <f>SUMIFS('MoodysData(Raw)'!V$2:V$180,'MoodysData(Raw)'!$B$2:$B$180,"=GDP",'MoodysData(Raw)'!$D$2:$D$180,"="&amp;'Implied Productivity Ratios'!$C44)/SUMIFS('MoodysData(Raw)'!V$2:V$180,'MoodysData(Raw)'!$B$2:$B$180,"=EMP",'MoodysData(Raw)'!$D$2:$D$180,"="&amp;'Implied Productivity Ratios'!$C44)</f>
        <v>60.56332805937496</v>
      </c>
      <c r="T44">
        <f>SUMIFS('MoodysData(Raw)'!W$2:W$180,'MoodysData(Raw)'!$B$2:$B$180,"=GDP",'MoodysData(Raw)'!$D$2:$D$180,"="&amp;'Implied Productivity Ratios'!$C44)/SUMIFS('MoodysData(Raw)'!W$2:W$180,'MoodysData(Raw)'!$B$2:$B$180,"=EMP",'MoodysData(Raw)'!$D$2:$D$180,"="&amp;'Implied Productivity Ratios'!$C44)</f>
        <v>66.936284948821864</v>
      </c>
      <c r="U44">
        <f>SUMIFS('MoodysData(Raw)'!X$2:X$180,'MoodysData(Raw)'!$B$2:$B$180,"=GDP",'MoodysData(Raw)'!$D$2:$D$180,"="&amp;'Implied Productivity Ratios'!$C44)/SUMIFS('MoodysData(Raw)'!X$2:X$180,'MoodysData(Raw)'!$B$2:$B$180,"=EMP",'MoodysData(Raw)'!$D$2:$D$180,"="&amp;'Implied Productivity Ratios'!$C44)</f>
        <v>70.23871664337851</v>
      </c>
      <c r="V44">
        <f>SUMIFS('MoodysData(Raw)'!Y$2:Y$180,'MoodysData(Raw)'!$B$2:$B$180,"=GDP",'MoodysData(Raw)'!$D$2:$D$180,"="&amp;'Implied Productivity Ratios'!$C44)/SUMIFS('MoodysData(Raw)'!Y$2:Y$180,'MoodysData(Raw)'!$B$2:$B$180,"=EMP",'MoodysData(Raw)'!$D$2:$D$180,"="&amp;'Implied Productivity Ratios'!$C44)</f>
        <v>66.941418638349816</v>
      </c>
      <c r="W44">
        <f>SUMIFS('MoodysData(Raw)'!Z$2:Z$180,'MoodysData(Raw)'!$B$2:$B$180,"=GDP",'MoodysData(Raw)'!$D$2:$D$180,"="&amp;'Implied Productivity Ratios'!$C44)/SUMIFS('MoodysData(Raw)'!Z$2:Z$180,'MoodysData(Raw)'!$B$2:$B$180,"=EMP",'MoodysData(Raw)'!$D$2:$D$180,"="&amp;'Implied Productivity Ratios'!$C44)</f>
        <v>67.147647520674937</v>
      </c>
      <c r="X44">
        <f>SUMIFS('MoodysData(Raw)'!AA$2:AA$180,'MoodysData(Raw)'!$B$2:$B$180,"=GDP",'MoodysData(Raw)'!$D$2:$D$180,"="&amp;'Implied Productivity Ratios'!$C44)/SUMIFS('MoodysData(Raw)'!AA$2:AA$180,'MoodysData(Raw)'!$B$2:$B$180,"=EMP",'MoodysData(Raw)'!$D$2:$D$180,"="&amp;'Implied Productivity Ratios'!$C44)</f>
        <v>66.949543526812789</v>
      </c>
      <c r="Y44">
        <f>SUMIFS('MoodysData(Raw)'!AB$2:AB$180,'MoodysData(Raw)'!$B$2:$B$180,"=GDP",'MoodysData(Raw)'!$D$2:$D$180,"="&amp;'Implied Productivity Ratios'!$C44)/SUMIFS('MoodysData(Raw)'!AB$2:AB$180,'MoodysData(Raw)'!$B$2:$B$180,"=EMP",'MoodysData(Raw)'!$D$2:$D$180,"="&amp;'Implied Productivity Ratios'!$C44)</f>
        <v>67.613482170624209</v>
      </c>
      <c r="Z44">
        <f>SUMIFS('MoodysData(Raw)'!AC$2:AC$180,'MoodysData(Raw)'!$B$2:$B$180,"=GDP",'MoodysData(Raw)'!$D$2:$D$180,"="&amp;'Implied Productivity Ratios'!$C44)/SUMIFS('MoodysData(Raw)'!AC$2:AC$180,'MoodysData(Raw)'!$B$2:$B$180,"=EMP",'MoodysData(Raw)'!$D$2:$D$180,"="&amp;'Implied Productivity Ratios'!$C44)</f>
        <v>67.812810323969302</v>
      </c>
      <c r="AA44">
        <f>SUMIFS('MoodysData(Raw)'!AD$2:AD$180,'MoodysData(Raw)'!$B$2:$B$180,"=GDP",'MoodysData(Raw)'!$D$2:$D$180,"="&amp;'Implied Productivity Ratios'!$C44)/SUMIFS('MoodysData(Raw)'!AD$2:AD$180,'MoodysData(Raw)'!$B$2:$B$180,"=EMP",'MoodysData(Raw)'!$D$2:$D$180,"="&amp;'Implied Productivity Ratios'!$C44)</f>
        <v>68.0103057517926</v>
      </c>
      <c r="AB44">
        <f>SUMIFS('MoodysData(Raw)'!AE$2:AE$180,'MoodysData(Raw)'!$B$2:$B$180,"=GDP",'MoodysData(Raw)'!$D$2:$D$180,"="&amp;'Implied Productivity Ratios'!$C44)/SUMIFS('MoodysData(Raw)'!AE$2:AE$180,'MoodysData(Raw)'!$B$2:$B$180,"=EMP",'MoodysData(Raw)'!$D$2:$D$180,"="&amp;'Implied Productivity Ratios'!$C44)</f>
        <v>68.202493410272851</v>
      </c>
      <c r="AC44">
        <f>SUMIFS('MoodysData(Raw)'!AF$2:AF$180,'MoodysData(Raw)'!$B$2:$B$180,"=GDP",'MoodysData(Raw)'!$D$2:$D$180,"="&amp;'Implied Productivity Ratios'!$C44)/SUMIFS('MoodysData(Raw)'!AF$2:AF$180,'MoodysData(Raw)'!$B$2:$B$180,"=EMP",'MoodysData(Raw)'!$D$2:$D$180,"="&amp;'Implied Productivity Ratios'!$C44)</f>
        <v>68.450141025689959</v>
      </c>
      <c r="AD44">
        <f>SUMIFS('MoodysData(Raw)'!AG$2:AG$180,'MoodysData(Raw)'!$B$2:$B$180,"=GDP",'MoodysData(Raw)'!$D$2:$D$180,"="&amp;'Implied Productivity Ratios'!$C44)/SUMIFS('MoodysData(Raw)'!AG$2:AG$180,'MoodysData(Raw)'!$B$2:$B$180,"=EMP",'MoodysData(Raw)'!$D$2:$D$180,"="&amp;'Implied Productivity Ratios'!$C44)</f>
        <v>68.779170962808521</v>
      </c>
      <c r="AE44">
        <f>SUMIFS('MoodysData(Raw)'!AH$2:AH$180,'MoodysData(Raw)'!$B$2:$B$180,"=GDP",'MoodysData(Raw)'!$D$2:$D$180,"="&amp;'Implied Productivity Ratios'!$C44)/SUMIFS('MoodysData(Raw)'!AH$2:AH$180,'MoodysData(Raw)'!$B$2:$B$180,"=EMP",'MoodysData(Raw)'!$D$2:$D$180,"="&amp;'Implied Productivity Ratios'!$C44)</f>
        <v>68.994495285728448</v>
      </c>
      <c r="AF44">
        <f>SUMIFS('MoodysData(Raw)'!AI$2:AI$180,'MoodysData(Raw)'!$B$2:$B$180,"=GDP",'MoodysData(Raw)'!$D$2:$D$180,"="&amp;'Implied Productivity Ratios'!$C44)/SUMIFS('MoodysData(Raw)'!AI$2:AI$180,'MoodysData(Raw)'!$B$2:$B$180,"=EMP",'MoodysData(Raw)'!$D$2:$D$180,"="&amp;'Implied Productivity Ratios'!$C44)</f>
        <v>69.174806090758779</v>
      </c>
      <c r="AG44">
        <f>SUMIFS('MoodysData(Raw)'!AJ$2:AJ$180,'MoodysData(Raw)'!$B$2:$B$180,"=GDP",'MoodysData(Raw)'!$D$2:$D$180,"="&amp;'Implied Productivity Ratios'!$C44)/SUMIFS('MoodysData(Raw)'!AJ$2:AJ$180,'MoodysData(Raw)'!$B$2:$B$180,"=EMP",'MoodysData(Raw)'!$D$2:$D$180,"="&amp;'Implied Productivity Ratios'!$C44)</f>
        <v>69.319416015119828</v>
      </c>
      <c r="AH44">
        <f>SUMIFS('MoodysData(Raw)'!AK$2:AK$180,'MoodysData(Raw)'!$B$2:$B$180,"=GDP",'MoodysData(Raw)'!$D$2:$D$180,"="&amp;'Implied Productivity Ratios'!$C44)/SUMIFS('MoodysData(Raw)'!AK$2:AK$180,'MoodysData(Raw)'!$B$2:$B$180,"=EMP",'MoodysData(Raw)'!$D$2:$D$180,"="&amp;'Implied Productivity Ratios'!$C44)</f>
        <v>69.325568222117923</v>
      </c>
      <c r="AI44">
        <f>SUMIFS('MoodysData(Raw)'!AL$2:AL$180,'MoodysData(Raw)'!$B$2:$B$180,"=GDP",'MoodysData(Raw)'!$D$2:$D$180,"="&amp;'Implied Productivity Ratios'!$C44)/SUMIFS('MoodysData(Raw)'!AL$2:AL$180,'MoodysData(Raw)'!$B$2:$B$180,"=EMP",'MoodysData(Raw)'!$D$2:$D$180,"="&amp;'Implied Productivity Ratios'!$C44)</f>
        <v>69.297955030951314</v>
      </c>
      <c r="AJ44">
        <f>SUMIFS('MoodysData(Raw)'!AM$2:AM$180,'MoodysData(Raw)'!$B$2:$B$180,"=GDP",'MoodysData(Raw)'!$D$2:$D$180,"="&amp;'Implied Productivity Ratios'!$C44)/SUMIFS('MoodysData(Raw)'!AM$2:AM$180,'MoodysData(Raw)'!$B$2:$B$180,"=EMP",'MoodysData(Raw)'!$D$2:$D$180,"="&amp;'Implied Productivity Ratios'!$C44)</f>
        <v>69.398022910620426</v>
      </c>
      <c r="AK44">
        <f>SUMIFS('MoodysData(Raw)'!AN$2:AN$180,'MoodysData(Raw)'!$B$2:$B$180,"=GDP",'MoodysData(Raw)'!$D$2:$D$180,"="&amp;'Implied Productivity Ratios'!$C44)/SUMIFS('MoodysData(Raw)'!AN$2:AN$180,'MoodysData(Raw)'!$B$2:$B$180,"=EMP",'MoodysData(Raw)'!$D$2:$D$180,"="&amp;'Implied Productivity Ratios'!$C44)</f>
        <v>69.607177233012322</v>
      </c>
      <c r="AL44">
        <f>SUMIFS('MoodysData(Raw)'!AO$2:AO$180,'MoodysData(Raw)'!$B$2:$B$180,"=GDP",'MoodysData(Raw)'!$D$2:$D$180,"="&amp;'Implied Productivity Ratios'!$C44)/SUMIFS('MoodysData(Raw)'!AO$2:AO$180,'MoodysData(Raw)'!$B$2:$B$180,"=EMP",'MoodysData(Raw)'!$D$2:$D$180,"="&amp;'Implied Productivity Ratios'!$C44)</f>
        <v>70.030608726831417</v>
      </c>
      <c r="AM44">
        <f>SUMIFS('MoodysData(Raw)'!AP$2:AP$180,'MoodysData(Raw)'!$B$2:$B$180,"=GDP",'MoodysData(Raw)'!$D$2:$D$180,"="&amp;'Implied Productivity Ratios'!$C44)/SUMIFS('MoodysData(Raw)'!AP$2:AP$180,'MoodysData(Raw)'!$B$2:$B$180,"=EMP",'MoodysData(Raw)'!$D$2:$D$180,"="&amp;'Implied Productivity Ratios'!$C44)</f>
        <v>70.529509499457376</v>
      </c>
      <c r="AN44">
        <f>SUMIFS('MoodysData(Raw)'!AQ$2:AQ$180,'MoodysData(Raw)'!$B$2:$B$180,"=GDP",'MoodysData(Raw)'!$D$2:$D$180,"="&amp;'Implied Productivity Ratios'!$C44)/SUMIFS('MoodysData(Raw)'!AQ$2:AQ$180,'MoodysData(Raw)'!$B$2:$B$180,"=EMP",'MoodysData(Raw)'!$D$2:$D$180,"="&amp;'Implied Productivity Ratios'!$C44)</f>
        <v>71.043383281124662</v>
      </c>
      <c r="AO44">
        <f>SUMIFS('MoodysData(Raw)'!AR$2:AR$180,'MoodysData(Raw)'!$B$2:$B$180,"=GDP",'MoodysData(Raw)'!$D$2:$D$180,"="&amp;'Implied Productivity Ratios'!$C44)/SUMIFS('MoodysData(Raw)'!AR$2:AR$180,'MoodysData(Raw)'!$B$2:$B$180,"=EMP",'MoodysData(Raw)'!$D$2:$D$180,"="&amp;'Implied Productivity Ratios'!$C44)</f>
        <v>71.53383389098201</v>
      </c>
      <c r="AP44">
        <f>SUMIFS('MoodysData(Raw)'!AS$2:AS$180,'MoodysData(Raw)'!$B$2:$B$180,"=GDP",'MoodysData(Raw)'!$D$2:$D$180,"="&amp;'Implied Productivity Ratios'!$C44)/SUMIFS('MoodysData(Raw)'!AS$2:AS$180,'MoodysData(Raw)'!$B$2:$B$180,"=EMP",'MoodysData(Raw)'!$D$2:$D$180,"="&amp;'Implied Productivity Ratios'!$C44)</f>
        <v>72.043023860137041</v>
      </c>
      <c r="AQ44">
        <f>SUMIFS('MoodysData(Raw)'!AT$2:AT$180,'MoodysData(Raw)'!$B$2:$B$180,"=GDP",'MoodysData(Raw)'!$D$2:$D$180,"="&amp;'Implied Productivity Ratios'!$C44)/SUMIFS('MoodysData(Raw)'!AT$2:AT$180,'MoodysData(Raw)'!$B$2:$B$180,"=EMP",'MoodysData(Raw)'!$D$2:$D$180,"="&amp;'Implied Productivity Ratios'!$C44)</f>
        <v>72.602513047515373</v>
      </c>
      <c r="AR44">
        <f>SUMIFS('MoodysData(Raw)'!AU$2:AU$180,'MoodysData(Raw)'!$B$2:$B$180,"=GDP",'MoodysData(Raw)'!$D$2:$D$180,"="&amp;'Implied Productivity Ratios'!$C44)/SUMIFS('MoodysData(Raw)'!AU$2:AU$180,'MoodysData(Raw)'!$B$2:$B$180,"=EMP",'MoodysData(Raw)'!$D$2:$D$180,"="&amp;'Implied Productivity Ratios'!$C44)</f>
        <v>73.235427363637456</v>
      </c>
      <c r="AS44">
        <f>SUMIFS('MoodysData(Raw)'!AV$2:AV$180,'MoodysData(Raw)'!$B$2:$B$180,"=GDP",'MoodysData(Raw)'!$D$2:$D$180,"="&amp;'Implied Productivity Ratios'!$C44)/SUMIFS('MoodysData(Raw)'!AV$2:AV$180,'MoodysData(Raw)'!$B$2:$B$180,"=EMP",'MoodysData(Raw)'!$D$2:$D$180,"="&amp;'Implied Productivity Ratios'!$C44)</f>
        <v>73.930750817945352</v>
      </c>
      <c r="AT44">
        <f>SUMIFS('MoodysData(Raw)'!AW$2:AW$180,'MoodysData(Raw)'!$B$2:$B$180,"=GDP",'MoodysData(Raw)'!$D$2:$D$180,"="&amp;'Implied Productivity Ratios'!$C44)/SUMIFS('MoodysData(Raw)'!AW$2:AW$180,'MoodysData(Raw)'!$B$2:$B$180,"=EMP",'MoodysData(Raw)'!$D$2:$D$180,"="&amp;'Implied Productivity Ratios'!$C44)</f>
        <v>74.673624276919227</v>
      </c>
      <c r="AU44">
        <f>SUMIFS('MoodysData(Raw)'!AX$2:AX$180,'MoodysData(Raw)'!$B$2:$B$180,"=GDP",'MoodysData(Raw)'!$D$2:$D$180,"="&amp;'Implied Productivity Ratios'!$C44)/SUMIFS('MoodysData(Raw)'!AX$2:AX$180,'MoodysData(Raw)'!$B$2:$B$180,"=EMP",'MoodysData(Raw)'!$D$2:$D$180,"="&amp;'Implied Productivity Ratios'!$C44)</f>
        <v>75.512503714853423</v>
      </c>
      <c r="AV44">
        <f>SUMIFS('MoodysData(Raw)'!AY$2:AY$180,'MoodysData(Raw)'!$B$2:$B$180,"=GDP",'MoodysData(Raw)'!$D$2:$D$180,"="&amp;'Implied Productivity Ratios'!$C44)/SUMIFS('MoodysData(Raw)'!AY$2:AY$180,'MoodysData(Raw)'!$B$2:$B$180,"=EMP",'MoodysData(Raw)'!$D$2:$D$180,"="&amp;'Implied Productivity Ratios'!$C44)</f>
        <v>76.48300714406416</v>
      </c>
      <c r="AW44">
        <f>SUMIFS('MoodysData(Raw)'!AZ$2:AZ$180,'MoodysData(Raw)'!$B$2:$B$180,"=GDP",'MoodysData(Raw)'!$D$2:$D$180,"="&amp;'Implied Productivity Ratios'!$C44)/SUMIFS('MoodysData(Raw)'!AZ$2:AZ$180,'MoodysData(Raw)'!$B$2:$B$180,"=EMP",'MoodysData(Raw)'!$D$2:$D$180,"="&amp;'Implied Productivity Ratios'!$C44)</f>
        <v>77.537690731040769</v>
      </c>
      <c r="AX44">
        <f>SUMIFS('MoodysData(Raw)'!BA$2:BA$180,'MoodysData(Raw)'!$B$2:$B$180,"=GDP",'MoodysData(Raw)'!$D$2:$D$180,"="&amp;'Implied Productivity Ratios'!$C44)/SUMIFS('MoodysData(Raw)'!BA$2:BA$180,'MoodysData(Raw)'!$B$2:$B$180,"=EMP",'MoodysData(Raw)'!$D$2:$D$180,"="&amp;'Implied Productivity Ratios'!$C44)</f>
        <v>78.684820339378874</v>
      </c>
      <c r="AY44">
        <f>SUMIFS('MoodysData(Raw)'!BB$2:BB$180,'MoodysData(Raw)'!$B$2:$B$180,"=GDP",'MoodysData(Raw)'!$D$2:$D$180,"="&amp;'Implied Productivity Ratios'!$C44)/SUMIFS('MoodysData(Raw)'!BB$2:BB$180,'MoodysData(Raw)'!$B$2:$B$180,"=EMP",'MoodysData(Raw)'!$D$2:$D$180,"="&amp;'Implied Productivity Ratios'!$C44)</f>
        <v>79.935313530675145</v>
      </c>
      <c r="AZ44">
        <f>SUMIFS('MoodysData(Raw)'!BC$2:BC$180,'MoodysData(Raw)'!$B$2:$B$180,"=GDP",'MoodysData(Raw)'!$D$2:$D$180,"="&amp;'Implied Productivity Ratios'!$C44)/SUMIFS('MoodysData(Raw)'!BC$2:BC$180,'MoodysData(Raw)'!$B$2:$B$180,"=EMP",'MoodysData(Raw)'!$D$2:$D$180,"="&amp;'Implied Productivity Ratios'!$C44)</f>
        <v>81.320908667633574</v>
      </c>
      <c r="BA44">
        <f>SUMIFS('MoodysData(Raw)'!BD$2:BD$180,'MoodysData(Raw)'!$B$2:$B$180,"=GDP",'MoodysData(Raw)'!$D$2:$D$180,"="&amp;'Implied Productivity Ratios'!$C44)/SUMIFS('MoodysData(Raw)'!BD$2:BD$180,'MoodysData(Raw)'!$B$2:$B$180,"=EMP",'MoodysData(Raw)'!$D$2:$D$180,"="&amp;'Implied Productivity Ratios'!$C44)</f>
        <v>82.866576379124979</v>
      </c>
      <c r="BB44">
        <f>SUMIFS('MoodysData(Raw)'!BE$2:BE$180,'MoodysData(Raw)'!$B$2:$B$180,"=GDP",'MoodysData(Raw)'!$D$2:$D$180,"="&amp;'Implied Productivity Ratios'!$C44)/SUMIFS('MoodysData(Raw)'!BE$2:BE$180,'MoodysData(Raw)'!$B$2:$B$180,"=EMP",'MoodysData(Raw)'!$D$2:$D$180,"="&amp;'Implied Productivity Ratios'!$C44)</f>
        <v>84.56371482881444</v>
      </c>
      <c r="BC44">
        <f>SUMIFS('MoodysData(Raw)'!BF$2:BF$180,'MoodysData(Raw)'!$B$2:$B$180,"=GDP",'MoodysData(Raw)'!$D$2:$D$180,"="&amp;'Implied Productivity Ratios'!$C44)/SUMIFS('MoodysData(Raw)'!BF$2:BF$180,'MoodysData(Raw)'!$B$2:$B$180,"=EMP",'MoodysData(Raw)'!$D$2:$D$180,"="&amp;'Implied Productivity Ratios'!$C44)</f>
        <v>86.419453654467731</v>
      </c>
      <c r="BD44" s="5">
        <f t="shared" ref="BD44:BH44" si="38">BC44+($BC44-$AX44)/5</f>
        <v>87.966380317485502</v>
      </c>
      <c r="BE44" s="5">
        <f t="shared" si="38"/>
        <v>89.513306980503273</v>
      </c>
      <c r="BF44" s="5">
        <f t="shared" si="38"/>
        <v>91.060233643521045</v>
      </c>
      <c r="BG44" s="5">
        <f t="shared" si="38"/>
        <v>92.607160306538816</v>
      </c>
      <c r="BH44" s="5">
        <f t="shared" si="38"/>
        <v>94.154086969556587</v>
      </c>
    </row>
    <row r="45" spans="3:60">
      <c r="C45">
        <v>451</v>
      </c>
      <c r="D45" t="s">
        <v>151</v>
      </c>
      <c r="E45">
        <f>SUMIFS('MoodysData(Raw)'!H$2:H$180,'MoodysData(Raw)'!$B$2:$B$180,"=GDP",'MoodysData(Raw)'!$D$2:$D$180,"="&amp;'Implied Productivity Ratios'!$C45)/SUMIFS('MoodysData(Raw)'!H$2:H$180,'MoodysData(Raw)'!$B$2:$B$180,"=EMP",'MoodysData(Raw)'!$D$2:$D$180,"="&amp;'Implied Productivity Ratios'!$C45)</f>
        <v>30.440062302090304</v>
      </c>
      <c r="F45">
        <f>SUMIFS('MoodysData(Raw)'!I$2:I$180,'MoodysData(Raw)'!$B$2:$B$180,"=GDP",'MoodysData(Raw)'!$D$2:$D$180,"="&amp;'Implied Productivity Ratios'!$C45)/SUMIFS('MoodysData(Raw)'!I$2:I$180,'MoodysData(Raw)'!$B$2:$B$180,"=EMP",'MoodysData(Raw)'!$D$2:$D$180,"="&amp;'Implied Productivity Ratios'!$C45)</f>
        <v>31.080471764279594</v>
      </c>
      <c r="G45">
        <f>SUMIFS('MoodysData(Raw)'!J$2:J$180,'MoodysData(Raw)'!$B$2:$B$180,"=GDP",'MoodysData(Raw)'!$D$2:$D$180,"="&amp;'Implied Productivity Ratios'!$C45)/SUMIFS('MoodysData(Raw)'!J$2:J$180,'MoodysData(Raw)'!$B$2:$B$180,"=EMP",'MoodysData(Raw)'!$D$2:$D$180,"="&amp;'Implied Productivity Ratios'!$C45)</f>
        <v>30.964668152080431</v>
      </c>
      <c r="H45">
        <f>SUMIFS('MoodysData(Raw)'!K$2:K$180,'MoodysData(Raw)'!$B$2:$B$180,"=GDP",'MoodysData(Raw)'!$D$2:$D$180,"="&amp;'Implied Productivity Ratios'!$C45)/SUMIFS('MoodysData(Raw)'!K$2:K$180,'MoodysData(Raw)'!$B$2:$B$180,"=EMP",'MoodysData(Raw)'!$D$2:$D$180,"="&amp;'Implied Productivity Ratios'!$C45)</f>
        <v>29.782435809333421</v>
      </c>
      <c r="I45">
        <f>SUMIFS('MoodysData(Raw)'!L$2:L$180,'MoodysData(Raw)'!$B$2:$B$180,"=GDP",'MoodysData(Raw)'!$D$2:$D$180,"="&amp;'Implied Productivity Ratios'!$C45)/SUMIFS('MoodysData(Raw)'!L$2:L$180,'MoodysData(Raw)'!$B$2:$B$180,"=EMP",'MoodysData(Raw)'!$D$2:$D$180,"="&amp;'Implied Productivity Ratios'!$C45)</f>
        <v>30.267699232107304</v>
      </c>
      <c r="J45">
        <f>SUMIFS('MoodysData(Raw)'!M$2:M$180,'MoodysData(Raw)'!$B$2:$B$180,"=GDP",'MoodysData(Raw)'!$D$2:$D$180,"="&amp;'Implied Productivity Ratios'!$C45)/SUMIFS('MoodysData(Raw)'!M$2:M$180,'MoodysData(Raw)'!$B$2:$B$180,"=EMP",'MoodysData(Raw)'!$D$2:$D$180,"="&amp;'Implied Productivity Ratios'!$C45)</f>
        <v>31.693510282550125</v>
      </c>
      <c r="K45">
        <f>SUMIFS('MoodysData(Raw)'!N$2:N$180,'MoodysData(Raw)'!$B$2:$B$180,"=GDP",'MoodysData(Raw)'!$D$2:$D$180,"="&amp;'Implied Productivity Ratios'!$C45)/SUMIFS('MoodysData(Raw)'!N$2:N$180,'MoodysData(Raw)'!$B$2:$B$180,"=EMP",'MoodysData(Raw)'!$D$2:$D$180,"="&amp;'Implied Productivity Ratios'!$C45)</f>
        <v>32.823519257851494</v>
      </c>
      <c r="L45">
        <f>SUMIFS('MoodysData(Raw)'!O$2:O$180,'MoodysData(Raw)'!$B$2:$B$180,"=GDP",'MoodysData(Raw)'!$D$2:$D$180,"="&amp;'Implied Productivity Ratios'!$C45)/SUMIFS('MoodysData(Raw)'!O$2:O$180,'MoodysData(Raw)'!$B$2:$B$180,"=EMP",'MoodysData(Raw)'!$D$2:$D$180,"="&amp;'Implied Productivity Ratios'!$C45)</f>
        <v>33.449208729025223</v>
      </c>
      <c r="M45">
        <f>SUMIFS('MoodysData(Raw)'!P$2:P$180,'MoodysData(Raw)'!$B$2:$B$180,"=GDP",'MoodysData(Raw)'!$D$2:$D$180,"="&amp;'Implied Productivity Ratios'!$C45)/SUMIFS('MoodysData(Raw)'!P$2:P$180,'MoodysData(Raw)'!$B$2:$B$180,"=EMP",'MoodysData(Raw)'!$D$2:$D$180,"="&amp;'Implied Productivity Ratios'!$C45)</f>
        <v>34.622520289852673</v>
      </c>
      <c r="N45">
        <f>SUMIFS('MoodysData(Raw)'!Q$2:Q$180,'MoodysData(Raw)'!$B$2:$B$180,"=GDP",'MoodysData(Raw)'!$D$2:$D$180,"="&amp;'Implied Productivity Ratios'!$C45)/SUMIFS('MoodysData(Raw)'!Q$2:Q$180,'MoodysData(Raw)'!$B$2:$B$180,"=EMP",'MoodysData(Raw)'!$D$2:$D$180,"="&amp;'Implied Productivity Ratios'!$C45)</f>
        <v>35.329059112028908</v>
      </c>
      <c r="O45">
        <f>SUMIFS('MoodysData(Raw)'!R$2:R$180,'MoodysData(Raw)'!$B$2:$B$180,"=GDP",'MoodysData(Raw)'!$D$2:$D$180,"="&amp;'Implied Productivity Ratios'!$C45)/SUMIFS('MoodysData(Raw)'!R$2:R$180,'MoodysData(Raw)'!$B$2:$B$180,"=EMP",'MoodysData(Raw)'!$D$2:$D$180,"="&amp;'Implied Productivity Ratios'!$C45)</f>
        <v>37.496591772582207</v>
      </c>
      <c r="P45">
        <f>SUMIFS('MoodysData(Raw)'!S$2:S$180,'MoodysData(Raw)'!$B$2:$B$180,"=GDP",'MoodysData(Raw)'!$D$2:$D$180,"="&amp;'Implied Productivity Ratios'!$C45)/SUMIFS('MoodysData(Raw)'!S$2:S$180,'MoodysData(Raw)'!$B$2:$B$180,"=EMP",'MoodysData(Raw)'!$D$2:$D$180,"="&amp;'Implied Productivity Ratios'!$C45)</f>
        <v>39.521096321037376</v>
      </c>
      <c r="Q45">
        <f>SUMIFS('MoodysData(Raw)'!T$2:T$180,'MoodysData(Raw)'!$B$2:$B$180,"=GDP",'MoodysData(Raw)'!$D$2:$D$180,"="&amp;'Implied Productivity Ratios'!$C45)/SUMIFS('MoodysData(Raw)'!T$2:T$180,'MoodysData(Raw)'!$B$2:$B$180,"=EMP",'MoodysData(Raw)'!$D$2:$D$180,"="&amp;'Implied Productivity Ratios'!$C45)</f>
        <v>39.636254311629692</v>
      </c>
      <c r="R45">
        <f>SUMIFS('MoodysData(Raw)'!U$2:U$180,'MoodysData(Raw)'!$B$2:$B$180,"=GDP",'MoodysData(Raw)'!$D$2:$D$180,"="&amp;'Implied Productivity Ratios'!$C45)/SUMIFS('MoodysData(Raw)'!U$2:U$180,'MoodysData(Raw)'!$B$2:$B$180,"=EMP",'MoodysData(Raw)'!$D$2:$D$180,"="&amp;'Implied Productivity Ratios'!$C45)</f>
        <v>42.283982997357597</v>
      </c>
      <c r="S45">
        <f>SUMIFS('MoodysData(Raw)'!V$2:V$180,'MoodysData(Raw)'!$B$2:$B$180,"=GDP",'MoodysData(Raw)'!$D$2:$D$180,"="&amp;'Implied Productivity Ratios'!$C45)/SUMIFS('MoodysData(Raw)'!V$2:V$180,'MoodysData(Raw)'!$B$2:$B$180,"=EMP",'MoodysData(Raw)'!$D$2:$D$180,"="&amp;'Implied Productivity Ratios'!$C45)</f>
        <v>46.367672734945849</v>
      </c>
      <c r="T45">
        <f>SUMIFS('MoodysData(Raw)'!W$2:W$180,'MoodysData(Raw)'!$B$2:$B$180,"=GDP",'MoodysData(Raw)'!$D$2:$D$180,"="&amp;'Implied Productivity Ratios'!$C45)/SUMIFS('MoodysData(Raw)'!W$2:W$180,'MoodysData(Raw)'!$B$2:$B$180,"=EMP",'MoodysData(Raw)'!$D$2:$D$180,"="&amp;'Implied Productivity Ratios'!$C45)</f>
        <v>47.580130684207433</v>
      </c>
      <c r="U45">
        <f>SUMIFS('MoodysData(Raw)'!X$2:X$180,'MoodysData(Raw)'!$B$2:$B$180,"=GDP",'MoodysData(Raw)'!$D$2:$D$180,"="&amp;'Implied Productivity Ratios'!$C45)/SUMIFS('MoodysData(Raw)'!X$2:X$180,'MoodysData(Raw)'!$B$2:$B$180,"=EMP",'MoodysData(Raw)'!$D$2:$D$180,"="&amp;'Implied Productivity Ratios'!$C45)</f>
        <v>47.358564350595728</v>
      </c>
      <c r="V45">
        <f>SUMIFS('MoodysData(Raw)'!Y$2:Y$180,'MoodysData(Raw)'!$B$2:$B$180,"=GDP",'MoodysData(Raw)'!$D$2:$D$180,"="&amp;'Implied Productivity Ratios'!$C45)/SUMIFS('MoodysData(Raw)'!Y$2:Y$180,'MoodysData(Raw)'!$B$2:$B$180,"=EMP",'MoodysData(Raw)'!$D$2:$D$180,"="&amp;'Implied Productivity Ratios'!$C45)</f>
        <v>48.352456100828775</v>
      </c>
      <c r="W45">
        <f>SUMIFS('MoodysData(Raw)'!Z$2:Z$180,'MoodysData(Raw)'!$B$2:$B$180,"=GDP",'MoodysData(Raw)'!$D$2:$D$180,"="&amp;'Implied Productivity Ratios'!$C45)/SUMIFS('MoodysData(Raw)'!Z$2:Z$180,'MoodysData(Raw)'!$B$2:$B$180,"=EMP",'MoodysData(Raw)'!$D$2:$D$180,"="&amp;'Implied Productivity Ratios'!$C45)</f>
        <v>47.47868671003247</v>
      </c>
      <c r="X45">
        <f>SUMIFS('MoodysData(Raw)'!AA$2:AA$180,'MoodysData(Raw)'!$B$2:$B$180,"=GDP",'MoodysData(Raw)'!$D$2:$D$180,"="&amp;'Implied Productivity Ratios'!$C45)/SUMIFS('MoodysData(Raw)'!AA$2:AA$180,'MoodysData(Raw)'!$B$2:$B$180,"=EMP",'MoodysData(Raw)'!$D$2:$D$180,"="&amp;'Implied Productivity Ratios'!$C45)</f>
        <v>46.6728481230762</v>
      </c>
      <c r="Y45">
        <f>SUMIFS('MoodysData(Raw)'!AB$2:AB$180,'MoodysData(Raw)'!$B$2:$B$180,"=GDP",'MoodysData(Raw)'!$D$2:$D$180,"="&amp;'Implied Productivity Ratios'!$C45)/SUMIFS('MoodysData(Raw)'!AB$2:AB$180,'MoodysData(Raw)'!$B$2:$B$180,"=EMP",'MoodysData(Raw)'!$D$2:$D$180,"="&amp;'Implied Productivity Ratios'!$C45)</f>
        <v>47.527694059994985</v>
      </c>
      <c r="Z45">
        <f>SUMIFS('MoodysData(Raw)'!AC$2:AC$180,'MoodysData(Raw)'!$B$2:$B$180,"=GDP",'MoodysData(Raw)'!$D$2:$D$180,"="&amp;'Implied Productivity Ratios'!$C45)/SUMIFS('MoodysData(Raw)'!AC$2:AC$180,'MoodysData(Raw)'!$B$2:$B$180,"=EMP",'MoodysData(Raw)'!$D$2:$D$180,"="&amp;'Implied Productivity Ratios'!$C45)</f>
        <v>48.353851144775511</v>
      </c>
      <c r="AA45">
        <f>SUMIFS('MoodysData(Raw)'!AD$2:AD$180,'MoodysData(Raw)'!$B$2:$B$180,"=GDP",'MoodysData(Raw)'!$D$2:$D$180,"="&amp;'Implied Productivity Ratios'!$C45)/SUMIFS('MoodysData(Raw)'!AD$2:AD$180,'MoodysData(Raw)'!$B$2:$B$180,"=EMP",'MoodysData(Raw)'!$D$2:$D$180,"="&amp;'Implied Productivity Ratios'!$C45)</f>
        <v>49.175263185004098</v>
      </c>
      <c r="AB45">
        <f>SUMIFS('MoodysData(Raw)'!AE$2:AE$180,'MoodysData(Raw)'!$B$2:$B$180,"=GDP",'MoodysData(Raw)'!$D$2:$D$180,"="&amp;'Implied Productivity Ratios'!$C45)/SUMIFS('MoodysData(Raw)'!AE$2:AE$180,'MoodysData(Raw)'!$B$2:$B$180,"=EMP",'MoodysData(Raw)'!$D$2:$D$180,"="&amp;'Implied Productivity Ratios'!$C45)</f>
        <v>49.984248398776941</v>
      </c>
      <c r="AC45">
        <f>SUMIFS('MoodysData(Raw)'!AF$2:AF$180,'MoodysData(Raw)'!$B$2:$B$180,"=GDP",'MoodysData(Raw)'!$D$2:$D$180,"="&amp;'Implied Productivity Ratios'!$C45)/SUMIFS('MoodysData(Raw)'!AF$2:AF$180,'MoodysData(Raw)'!$B$2:$B$180,"=EMP",'MoodysData(Raw)'!$D$2:$D$180,"="&amp;'Implied Productivity Ratios'!$C45)</f>
        <v>50.822813815191232</v>
      </c>
      <c r="AD45">
        <f>SUMIFS('MoodysData(Raw)'!AG$2:AG$180,'MoodysData(Raw)'!$B$2:$B$180,"=GDP",'MoodysData(Raw)'!$D$2:$D$180,"="&amp;'Implied Productivity Ratios'!$C45)/SUMIFS('MoodysData(Raw)'!AG$2:AG$180,'MoodysData(Raw)'!$B$2:$B$180,"=EMP",'MoodysData(Raw)'!$D$2:$D$180,"="&amp;'Implied Productivity Ratios'!$C45)</f>
        <v>51.707260394422811</v>
      </c>
      <c r="AE45">
        <f>SUMIFS('MoodysData(Raw)'!AH$2:AH$180,'MoodysData(Raw)'!$B$2:$B$180,"=GDP",'MoodysData(Raw)'!$D$2:$D$180,"="&amp;'Implied Productivity Ratios'!$C45)/SUMIFS('MoodysData(Raw)'!AH$2:AH$180,'MoodysData(Raw)'!$B$2:$B$180,"=EMP",'MoodysData(Raw)'!$D$2:$D$180,"="&amp;'Implied Productivity Ratios'!$C45)</f>
        <v>52.494391190732152</v>
      </c>
      <c r="AF45">
        <f>SUMIFS('MoodysData(Raw)'!AI$2:AI$180,'MoodysData(Raw)'!$B$2:$B$180,"=GDP",'MoodysData(Raw)'!$D$2:$D$180,"="&amp;'Implied Productivity Ratios'!$C45)/SUMIFS('MoodysData(Raw)'!AI$2:AI$180,'MoodysData(Raw)'!$B$2:$B$180,"=EMP",'MoodysData(Raw)'!$D$2:$D$180,"="&amp;'Implied Productivity Ratios'!$C45)</f>
        <v>53.241795236022959</v>
      </c>
      <c r="AG45">
        <f>SUMIFS('MoodysData(Raw)'!AJ$2:AJ$180,'MoodysData(Raw)'!$B$2:$B$180,"=GDP",'MoodysData(Raw)'!$D$2:$D$180,"="&amp;'Implied Productivity Ratios'!$C45)/SUMIFS('MoodysData(Raw)'!AJ$2:AJ$180,'MoodysData(Raw)'!$B$2:$B$180,"=EMP",'MoodysData(Raw)'!$D$2:$D$180,"="&amp;'Implied Productivity Ratios'!$C45)</f>
        <v>53.947965136682868</v>
      </c>
      <c r="AH45">
        <f>SUMIFS('MoodysData(Raw)'!AK$2:AK$180,'MoodysData(Raw)'!$B$2:$B$180,"=GDP",'MoodysData(Raw)'!$D$2:$D$180,"="&amp;'Implied Productivity Ratios'!$C45)/SUMIFS('MoodysData(Raw)'!AK$2:AK$180,'MoodysData(Raw)'!$B$2:$B$180,"=EMP",'MoodysData(Raw)'!$D$2:$D$180,"="&amp;'Implied Productivity Ratios'!$C45)</f>
        <v>54.530385800034871</v>
      </c>
      <c r="AI45">
        <f>SUMIFS('MoodysData(Raw)'!AL$2:AL$180,'MoodysData(Raw)'!$B$2:$B$180,"=GDP",'MoodysData(Raw)'!$D$2:$D$180,"="&amp;'Implied Productivity Ratios'!$C45)/SUMIFS('MoodysData(Raw)'!AL$2:AL$180,'MoodysData(Raw)'!$B$2:$B$180,"=EMP",'MoodysData(Raw)'!$D$2:$D$180,"="&amp;'Implied Productivity Ratios'!$C45)</f>
        <v>55.067227679801029</v>
      </c>
      <c r="AJ45">
        <f>SUMIFS('MoodysData(Raw)'!AM$2:AM$180,'MoodysData(Raw)'!$B$2:$B$180,"=GDP",'MoodysData(Raw)'!$D$2:$D$180,"="&amp;'Implied Productivity Ratios'!$C45)/SUMIFS('MoodysData(Raw)'!AM$2:AM$180,'MoodysData(Raw)'!$B$2:$B$180,"=EMP",'MoodysData(Raw)'!$D$2:$D$180,"="&amp;'Implied Productivity Ratios'!$C45)</f>
        <v>55.685593348323657</v>
      </c>
      <c r="AK45">
        <f>SUMIFS('MoodysData(Raw)'!AN$2:AN$180,'MoodysData(Raw)'!$B$2:$B$180,"=GDP",'MoodysData(Raw)'!$D$2:$D$180,"="&amp;'Implied Productivity Ratios'!$C45)/SUMIFS('MoodysData(Raw)'!AN$2:AN$180,'MoodysData(Raw)'!$B$2:$B$180,"=EMP",'MoodysData(Raw)'!$D$2:$D$180,"="&amp;'Implied Productivity Ratios'!$C45)</f>
        <v>56.373246746670716</v>
      </c>
      <c r="AL45">
        <f>SUMIFS('MoodysData(Raw)'!AO$2:AO$180,'MoodysData(Raw)'!$B$2:$B$180,"=GDP",'MoodysData(Raw)'!$D$2:$D$180,"="&amp;'Implied Productivity Ratios'!$C45)/SUMIFS('MoodysData(Raw)'!AO$2:AO$180,'MoodysData(Raw)'!$B$2:$B$180,"=EMP",'MoodysData(Raw)'!$D$2:$D$180,"="&amp;'Implied Productivity Ratios'!$C45)</f>
        <v>57.217377739480355</v>
      </c>
      <c r="AM45">
        <f>SUMIFS('MoodysData(Raw)'!AP$2:AP$180,'MoodysData(Raw)'!$B$2:$B$180,"=GDP",'MoodysData(Raw)'!$D$2:$D$180,"="&amp;'Implied Productivity Ratios'!$C45)/SUMIFS('MoodysData(Raw)'!AP$2:AP$180,'MoodysData(Raw)'!$B$2:$B$180,"=EMP",'MoodysData(Raw)'!$D$2:$D$180,"="&amp;'Implied Productivity Ratios'!$C45)</f>
        <v>58.107102167261928</v>
      </c>
      <c r="AN45">
        <f>SUMIFS('MoodysData(Raw)'!AQ$2:AQ$180,'MoodysData(Raw)'!$B$2:$B$180,"=GDP",'MoodysData(Raw)'!$D$2:$D$180,"="&amp;'Implied Productivity Ratios'!$C45)/SUMIFS('MoodysData(Raw)'!AQ$2:AQ$180,'MoodysData(Raw)'!$B$2:$B$180,"=EMP",'MoodysData(Raw)'!$D$2:$D$180,"="&amp;'Implied Productivity Ratios'!$C45)</f>
        <v>58.992679569265341</v>
      </c>
      <c r="AO45">
        <f>SUMIFS('MoodysData(Raw)'!AR$2:AR$180,'MoodysData(Raw)'!$B$2:$B$180,"=GDP",'MoodysData(Raw)'!$D$2:$D$180,"="&amp;'Implied Productivity Ratios'!$C45)/SUMIFS('MoodysData(Raw)'!AR$2:AR$180,'MoodysData(Raw)'!$B$2:$B$180,"=EMP",'MoodysData(Raw)'!$D$2:$D$180,"="&amp;'Implied Productivity Ratios'!$C45)</f>
        <v>59.840675899537061</v>
      </c>
      <c r="AP45">
        <f>SUMIFS('MoodysData(Raw)'!AS$2:AS$180,'MoodysData(Raw)'!$B$2:$B$180,"=GDP",'MoodysData(Raw)'!$D$2:$D$180,"="&amp;'Implied Productivity Ratios'!$C45)/SUMIFS('MoodysData(Raw)'!AS$2:AS$180,'MoodysData(Raw)'!$B$2:$B$180,"=EMP",'MoodysData(Raw)'!$D$2:$D$180,"="&amp;'Implied Productivity Ratios'!$C45)</f>
        <v>60.685262558880737</v>
      </c>
      <c r="AQ45">
        <f>SUMIFS('MoodysData(Raw)'!AT$2:AT$180,'MoodysData(Raw)'!$B$2:$B$180,"=GDP",'MoodysData(Raw)'!$D$2:$D$180,"="&amp;'Implied Productivity Ratios'!$C45)/SUMIFS('MoodysData(Raw)'!AT$2:AT$180,'MoodysData(Raw)'!$B$2:$B$180,"=EMP",'MoodysData(Raw)'!$D$2:$D$180,"="&amp;'Implied Productivity Ratios'!$C45)</f>
        <v>61.553067841991798</v>
      </c>
      <c r="AR45">
        <f>SUMIFS('MoodysData(Raw)'!AU$2:AU$180,'MoodysData(Raw)'!$B$2:$B$180,"=GDP",'MoodysData(Raw)'!$D$2:$D$180,"="&amp;'Implied Productivity Ratios'!$C45)/SUMIFS('MoodysData(Raw)'!AU$2:AU$180,'MoodysData(Raw)'!$B$2:$B$180,"=EMP",'MoodysData(Raw)'!$D$2:$D$180,"="&amp;'Implied Productivity Ratios'!$C45)</f>
        <v>62.46285209154108</v>
      </c>
      <c r="AS45">
        <f>SUMIFS('MoodysData(Raw)'!AV$2:AV$180,'MoodysData(Raw)'!$B$2:$B$180,"=GDP",'MoodysData(Raw)'!$D$2:$D$180,"="&amp;'Implied Productivity Ratios'!$C45)/SUMIFS('MoodysData(Raw)'!AV$2:AV$180,'MoodysData(Raw)'!$B$2:$B$180,"=EMP",'MoodysData(Raw)'!$D$2:$D$180,"="&amp;'Implied Productivity Ratios'!$C45)</f>
        <v>63.404976145372906</v>
      </c>
      <c r="AT45">
        <f>SUMIFS('MoodysData(Raw)'!AW$2:AW$180,'MoodysData(Raw)'!$B$2:$B$180,"=GDP",'MoodysData(Raw)'!$D$2:$D$180,"="&amp;'Implied Productivity Ratios'!$C45)/SUMIFS('MoodysData(Raw)'!AW$2:AW$180,'MoodysData(Raw)'!$B$2:$B$180,"=EMP",'MoodysData(Raw)'!$D$2:$D$180,"="&amp;'Implied Productivity Ratios'!$C45)</f>
        <v>64.366102225021919</v>
      </c>
      <c r="AU45">
        <f>SUMIFS('MoodysData(Raw)'!AX$2:AX$180,'MoodysData(Raw)'!$B$2:$B$180,"=GDP",'MoodysData(Raw)'!$D$2:$D$180,"="&amp;'Implied Productivity Ratios'!$C45)/SUMIFS('MoodysData(Raw)'!AX$2:AX$180,'MoodysData(Raw)'!$B$2:$B$180,"=EMP",'MoodysData(Raw)'!$D$2:$D$180,"="&amp;'Implied Productivity Ratios'!$C45)</f>
        <v>65.388228057598525</v>
      </c>
      <c r="AV45">
        <f>SUMIFS('MoodysData(Raw)'!AY$2:AY$180,'MoodysData(Raw)'!$B$2:$B$180,"=GDP",'MoodysData(Raw)'!$D$2:$D$180,"="&amp;'Implied Productivity Ratios'!$C45)/SUMIFS('MoodysData(Raw)'!AY$2:AY$180,'MoodysData(Raw)'!$B$2:$B$180,"=EMP",'MoodysData(Raw)'!$D$2:$D$180,"="&amp;'Implied Productivity Ratios'!$C45)</f>
        <v>66.501360072537196</v>
      </c>
      <c r="AW45">
        <f>SUMIFS('MoodysData(Raw)'!AZ$2:AZ$180,'MoodysData(Raw)'!$B$2:$B$180,"=GDP",'MoodysData(Raw)'!$D$2:$D$180,"="&amp;'Implied Productivity Ratios'!$C45)/SUMIFS('MoodysData(Raw)'!AZ$2:AZ$180,'MoodysData(Raw)'!$B$2:$B$180,"=EMP",'MoodysData(Raw)'!$D$2:$D$180,"="&amp;'Implied Productivity Ratios'!$C45)</f>
        <v>67.663250303970017</v>
      </c>
      <c r="AX45">
        <f>SUMIFS('MoodysData(Raw)'!BA$2:BA$180,'MoodysData(Raw)'!$B$2:$B$180,"=GDP",'MoodysData(Raw)'!$D$2:$D$180,"="&amp;'Implied Productivity Ratios'!$C45)/SUMIFS('MoodysData(Raw)'!BA$2:BA$180,'MoodysData(Raw)'!$B$2:$B$180,"=EMP",'MoodysData(Raw)'!$D$2:$D$180,"="&amp;'Implied Productivity Ratios'!$C45)</f>
        <v>68.880743803688119</v>
      </c>
      <c r="AY45">
        <f>SUMIFS('MoodysData(Raw)'!BB$2:BB$180,'MoodysData(Raw)'!$B$2:$B$180,"=GDP",'MoodysData(Raw)'!$D$2:$D$180,"="&amp;'Implied Productivity Ratios'!$C45)/SUMIFS('MoodysData(Raw)'!BB$2:BB$180,'MoodysData(Raw)'!$B$2:$B$180,"=EMP",'MoodysData(Raw)'!$D$2:$D$180,"="&amp;'Implied Productivity Ratios'!$C45)</f>
        <v>70.162648938201173</v>
      </c>
      <c r="AZ45">
        <f>SUMIFS('MoodysData(Raw)'!BC$2:BC$180,'MoodysData(Raw)'!$B$2:$B$180,"=GDP",'MoodysData(Raw)'!$D$2:$D$180,"="&amp;'Implied Productivity Ratios'!$C45)/SUMIFS('MoodysData(Raw)'!BC$2:BC$180,'MoodysData(Raw)'!$B$2:$B$180,"=EMP",'MoodysData(Raw)'!$D$2:$D$180,"="&amp;'Implied Productivity Ratios'!$C45)</f>
        <v>71.535363276268413</v>
      </c>
      <c r="BA45">
        <f>SUMIFS('MoodysData(Raw)'!BD$2:BD$180,'MoodysData(Raw)'!$B$2:$B$180,"=GDP",'MoodysData(Raw)'!$D$2:$D$180,"="&amp;'Implied Productivity Ratios'!$C45)/SUMIFS('MoodysData(Raw)'!BD$2:BD$180,'MoodysData(Raw)'!$B$2:$B$180,"=EMP",'MoodysData(Raw)'!$D$2:$D$180,"="&amp;'Implied Productivity Ratios'!$C45)</f>
        <v>73.019401357959353</v>
      </c>
      <c r="BB45">
        <f>SUMIFS('MoodysData(Raw)'!BE$2:BE$180,'MoodysData(Raw)'!$B$2:$B$180,"=GDP",'MoodysData(Raw)'!$D$2:$D$180,"="&amp;'Implied Productivity Ratios'!$C45)/SUMIFS('MoodysData(Raw)'!BE$2:BE$180,'MoodysData(Raw)'!$B$2:$B$180,"=EMP",'MoodysData(Raw)'!$D$2:$D$180,"="&amp;'Implied Productivity Ratios'!$C45)</f>
        <v>74.605755689819659</v>
      </c>
      <c r="BC45">
        <f>SUMIFS('MoodysData(Raw)'!BF$2:BF$180,'MoodysData(Raw)'!$B$2:$B$180,"=GDP",'MoodysData(Raw)'!$D$2:$D$180,"="&amp;'Implied Productivity Ratios'!$C45)/SUMIFS('MoodysData(Raw)'!BF$2:BF$180,'MoodysData(Raw)'!$B$2:$B$180,"=EMP",'MoodysData(Raw)'!$D$2:$D$180,"="&amp;'Implied Productivity Ratios'!$C45)</f>
        <v>76.299692731631751</v>
      </c>
      <c r="BD45" s="5">
        <f t="shared" ref="BD45:BH45" si="39">BC45+($BC45-$AX45)/5</f>
        <v>77.783482517220477</v>
      </c>
      <c r="BE45" s="5">
        <f t="shared" si="39"/>
        <v>79.267272302809204</v>
      </c>
      <c r="BF45" s="5">
        <f t="shared" si="39"/>
        <v>80.75106208839793</v>
      </c>
      <c r="BG45" s="5">
        <f t="shared" si="39"/>
        <v>82.234851873986656</v>
      </c>
      <c r="BH45" s="5">
        <f t="shared" si="39"/>
        <v>83.718641659575383</v>
      </c>
    </row>
    <row r="46" spans="3:60">
      <c r="C46">
        <v>452</v>
      </c>
      <c r="D46" t="s">
        <v>155</v>
      </c>
      <c r="E46">
        <f>SUMIFS('MoodysData(Raw)'!H$2:H$180,'MoodysData(Raw)'!$B$2:$B$180,"=GDP",'MoodysData(Raw)'!$D$2:$D$180,"="&amp;'Implied Productivity Ratios'!$C46)/SUMIFS('MoodysData(Raw)'!H$2:H$180,'MoodysData(Raw)'!$B$2:$B$180,"=EMP",'MoodysData(Raw)'!$D$2:$D$180,"="&amp;'Implied Productivity Ratios'!$C46)</f>
        <v>46.137944263929313</v>
      </c>
      <c r="F46">
        <f>SUMIFS('MoodysData(Raw)'!I$2:I$180,'MoodysData(Raw)'!$B$2:$B$180,"=GDP",'MoodysData(Raw)'!$D$2:$D$180,"="&amp;'Implied Productivity Ratios'!$C46)/SUMIFS('MoodysData(Raw)'!I$2:I$180,'MoodysData(Raw)'!$B$2:$B$180,"=EMP",'MoodysData(Raw)'!$D$2:$D$180,"="&amp;'Implied Productivity Ratios'!$C46)</f>
        <v>46.570192196796498</v>
      </c>
      <c r="G46">
        <f>SUMIFS('MoodysData(Raw)'!J$2:J$180,'MoodysData(Raw)'!$B$2:$B$180,"=GDP",'MoodysData(Raw)'!$D$2:$D$180,"="&amp;'Implied Productivity Ratios'!$C46)/SUMIFS('MoodysData(Raw)'!J$2:J$180,'MoodysData(Raw)'!$B$2:$B$180,"=EMP",'MoodysData(Raw)'!$D$2:$D$180,"="&amp;'Implied Productivity Ratios'!$C46)</f>
        <v>44.988512531272768</v>
      </c>
      <c r="H46">
        <f>SUMIFS('MoodysData(Raw)'!K$2:K$180,'MoodysData(Raw)'!$B$2:$B$180,"=GDP",'MoodysData(Raw)'!$D$2:$D$180,"="&amp;'Implied Productivity Ratios'!$C46)/SUMIFS('MoodysData(Raw)'!K$2:K$180,'MoodysData(Raw)'!$B$2:$B$180,"=EMP",'MoodysData(Raw)'!$D$2:$D$180,"="&amp;'Implied Productivity Ratios'!$C46)</f>
        <v>45.453551513284395</v>
      </c>
      <c r="I46">
        <f>SUMIFS('MoodysData(Raw)'!L$2:L$180,'MoodysData(Raw)'!$B$2:$B$180,"=GDP",'MoodysData(Raw)'!$D$2:$D$180,"="&amp;'Implied Productivity Ratios'!$C46)/SUMIFS('MoodysData(Raw)'!L$2:L$180,'MoodysData(Raw)'!$B$2:$B$180,"=EMP",'MoodysData(Raw)'!$D$2:$D$180,"="&amp;'Implied Productivity Ratios'!$C46)</f>
        <v>48.671478754229845</v>
      </c>
      <c r="J46">
        <f>SUMIFS('MoodysData(Raw)'!M$2:M$180,'MoodysData(Raw)'!$B$2:$B$180,"=GDP",'MoodysData(Raw)'!$D$2:$D$180,"="&amp;'Implied Productivity Ratios'!$C46)/SUMIFS('MoodysData(Raw)'!M$2:M$180,'MoodysData(Raw)'!$B$2:$B$180,"=EMP",'MoodysData(Raw)'!$D$2:$D$180,"="&amp;'Implied Productivity Ratios'!$C46)</f>
        <v>47.561683577682459</v>
      </c>
      <c r="K46">
        <f>SUMIFS('MoodysData(Raw)'!N$2:N$180,'MoodysData(Raw)'!$B$2:$B$180,"=GDP",'MoodysData(Raw)'!$D$2:$D$180,"="&amp;'Implied Productivity Ratios'!$C46)/SUMIFS('MoodysData(Raw)'!N$2:N$180,'MoodysData(Raw)'!$B$2:$B$180,"=EMP",'MoodysData(Raw)'!$D$2:$D$180,"="&amp;'Implied Productivity Ratios'!$C46)</f>
        <v>48.269284268786855</v>
      </c>
      <c r="L46">
        <f>SUMIFS('MoodysData(Raw)'!O$2:O$180,'MoodysData(Raw)'!$B$2:$B$180,"=GDP",'MoodysData(Raw)'!$D$2:$D$180,"="&amp;'Implied Productivity Ratios'!$C46)/SUMIFS('MoodysData(Raw)'!O$2:O$180,'MoodysData(Raw)'!$B$2:$B$180,"=EMP",'MoodysData(Raw)'!$D$2:$D$180,"="&amp;'Implied Productivity Ratios'!$C46)</f>
        <v>42.154187065039075</v>
      </c>
      <c r="M46">
        <f>SUMIFS('MoodysData(Raw)'!P$2:P$180,'MoodysData(Raw)'!$B$2:$B$180,"=GDP",'MoodysData(Raw)'!$D$2:$D$180,"="&amp;'Implied Productivity Ratios'!$C46)/SUMIFS('MoodysData(Raw)'!P$2:P$180,'MoodysData(Raw)'!$B$2:$B$180,"=EMP",'MoodysData(Raw)'!$D$2:$D$180,"="&amp;'Implied Productivity Ratios'!$C46)</f>
        <v>43.281110157883262</v>
      </c>
      <c r="N46">
        <f>SUMIFS('MoodysData(Raw)'!Q$2:Q$180,'MoodysData(Raw)'!$B$2:$B$180,"=GDP",'MoodysData(Raw)'!$D$2:$D$180,"="&amp;'Implied Productivity Ratios'!$C46)/SUMIFS('MoodysData(Raw)'!Q$2:Q$180,'MoodysData(Raw)'!$B$2:$B$180,"=EMP",'MoodysData(Raw)'!$D$2:$D$180,"="&amp;'Implied Productivity Ratios'!$C46)</f>
        <v>43.747174241186215</v>
      </c>
      <c r="O46">
        <f>SUMIFS('MoodysData(Raw)'!R$2:R$180,'MoodysData(Raw)'!$B$2:$B$180,"=GDP",'MoodysData(Raw)'!$D$2:$D$180,"="&amp;'Implied Productivity Ratios'!$C46)/SUMIFS('MoodysData(Raw)'!R$2:R$180,'MoodysData(Raw)'!$B$2:$B$180,"=EMP",'MoodysData(Raw)'!$D$2:$D$180,"="&amp;'Implied Productivity Ratios'!$C46)</f>
        <v>44.931591607233777</v>
      </c>
      <c r="P46">
        <f>SUMIFS('MoodysData(Raw)'!S$2:S$180,'MoodysData(Raw)'!$B$2:$B$180,"=GDP",'MoodysData(Raw)'!$D$2:$D$180,"="&amp;'Implied Productivity Ratios'!$C46)/SUMIFS('MoodysData(Raw)'!S$2:S$180,'MoodysData(Raw)'!$B$2:$B$180,"=EMP",'MoodysData(Raw)'!$D$2:$D$180,"="&amp;'Implied Productivity Ratios'!$C46)</f>
        <v>45.175131492851257</v>
      </c>
      <c r="Q46">
        <f>SUMIFS('MoodysData(Raw)'!T$2:T$180,'MoodysData(Raw)'!$B$2:$B$180,"=GDP",'MoodysData(Raw)'!$D$2:$D$180,"="&amp;'Implied Productivity Ratios'!$C46)/SUMIFS('MoodysData(Raw)'!T$2:T$180,'MoodysData(Raw)'!$B$2:$B$180,"=EMP",'MoodysData(Raw)'!$D$2:$D$180,"="&amp;'Implied Productivity Ratios'!$C46)</f>
        <v>48.478457740585242</v>
      </c>
      <c r="R46">
        <f>SUMIFS('MoodysData(Raw)'!U$2:U$180,'MoodysData(Raw)'!$B$2:$B$180,"=GDP",'MoodysData(Raw)'!$D$2:$D$180,"="&amp;'Implied Productivity Ratios'!$C46)/SUMIFS('MoodysData(Raw)'!U$2:U$180,'MoodysData(Raw)'!$B$2:$B$180,"=EMP",'MoodysData(Raw)'!$D$2:$D$180,"="&amp;'Implied Productivity Ratios'!$C46)</f>
        <v>50.692929775461671</v>
      </c>
      <c r="S46">
        <f>SUMIFS('MoodysData(Raw)'!V$2:V$180,'MoodysData(Raw)'!$B$2:$B$180,"=GDP",'MoodysData(Raw)'!$D$2:$D$180,"="&amp;'Implied Productivity Ratios'!$C46)/SUMIFS('MoodysData(Raw)'!V$2:V$180,'MoodysData(Raw)'!$B$2:$B$180,"=EMP",'MoodysData(Raw)'!$D$2:$D$180,"="&amp;'Implied Productivity Ratios'!$C46)</f>
        <v>51.600324726270728</v>
      </c>
      <c r="T46">
        <f>SUMIFS('MoodysData(Raw)'!W$2:W$180,'MoodysData(Raw)'!$B$2:$B$180,"=GDP",'MoodysData(Raw)'!$D$2:$D$180,"="&amp;'Implied Productivity Ratios'!$C46)/SUMIFS('MoodysData(Raw)'!W$2:W$180,'MoodysData(Raw)'!$B$2:$B$180,"=EMP",'MoodysData(Raw)'!$D$2:$D$180,"="&amp;'Implied Productivity Ratios'!$C46)</f>
        <v>56.150179001295172</v>
      </c>
      <c r="U46">
        <f>SUMIFS('MoodysData(Raw)'!X$2:X$180,'MoodysData(Raw)'!$B$2:$B$180,"=GDP",'MoodysData(Raw)'!$D$2:$D$180,"="&amp;'Implied Productivity Ratios'!$C46)/SUMIFS('MoodysData(Raw)'!X$2:X$180,'MoodysData(Raw)'!$B$2:$B$180,"=EMP",'MoodysData(Raw)'!$D$2:$D$180,"="&amp;'Implied Productivity Ratios'!$C46)</f>
        <v>58.590154113004864</v>
      </c>
      <c r="V46">
        <f>SUMIFS('MoodysData(Raw)'!Y$2:Y$180,'MoodysData(Raw)'!$B$2:$B$180,"=GDP",'MoodysData(Raw)'!$D$2:$D$180,"="&amp;'Implied Productivity Ratios'!$C46)/SUMIFS('MoodysData(Raw)'!Y$2:Y$180,'MoodysData(Raw)'!$B$2:$B$180,"=EMP",'MoodysData(Raw)'!$D$2:$D$180,"="&amp;'Implied Productivity Ratios'!$C46)</f>
        <v>49.861018707022041</v>
      </c>
      <c r="W46">
        <f>SUMIFS('MoodysData(Raw)'!Z$2:Z$180,'MoodysData(Raw)'!$B$2:$B$180,"=GDP",'MoodysData(Raw)'!$D$2:$D$180,"="&amp;'Implied Productivity Ratios'!$C46)/SUMIFS('MoodysData(Raw)'!Z$2:Z$180,'MoodysData(Raw)'!$B$2:$B$180,"=EMP",'MoodysData(Raw)'!$D$2:$D$180,"="&amp;'Implied Productivity Ratios'!$C46)</f>
        <v>47.589161759624275</v>
      </c>
      <c r="X46">
        <f>SUMIFS('MoodysData(Raw)'!AA$2:AA$180,'MoodysData(Raw)'!$B$2:$B$180,"=GDP",'MoodysData(Raw)'!$D$2:$D$180,"="&amp;'Implied Productivity Ratios'!$C46)/SUMIFS('MoodysData(Raw)'!AA$2:AA$180,'MoodysData(Raw)'!$B$2:$B$180,"=EMP",'MoodysData(Raw)'!$D$2:$D$180,"="&amp;'Implied Productivity Ratios'!$C46)</f>
        <v>47.881333484932043</v>
      </c>
      <c r="Y46">
        <f>SUMIFS('MoodysData(Raw)'!AB$2:AB$180,'MoodysData(Raw)'!$B$2:$B$180,"=GDP",'MoodysData(Raw)'!$D$2:$D$180,"="&amp;'Implied Productivity Ratios'!$C46)/SUMIFS('MoodysData(Raw)'!AB$2:AB$180,'MoodysData(Raw)'!$B$2:$B$180,"=EMP",'MoodysData(Raw)'!$D$2:$D$180,"="&amp;'Implied Productivity Ratios'!$C46)</f>
        <v>47.613808990511743</v>
      </c>
      <c r="Z46">
        <f>SUMIFS('MoodysData(Raw)'!AC$2:AC$180,'MoodysData(Raw)'!$B$2:$B$180,"=GDP",'MoodysData(Raw)'!$D$2:$D$180,"="&amp;'Implied Productivity Ratios'!$C46)/SUMIFS('MoodysData(Raw)'!AC$2:AC$180,'MoodysData(Raw)'!$B$2:$B$180,"=EMP",'MoodysData(Raw)'!$D$2:$D$180,"="&amp;'Implied Productivity Ratios'!$C46)</f>
        <v>47.689777997726623</v>
      </c>
      <c r="AA46">
        <f>SUMIFS('MoodysData(Raw)'!AD$2:AD$180,'MoodysData(Raw)'!$B$2:$B$180,"=GDP",'MoodysData(Raw)'!$D$2:$D$180,"="&amp;'Implied Productivity Ratios'!$C46)/SUMIFS('MoodysData(Raw)'!AD$2:AD$180,'MoodysData(Raw)'!$B$2:$B$180,"=EMP",'MoodysData(Raw)'!$D$2:$D$180,"="&amp;'Implied Productivity Ratios'!$C46)</f>
        <v>47.773589720014293</v>
      </c>
      <c r="AB46">
        <f>SUMIFS('MoodysData(Raw)'!AE$2:AE$180,'MoodysData(Raw)'!$B$2:$B$180,"=GDP",'MoodysData(Raw)'!$D$2:$D$180,"="&amp;'Implied Productivity Ratios'!$C46)/SUMIFS('MoodysData(Raw)'!AE$2:AE$180,'MoodysData(Raw)'!$B$2:$B$180,"=EMP",'MoodysData(Raw)'!$D$2:$D$180,"="&amp;'Implied Productivity Ratios'!$C46)</f>
        <v>47.856542837261017</v>
      </c>
      <c r="AC46">
        <f>SUMIFS('MoodysData(Raw)'!AF$2:AF$180,'MoodysData(Raw)'!$B$2:$B$180,"=GDP",'MoodysData(Raw)'!$D$2:$D$180,"="&amp;'Implied Productivity Ratios'!$C46)/SUMIFS('MoodysData(Raw)'!AF$2:AF$180,'MoodysData(Raw)'!$B$2:$B$180,"=EMP",'MoodysData(Raw)'!$D$2:$D$180,"="&amp;'Implied Productivity Ratios'!$C46)</f>
        <v>47.979674454349826</v>
      </c>
      <c r="AD46">
        <f>SUMIFS('MoodysData(Raw)'!AG$2:AG$180,'MoodysData(Raw)'!$B$2:$B$180,"=GDP",'MoodysData(Raw)'!$D$2:$D$180,"="&amp;'Implied Productivity Ratios'!$C46)/SUMIFS('MoodysData(Raw)'!AG$2:AG$180,'MoodysData(Raw)'!$B$2:$B$180,"=EMP",'MoodysData(Raw)'!$D$2:$D$180,"="&amp;'Implied Productivity Ratios'!$C46)</f>
        <v>48.156492676482088</v>
      </c>
      <c r="AE46">
        <f>SUMIFS('MoodysData(Raw)'!AH$2:AH$180,'MoodysData(Raw)'!$B$2:$B$180,"=GDP",'MoodysData(Raw)'!$D$2:$D$180,"="&amp;'Implied Productivity Ratios'!$C46)/SUMIFS('MoodysData(Raw)'!AH$2:AH$180,'MoodysData(Raw)'!$B$2:$B$180,"=EMP",'MoodysData(Raw)'!$D$2:$D$180,"="&amp;'Implied Productivity Ratios'!$C46)</f>
        <v>48.254824272852126</v>
      </c>
      <c r="AF46">
        <f>SUMIFS('MoodysData(Raw)'!AI$2:AI$180,'MoodysData(Raw)'!$B$2:$B$180,"=GDP",'MoodysData(Raw)'!$D$2:$D$180,"="&amp;'Implied Productivity Ratios'!$C46)/SUMIFS('MoodysData(Raw)'!AI$2:AI$180,'MoodysData(Raw)'!$B$2:$B$180,"=EMP",'MoodysData(Raw)'!$D$2:$D$180,"="&amp;'Implied Productivity Ratios'!$C46)</f>
        <v>48.331674960568307</v>
      </c>
      <c r="AG46">
        <f>SUMIFS('MoodysData(Raw)'!AJ$2:AJ$180,'MoodysData(Raw)'!$B$2:$B$180,"=GDP",'MoodysData(Raw)'!$D$2:$D$180,"="&amp;'Implied Productivity Ratios'!$C46)/SUMIFS('MoodysData(Raw)'!AJ$2:AJ$180,'MoodysData(Raw)'!$B$2:$B$180,"=EMP",'MoodysData(Raw)'!$D$2:$D$180,"="&amp;'Implied Productivity Ratios'!$C46)</f>
        <v>48.387868726862592</v>
      </c>
      <c r="AH46">
        <f>SUMIFS('MoodysData(Raw)'!AK$2:AK$180,'MoodysData(Raw)'!$B$2:$B$180,"=GDP",'MoodysData(Raw)'!$D$2:$D$180,"="&amp;'Implied Productivity Ratios'!$C46)/SUMIFS('MoodysData(Raw)'!AK$2:AK$180,'MoodysData(Raw)'!$B$2:$B$180,"=EMP",'MoodysData(Raw)'!$D$2:$D$180,"="&amp;'Implied Productivity Ratios'!$C46)</f>
        <v>48.351619850953803</v>
      </c>
      <c r="AI46">
        <f>SUMIFS('MoodysData(Raw)'!AL$2:AL$180,'MoodysData(Raw)'!$B$2:$B$180,"=GDP",'MoodysData(Raw)'!$D$2:$D$180,"="&amp;'Implied Productivity Ratios'!$C46)/SUMIFS('MoodysData(Raw)'!AL$2:AL$180,'MoodysData(Raw)'!$B$2:$B$180,"=EMP",'MoodysData(Raw)'!$D$2:$D$180,"="&amp;'Implied Productivity Ratios'!$C46)</f>
        <v>48.295343538186785</v>
      </c>
      <c r="AJ46">
        <f>SUMIFS('MoodysData(Raw)'!AM$2:AM$180,'MoodysData(Raw)'!$B$2:$B$180,"=GDP",'MoodysData(Raw)'!$D$2:$D$180,"="&amp;'Implied Productivity Ratios'!$C46)/SUMIFS('MoodysData(Raw)'!AM$2:AM$180,'MoodysData(Raw)'!$B$2:$B$180,"=EMP",'MoodysData(Raw)'!$D$2:$D$180,"="&amp;'Implied Productivity Ratios'!$C46)</f>
        <v>48.330761156336258</v>
      </c>
      <c r="AK46">
        <f>SUMIFS('MoodysData(Raw)'!AN$2:AN$180,'MoodysData(Raw)'!$B$2:$B$180,"=GDP",'MoodysData(Raw)'!$D$2:$D$180,"="&amp;'Implied Productivity Ratios'!$C46)/SUMIFS('MoodysData(Raw)'!AN$2:AN$180,'MoodysData(Raw)'!$B$2:$B$180,"=EMP",'MoodysData(Raw)'!$D$2:$D$180,"="&amp;'Implied Productivity Ratios'!$C46)</f>
        <v>48.444972742488197</v>
      </c>
      <c r="AL46">
        <f>SUMIFS('MoodysData(Raw)'!AO$2:AO$180,'MoodysData(Raw)'!$B$2:$B$180,"=GDP",'MoodysData(Raw)'!$D$2:$D$180,"="&amp;'Implied Productivity Ratios'!$C46)/SUMIFS('MoodysData(Raw)'!AO$2:AO$180,'MoodysData(Raw)'!$B$2:$B$180,"=EMP",'MoodysData(Raw)'!$D$2:$D$180,"="&amp;'Implied Productivity Ratios'!$C46)</f>
        <v>48.710232775768922</v>
      </c>
      <c r="AM46">
        <f>SUMIFS('MoodysData(Raw)'!AP$2:AP$180,'MoodysData(Raw)'!$B$2:$B$180,"=GDP",'MoodysData(Raw)'!$D$2:$D$180,"="&amp;'Implied Productivity Ratios'!$C46)/SUMIFS('MoodysData(Raw)'!AP$2:AP$180,'MoodysData(Raw)'!$B$2:$B$180,"=EMP",'MoodysData(Raw)'!$D$2:$D$180,"="&amp;'Implied Productivity Ratios'!$C46)</f>
        <v>49.030508436586501</v>
      </c>
      <c r="AN46">
        <f>SUMIFS('MoodysData(Raw)'!AQ$2:AQ$180,'MoodysData(Raw)'!$B$2:$B$180,"=GDP",'MoodysData(Raw)'!$D$2:$D$180,"="&amp;'Implied Productivity Ratios'!$C46)/SUMIFS('MoodysData(Raw)'!AQ$2:AQ$180,'MoodysData(Raw)'!$B$2:$B$180,"=EMP",'MoodysData(Raw)'!$D$2:$D$180,"="&amp;'Implied Productivity Ratios'!$C46)</f>
        <v>49.363447353147144</v>
      </c>
      <c r="AO46">
        <f>SUMIFS('MoodysData(Raw)'!AR$2:AR$180,'MoodysData(Raw)'!$B$2:$B$180,"=GDP",'MoodysData(Raw)'!$D$2:$D$180,"="&amp;'Implied Productivity Ratios'!$C46)/SUMIFS('MoodysData(Raw)'!AR$2:AR$180,'MoodysData(Raw)'!$B$2:$B$180,"=EMP",'MoodysData(Raw)'!$D$2:$D$180,"="&amp;'Implied Productivity Ratios'!$C46)</f>
        <v>49.68201040186549</v>
      </c>
      <c r="AP46">
        <f>SUMIFS('MoodysData(Raw)'!AS$2:AS$180,'MoodysData(Raw)'!$B$2:$B$180,"=GDP",'MoodysData(Raw)'!$D$2:$D$180,"="&amp;'Implied Productivity Ratios'!$C46)/SUMIFS('MoodysData(Raw)'!AS$2:AS$180,'MoodysData(Raw)'!$B$2:$B$180,"=EMP",'MoodysData(Raw)'!$D$2:$D$180,"="&amp;'Implied Productivity Ratios'!$C46)</f>
        <v>50.015505370013067</v>
      </c>
      <c r="AQ46">
        <f>SUMIFS('MoodysData(Raw)'!AT$2:AT$180,'MoodysData(Raw)'!$B$2:$B$180,"=GDP",'MoodysData(Raw)'!$D$2:$D$180,"="&amp;'Implied Productivity Ratios'!$C46)/SUMIFS('MoodysData(Raw)'!AT$2:AT$180,'MoodysData(Raw)'!$B$2:$B$180,"=EMP",'MoodysData(Raw)'!$D$2:$D$180,"="&amp;'Implied Productivity Ratios'!$C46)</f>
        <v>50.38644727326642</v>
      </c>
      <c r="AR46">
        <f>SUMIFS('MoodysData(Raw)'!AU$2:AU$180,'MoodysData(Raw)'!$B$2:$B$180,"=GDP",'MoodysData(Raw)'!$D$2:$D$180,"="&amp;'Implied Productivity Ratios'!$C46)/SUMIFS('MoodysData(Raw)'!AU$2:AU$180,'MoodysData(Raw)'!$B$2:$B$180,"=EMP",'MoodysData(Raw)'!$D$2:$D$180,"="&amp;'Implied Productivity Ratios'!$C46)</f>
        <v>50.810581052899209</v>
      </c>
      <c r="AS46">
        <f>SUMIFS('MoodysData(Raw)'!AV$2:AV$180,'MoodysData(Raw)'!$B$2:$B$180,"=GDP",'MoodysData(Raw)'!$D$2:$D$180,"="&amp;'Implied Productivity Ratios'!$C46)/SUMIFS('MoodysData(Raw)'!AV$2:AV$180,'MoodysData(Raw)'!$B$2:$B$180,"=EMP",'MoodysData(Raw)'!$D$2:$D$180,"="&amp;'Implied Productivity Ratios'!$C46)</f>
        <v>51.279977957807198</v>
      </c>
      <c r="AT46">
        <f>SUMIFS('MoodysData(Raw)'!AW$2:AW$180,'MoodysData(Raw)'!$B$2:$B$180,"=GDP",'MoodysData(Raw)'!$D$2:$D$180,"="&amp;'Implied Productivity Ratios'!$C46)/SUMIFS('MoodysData(Raw)'!AW$2:AW$180,'MoodysData(Raw)'!$B$2:$B$180,"=EMP",'MoodysData(Raw)'!$D$2:$D$180,"="&amp;'Implied Productivity Ratios'!$C46)</f>
        <v>51.784422141191179</v>
      </c>
      <c r="AU46">
        <f>SUMIFS('MoodysData(Raw)'!AX$2:AX$180,'MoodysData(Raw)'!$B$2:$B$180,"=GDP",'MoodysData(Raw)'!$D$2:$D$180,"="&amp;'Implied Productivity Ratios'!$C46)/SUMIFS('MoodysData(Raw)'!AX$2:AX$180,'MoodysData(Raw)'!$B$2:$B$180,"=EMP",'MoodysData(Raw)'!$D$2:$D$180,"="&amp;'Implied Productivity Ratios'!$C46)</f>
        <v>52.358154419787191</v>
      </c>
      <c r="AV46">
        <f>SUMIFS('MoodysData(Raw)'!AY$2:AY$180,'MoodysData(Raw)'!$B$2:$B$180,"=GDP",'MoodysData(Raw)'!$D$2:$D$180,"="&amp;'Implied Productivity Ratios'!$C46)/SUMIFS('MoodysData(Raw)'!AY$2:AY$180,'MoodysData(Raw)'!$B$2:$B$180,"=EMP",'MoodysData(Raw)'!$D$2:$D$180,"="&amp;'Implied Productivity Ratios'!$C46)</f>
        <v>53.025129393945676</v>
      </c>
      <c r="AW46">
        <f>SUMIFS('MoodysData(Raw)'!AZ$2:AZ$180,'MoodysData(Raw)'!$B$2:$B$180,"=GDP",'MoodysData(Raw)'!$D$2:$D$180,"="&amp;'Implied Productivity Ratios'!$C46)/SUMIFS('MoodysData(Raw)'!AZ$2:AZ$180,'MoodysData(Raw)'!$B$2:$B$180,"=EMP",'MoodysData(Raw)'!$D$2:$D$180,"="&amp;'Implied Productivity Ratios'!$C46)</f>
        <v>53.751950905625712</v>
      </c>
      <c r="AX46">
        <f>SUMIFS('MoodysData(Raw)'!BA$2:BA$180,'MoodysData(Raw)'!$B$2:$B$180,"=GDP",'MoodysData(Raw)'!$D$2:$D$180,"="&amp;'Implied Productivity Ratios'!$C46)/SUMIFS('MoodysData(Raw)'!BA$2:BA$180,'MoodysData(Raw)'!$B$2:$B$180,"=EMP",'MoodysData(Raw)'!$D$2:$D$180,"="&amp;'Implied Productivity Ratios'!$C46)</f>
        <v>54.54496396671238</v>
      </c>
      <c r="AY46">
        <f>SUMIFS('MoodysData(Raw)'!BB$2:BB$180,'MoodysData(Raw)'!$B$2:$B$180,"=GDP",'MoodysData(Raw)'!$D$2:$D$180,"="&amp;'Implied Productivity Ratios'!$C46)/SUMIFS('MoodysData(Raw)'!BB$2:BB$180,'MoodysData(Raw)'!$B$2:$B$180,"=EMP",'MoodysData(Raw)'!$D$2:$D$180,"="&amp;'Implied Productivity Ratios'!$C46)</f>
        <v>55.411915587951341</v>
      </c>
      <c r="AZ46">
        <f>SUMIFS('MoodysData(Raw)'!BC$2:BC$180,'MoodysData(Raw)'!$B$2:$B$180,"=GDP",'MoodysData(Raw)'!$D$2:$D$180,"="&amp;'Implied Productivity Ratios'!$C46)/SUMIFS('MoodysData(Raw)'!BC$2:BC$180,'MoodysData(Raw)'!$B$2:$B$180,"=EMP",'MoodysData(Raw)'!$D$2:$D$180,"="&amp;'Implied Productivity Ratios'!$C46)</f>
        <v>56.374669918616455</v>
      </c>
      <c r="BA46">
        <f>SUMIFS('MoodysData(Raw)'!BD$2:BD$180,'MoodysData(Raw)'!$B$2:$B$180,"=GDP",'MoodysData(Raw)'!$D$2:$D$180,"="&amp;'Implied Productivity Ratios'!$C46)/SUMIFS('MoodysData(Raw)'!BD$2:BD$180,'MoodysData(Raw)'!$B$2:$B$180,"=EMP",'MoodysData(Raw)'!$D$2:$D$180,"="&amp;'Implied Productivity Ratios'!$C46)</f>
        <v>57.450294846360471</v>
      </c>
      <c r="BB46">
        <f>SUMIFS('MoodysData(Raw)'!BE$2:BE$180,'MoodysData(Raw)'!$B$2:$B$180,"=GDP",'MoodysData(Raw)'!$D$2:$D$180,"="&amp;'Implied Productivity Ratios'!$C46)/SUMIFS('MoodysData(Raw)'!BE$2:BE$180,'MoodysData(Raw)'!$B$2:$B$180,"=EMP",'MoodysData(Raw)'!$D$2:$D$180,"="&amp;'Implied Productivity Ratios'!$C46)</f>
        <v>58.633230075496108</v>
      </c>
      <c r="BC46">
        <f>SUMIFS('MoodysData(Raw)'!BF$2:BF$180,'MoodysData(Raw)'!$B$2:$B$180,"=GDP",'MoodysData(Raw)'!$D$2:$D$180,"="&amp;'Implied Productivity Ratios'!$C46)/SUMIFS('MoodysData(Raw)'!BF$2:BF$180,'MoodysData(Raw)'!$B$2:$B$180,"=EMP",'MoodysData(Raw)'!$D$2:$D$180,"="&amp;'Implied Productivity Ratios'!$C46)</f>
        <v>59.92927082697414</v>
      </c>
      <c r="BD46" s="5">
        <f t="shared" ref="BD46:BH46" si="40">BC46+($BC46-$AX46)/5</f>
        <v>61.006132199026489</v>
      </c>
      <c r="BE46" s="5">
        <f t="shared" si="40"/>
        <v>62.082993571078838</v>
      </c>
      <c r="BF46" s="5">
        <f t="shared" si="40"/>
        <v>63.159854943131187</v>
      </c>
      <c r="BG46" s="5">
        <f t="shared" si="40"/>
        <v>64.236716315183543</v>
      </c>
      <c r="BH46" s="5">
        <f t="shared" si="40"/>
        <v>65.313577687235892</v>
      </c>
    </row>
    <row r="47" spans="3:60">
      <c r="C47">
        <v>453</v>
      </c>
      <c r="D47" t="s">
        <v>159</v>
      </c>
      <c r="E47">
        <f>SUMIFS('MoodysData(Raw)'!H$2:H$180,'MoodysData(Raw)'!$B$2:$B$180,"=GDP",'MoodysData(Raw)'!$D$2:$D$180,"="&amp;'Implied Productivity Ratios'!$C47)/SUMIFS('MoodysData(Raw)'!H$2:H$180,'MoodysData(Raw)'!$B$2:$B$180,"=EMP",'MoodysData(Raw)'!$D$2:$D$180,"="&amp;'Implied Productivity Ratios'!$C47)</f>
        <v>39.989177995294391</v>
      </c>
      <c r="F47">
        <f>SUMIFS('MoodysData(Raw)'!I$2:I$180,'MoodysData(Raw)'!$B$2:$B$180,"=GDP",'MoodysData(Raw)'!$D$2:$D$180,"="&amp;'Implied Productivity Ratios'!$C47)/SUMIFS('MoodysData(Raw)'!I$2:I$180,'MoodysData(Raw)'!$B$2:$B$180,"=EMP",'MoodysData(Raw)'!$D$2:$D$180,"="&amp;'Implied Productivity Ratios'!$C47)</f>
        <v>41.1845902016818</v>
      </c>
      <c r="G47">
        <f>SUMIFS('MoodysData(Raw)'!J$2:J$180,'MoodysData(Raw)'!$B$2:$B$180,"=GDP",'MoodysData(Raw)'!$D$2:$D$180,"="&amp;'Implied Productivity Ratios'!$C47)/SUMIFS('MoodysData(Raw)'!J$2:J$180,'MoodysData(Raw)'!$B$2:$B$180,"=EMP",'MoodysData(Raw)'!$D$2:$D$180,"="&amp;'Implied Productivity Ratios'!$C47)</f>
        <v>41.321518949364119</v>
      </c>
      <c r="H47">
        <f>SUMIFS('MoodysData(Raw)'!K$2:K$180,'MoodysData(Raw)'!$B$2:$B$180,"=GDP",'MoodysData(Raw)'!$D$2:$D$180,"="&amp;'Implied Productivity Ratios'!$C47)/SUMIFS('MoodysData(Raw)'!K$2:K$180,'MoodysData(Raw)'!$B$2:$B$180,"=EMP",'MoodysData(Raw)'!$D$2:$D$180,"="&amp;'Implied Productivity Ratios'!$C47)</f>
        <v>39.994289608469444</v>
      </c>
      <c r="I47">
        <f>SUMIFS('MoodysData(Raw)'!L$2:L$180,'MoodysData(Raw)'!$B$2:$B$180,"=GDP",'MoodysData(Raw)'!$D$2:$D$180,"="&amp;'Implied Productivity Ratios'!$C47)/SUMIFS('MoodysData(Raw)'!L$2:L$180,'MoodysData(Raw)'!$B$2:$B$180,"=EMP",'MoodysData(Raw)'!$D$2:$D$180,"="&amp;'Implied Productivity Ratios'!$C47)</f>
        <v>39.740468225714054</v>
      </c>
      <c r="J47">
        <f>SUMIFS('MoodysData(Raw)'!M$2:M$180,'MoodysData(Raw)'!$B$2:$B$180,"=GDP",'MoodysData(Raw)'!$D$2:$D$180,"="&amp;'Implied Productivity Ratios'!$C47)/SUMIFS('MoodysData(Raw)'!M$2:M$180,'MoodysData(Raw)'!$B$2:$B$180,"=EMP",'MoodysData(Raw)'!$D$2:$D$180,"="&amp;'Implied Productivity Ratios'!$C47)</f>
        <v>41.685605711802971</v>
      </c>
      <c r="K47">
        <f>SUMIFS('MoodysData(Raw)'!N$2:N$180,'MoodysData(Raw)'!$B$2:$B$180,"=GDP",'MoodysData(Raw)'!$D$2:$D$180,"="&amp;'Implied Productivity Ratios'!$C47)/SUMIFS('MoodysData(Raw)'!N$2:N$180,'MoodysData(Raw)'!$B$2:$B$180,"=EMP",'MoodysData(Raw)'!$D$2:$D$180,"="&amp;'Implied Productivity Ratios'!$C47)</f>
        <v>41.053160107306944</v>
      </c>
      <c r="L47">
        <f>SUMIFS('MoodysData(Raw)'!O$2:O$180,'MoodysData(Raw)'!$B$2:$B$180,"=GDP",'MoodysData(Raw)'!$D$2:$D$180,"="&amp;'Implied Productivity Ratios'!$C47)/SUMIFS('MoodysData(Raw)'!O$2:O$180,'MoodysData(Raw)'!$B$2:$B$180,"=EMP",'MoodysData(Raw)'!$D$2:$D$180,"="&amp;'Implied Productivity Ratios'!$C47)</f>
        <v>42.15481886147964</v>
      </c>
      <c r="M47">
        <f>SUMIFS('MoodysData(Raw)'!P$2:P$180,'MoodysData(Raw)'!$B$2:$B$180,"=GDP",'MoodysData(Raw)'!$D$2:$D$180,"="&amp;'Implied Productivity Ratios'!$C47)/SUMIFS('MoodysData(Raw)'!P$2:P$180,'MoodysData(Raw)'!$B$2:$B$180,"=EMP",'MoodysData(Raw)'!$D$2:$D$180,"="&amp;'Implied Productivity Ratios'!$C47)</f>
        <v>42.831956292795503</v>
      </c>
      <c r="N47">
        <f>SUMIFS('MoodysData(Raw)'!Q$2:Q$180,'MoodysData(Raw)'!$B$2:$B$180,"=GDP",'MoodysData(Raw)'!$D$2:$D$180,"="&amp;'Implied Productivity Ratios'!$C47)/SUMIFS('MoodysData(Raw)'!Q$2:Q$180,'MoodysData(Raw)'!$B$2:$B$180,"=EMP",'MoodysData(Raw)'!$D$2:$D$180,"="&amp;'Implied Productivity Ratios'!$C47)</f>
        <v>44.318026793600943</v>
      </c>
      <c r="O47">
        <f>SUMIFS('MoodysData(Raw)'!R$2:R$180,'MoodysData(Raw)'!$B$2:$B$180,"=GDP",'MoodysData(Raw)'!$D$2:$D$180,"="&amp;'Implied Productivity Ratios'!$C47)/SUMIFS('MoodysData(Raw)'!R$2:R$180,'MoodysData(Raw)'!$B$2:$B$180,"=EMP",'MoodysData(Raw)'!$D$2:$D$180,"="&amp;'Implied Productivity Ratios'!$C47)</f>
        <v>46.702849803264904</v>
      </c>
      <c r="P47">
        <f>SUMIFS('MoodysData(Raw)'!S$2:S$180,'MoodysData(Raw)'!$B$2:$B$180,"=GDP",'MoodysData(Raw)'!$D$2:$D$180,"="&amp;'Implied Productivity Ratios'!$C47)/SUMIFS('MoodysData(Raw)'!S$2:S$180,'MoodysData(Raw)'!$B$2:$B$180,"=EMP",'MoodysData(Raw)'!$D$2:$D$180,"="&amp;'Implied Productivity Ratios'!$C47)</f>
        <v>49.515270640619917</v>
      </c>
      <c r="Q47">
        <f>SUMIFS('MoodysData(Raw)'!T$2:T$180,'MoodysData(Raw)'!$B$2:$B$180,"=GDP",'MoodysData(Raw)'!$D$2:$D$180,"="&amp;'Implied Productivity Ratios'!$C47)/SUMIFS('MoodysData(Raw)'!T$2:T$180,'MoodysData(Raw)'!$B$2:$B$180,"=EMP",'MoodysData(Raw)'!$D$2:$D$180,"="&amp;'Implied Productivity Ratios'!$C47)</f>
        <v>49.412672059188239</v>
      </c>
      <c r="R47">
        <f>SUMIFS('MoodysData(Raw)'!U$2:U$180,'MoodysData(Raw)'!$B$2:$B$180,"=GDP",'MoodysData(Raw)'!$D$2:$D$180,"="&amp;'Implied Productivity Ratios'!$C47)/SUMIFS('MoodysData(Raw)'!U$2:U$180,'MoodysData(Raw)'!$B$2:$B$180,"=EMP",'MoodysData(Raw)'!$D$2:$D$180,"="&amp;'Implied Productivity Ratios'!$C47)</f>
        <v>52.093656185185949</v>
      </c>
      <c r="S47">
        <f>SUMIFS('MoodysData(Raw)'!V$2:V$180,'MoodysData(Raw)'!$B$2:$B$180,"=GDP",'MoodysData(Raw)'!$D$2:$D$180,"="&amp;'Implied Productivity Ratios'!$C47)/SUMIFS('MoodysData(Raw)'!V$2:V$180,'MoodysData(Raw)'!$B$2:$B$180,"=EMP",'MoodysData(Raw)'!$D$2:$D$180,"="&amp;'Implied Productivity Ratios'!$C47)</f>
        <v>56.959893283970729</v>
      </c>
      <c r="T47">
        <f>SUMIFS('MoodysData(Raw)'!W$2:W$180,'MoodysData(Raw)'!$B$2:$B$180,"=GDP",'MoodysData(Raw)'!$D$2:$D$180,"="&amp;'Implied Productivity Ratios'!$C47)/SUMIFS('MoodysData(Raw)'!W$2:W$180,'MoodysData(Raw)'!$B$2:$B$180,"=EMP",'MoodysData(Raw)'!$D$2:$D$180,"="&amp;'Implied Productivity Ratios'!$C47)</f>
        <v>56.525115334727623</v>
      </c>
      <c r="U47">
        <f>SUMIFS('MoodysData(Raw)'!X$2:X$180,'MoodysData(Raw)'!$B$2:$B$180,"=GDP",'MoodysData(Raw)'!$D$2:$D$180,"="&amp;'Implied Productivity Ratios'!$C47)/SUMIFS('MoodysData(Raw)'!X$2:X$180,'MoodysData(Raw)'!$B$2:$B$180,"=EMP",'MoodysData(Raw)'!$D$2:$D$180,"="&amp;'Implied Productivity Ratios'!$C47)</f>
        <v>57.265134853278717</v>
      </c>
      <c r="V47">
        <f>SUMIFS('MoodysData(Raw)'!Y$2:Y$180,'MoodysData(Raw)'!$B$2:$B$180,"=GDP",'MoodysData(Raw)'!$D$2:$D$180,"="&amp;'Implied Productivity Ratios'!$C47)/SUMIFS('MoodysData(Raw)'!Y$2:Y$180,'MoodysData(Raw)'!$B$2:$B$180,"=EMP",'MoodysData(Raw)'!$D$2:$D$180,"="&amp;'Implied Productivity Ratios'!$C47)</f>
        <v>56.371728567479884</v>
      </c>
      <c r="W47">
        <f>SUMIFS('MoodysData(Raw)'!Z$2:Z$180,'MoodysData(Raw)'!$B$2:$B$180,"=GDP",'MoodysData(Raw)'!$D$2:$D$180,"="&amp;'Implied Productivity Ratios'!$C47)/SUMIFS('MoodysData(Raw)'!Z$2:Z$180,'MoodysData(Raw)'!$B$2:$B$180,"=EMP",'MoodysData(Raw)'!$D$2:$D$180,"="&amp;'Implied Productivity Ratios'!$C47)</f>
        <v>58.77229529655159</v>
      </c>
      <c r="X47">
        <f>SUMIFS('MoodysData(Raw)'!AA$2:AA$180,'MoodysData(Raw)'!$B$2:$B$180,"=GDP",'MoodysData(Raw)'!$D$2:$D$180,"="&amp;'Implied Productivity Ratios'!$C47)/SUMIFS('MoodysData(Raw)'!AA$2:AA$180,'MoodysData(Raw)'!$B$2:$B$180,"=EMP",'MoodysData(Raw)'!$D$2:$D$180,"="&amp;'Implied Productivity Ratios'!$C47)</f>
        <v>58.73958906262277</v>
      </c>
      <c r="Y47">
        <f>SUMIFS('MoodysData(Raw)'!AB$2:AB$180,'MoodysData(Raw)'!$B$2:$B$180,"=GDP",'MoodysData(Raw)'!$D$2:$D$180,"="&amp;'Implied Productivity Ratios'!$C47)/SUMIFS('MoodysData(Raw)'!AB$2:AB$180,'MoodysData(Raw)'!$B$2:$B$180,"=EMP",'MoodysData(Raw)'!$D$2:$D$180,"="&amp;'Implied Productivity Ratios'!$C47)</f>
        <v>59.3655362848518</v>
      </c>
      <c r="Z47">
        <f>SUMIFS('MoodysData(Raw)'!AC$2:AC$180,'MoodysData(Raw)'!$B$2:$B$180,"=GDP",'MoodysData(Raw)'!$D$2:$D$180,"="&amp;'Implied Productivity Ratios'!$C47)/SUMIFS('MoodysData(Raw)'!AC$2:AC$180,'MoodysData(Raw)'!$B$2:$B$180,"=EMP",'MoodysData(Raw)'!$D$2:$D$180,"="&amp;'Implied Productivity Ratios'!$C47)</f>
        <v>59.6029190307788</v>
      </c>
      <c r="AA47">
        <f>SUMIFS('MoodysData(Raw)'!AD$2:AD$180,'MoodysData(Raw)'!$B$2:$B$180,"=GDP",'MoodysData(Raw)'!$D$2:$D$180,"="&amp;'Implied Productivity Ratios'!$C47)/SUMIFS('MoodysData(Raw)'!AD$2:AD$180,'MoodysData(Raw)'!$B$2:$B$180,"=EMP",'MoodysData(Raw)'!$D$2:$D$180,"="&amp;'Implied Productivity Ratios'!$C47)</f>
        <v>59.844520676964095</v>
      </c>
      <c r="AB47">
        <f>SUMIFS('MoodysData(Raw)'!AE$2:AE$180,'MoodysData(Raw)'!$B$2:$B$180,"=GDP",'MoodysData(Raw)'!$D$2:$D$180,"="&amp;'Implied Productivity Ratios'!$C47)/SUMIFS('MoodysData(Raw)'!AE$2:AE$180,'MoodysData(Raw)'!$B$2:$B$180,"=EMP",'MoodysData(Raw)'!$D$2:$D$180,"="&amp;'Implied Productivity Ratios'!$C47)</f>
        <v>60.080949410974398</v>
      </c>
      <c r="AC47">
        <f>SUMIFS('MoodysData(Raw)'!AF$2:AF$180,'MoodysData(Raw)'!$B$2:$B$180,"=GDP",'MoodysData(Raw)'!$D$2:$D$180,"="&amp;'Implied Productivity Ratios'!$C47)/SUMIFS('MoodysData(Raw)'!AF$2:AF$180,'MoodysData(Raw)'!$B$2:$B$180,"=EMP",'MoodysData(Raw)'!$D$2:$D$180,"="&amp;'Implied Productivity Ratios'!$C47)</f>
        <v>60.364393496483181</v>
      </c>
      <c r="AD47">
        <f>SUMIFS('MoodysData(Raw)'!AG$2:AG$180,'MoodysData(Raw)'!$B$2:$B$180,"=GDP",'MoodysData(Raw)'!$D$2:$D$180,"="&amp;'Implied Productivity Ratios'!$C47)/SUMIFS('MoodysData(Raw)'!AG$2:AG$180,'MoodysData(Raw)'!$B$2:$B$180,"=EMP",'MoodysData(Raw)'!$D$2:$D$180,"="&amp;'Implied Productivity Ratios'!$C47)</f>
        <v>60.714089743666008</v>
      </c>
      <c r="AE47">
        <f>SUMIFS('MoodysData(Raw)'!AH$2:AH$180,'MoodysData(Raw)'!$B$2:$B$180,"=GDP",'MoodysData(Raw)'!$D$2:$D$180,"="&amp;'Implied Productivity Ratios'!$C47)/SUMIFS('MoodysData(Raw)'!AH$2:AH$180,'MoodysData(Raw)'!$B$2:$B$180,"=EMP",'MoodysData(Raw)'!$D$2:$D$180,"="&amp;'Implied Productivity Ratios'!$C47)</f>
        <v>60.962190860008121</v>
      </c>
      <c r="AF47">
        <f>SUMIFS('MoodysData(Raw)'!AI$2:AI$180,'MoodysData(Raw)'!$B$2:$B$180,"=GDP",'MoodysData(Raw)'!$D$2:$D$180,"="&amp;'Implied Productivity Ratios'!$C47)/SUMIFS('MoodysData(Raw)'!AI$2:AI$180,'MoodysData(Raw)'!$B$2:$B$180,"=EMP",'MoodysData(Raw)'!$D$2:$D$180,"="&amp;'Implied Productivity Ratios'!$C47)</f>
        <v>61.178724106432512</v>
      </c>
      <c r="AG47">
        <f>SUMIFS('MoodysData(Raw)'!AJ$2:AJ$180,'MoodysData(Raw)'!$B$2:$B$180,"=GDP",'MoodysData(Raw)'!$D$2:$D$180,"="&amp;'Implied Productivity Ratios'!$C47)/SUMIFS('MoodysData(Raw)'!AJ$2:AJ$180,'MoodysData(Raw)'!$B$2:$B$180,"=EMP",'MoodysData(Raw)'!$D$2:$D$180,"="&amp;'Implied Productivity Ratios'!$C47)</f>
        <v>61.36437349059846</v>
      </c>
      <c r="AH47">
        <f>SUMIFS('MoodysData(Raw)'!AK$2:AK$180,'MoodysData(Raw)'!$B$2:$B$180,"=GDP",'MoodysData(Raw)'!$D$2:$D$180,"="&amp;'Implied Productivity Ratios'!$C47)/SUMIFS('MoodysData(Raw)'!AK$2:AK$180,'MoodysData(Raw)'!$B$2:$B$180,"=EMP",'MoodysData(Raw)'!$D$2:$D$180,"="&amp;'Implied Productivity Ratios'!$C47)</f>
        <v>61.428039576219241</v>
      </c>
      <c r="AI47">
        <f>SUMIFS('MoodysData(Raw)'!AL$2:AL$180,'MoodysData(Raw)'!$B$2:$B$180,"=GDP",'MoodysData(Raw)'!$D$2:$D$180,"="&amp;'Implied Productivity Ratios'!$C47)/SUMIFS('MoodysData(Raw)'!AL$2:AL$180,'MoodysData(Raw)'!$B$2:$B$180,"=EMP",'MoodysData(Raw)'!$D$2:$D$180,"="&amp;'Implied Productivity Ratios'!$C47)</f>
        <v>61.461115689846181</v>
      </c>
      <c r="AJ47">
        <f>SUMIFS('MoodysData(Raw)'!AM$2:AM$180,'MoodysData(Raw)'!$B$2:$B$180,"=GDP",'MoodysData(Raw)'!$D$2:$D$180,"="&amp;'Implied Productivity Ratios'!$C47)/SUMIFS('MoodysData(Raw)'!AM$2:AM$180,'MoodysData(Raw)'!$B$2:$B$180,"=EMP",'MoodysData(Raw)'!$D$2:$D$180,"="&amp;'Implied Productivity Ratios'!$C47)</f>
        <v>61.605389613998682</v>
      </c>
      <c r="AK47">
        <f>SUMIFS('MoodysData(Raw)'!AN$2:AN$180,'MoodysData(Raw)'!$B$2:$B$180,"=GDP",'MoodysData(Raw)'!$D$2:$D$180,"="&amp;'Implied Productivity Ratios'!$C47)/SUMIFS('MoodysData(Raw)'!AN$2:AN$180,'MoodysData(Raw)'!$B$2:$B$180,"=EMP",'MoodysData(Raw)'!$D$2:$D$180,"="&amp;'Implied Productivity Ratios'!$C47)</f>
        <v>61.846193637183433</v>
      </c>
      <c r="AL47">
        <f>SUMIFS('MoodysData(Raw)'!AO$2:AO$180,'MoodysData(Raw)'!$B$2:$B$180,"=GDP",'MoodysData(Raw)'!$D$2:$D$180,"="&amp;'Implied Productivity Ratios'!$C47)/SUMIFS('MoodysData(Raw)'!AO$2:AO$180,'MoodysData(Raw)'!$B$2:$B$180,"=EMP",'MoodysData(Raw)'!$D$2:$D$180,"="&amp;'Implied Productivity Ratios'!$C47)</f>
        <v>62.276311848223301</v>
      </c>
      <c r="AM47">
        <f>SUMIFS('MoodysData(Raw)'!AP$2:AP$180,'MoodysData(Raw)'!$B$2:$B$180,"=GDP",'MoodysData(Raw)'!$D$2:$D$180,"="&amp;'Implied Productivity Ratios'!$C47)/SUMIFS('MoodysData(Raw)'!AP$2:AP$180,'MoodysData(Raw)'!$B$2:$B$180,"=EMP",'MoodysData(Raw)'!$D$2:$D$180,"="&amp;'Implied Productivity Ratios'!$C47)</f>
        <v>62.772753234127002</v>
      </c>
      <c r="AN47">
        <f>SUMIFS('MoodysData(Raw)'!AQ$2:AQ$180,'MoodysData(Raw)'!$B$2:$B$180,"=GDP",'MoodysData(Raw)'!$D$2:$D$180,"="&amp;'Implied Productivity Ratios'!$C47)/SUMIFS('MoodysData(Raw)'!AQ$2:AQ$180,'MoodysData(Raw)'!$B$2:$B$180,"=EMP",'MoodysData(Raw)'!$D$2:$D$180,"="&amp;'Implied Productivity Ratios'!$C47)</f>
        <v>63.281883850255113</v>
      </c>
      <c r="AO47">
        <f>SUMIFS('MoodysData(Raw)'!AR$2:AR$180,'MoodysData(Raw)'!$B$2:$B$180,"=GDP",'MoodysData(Raw)'!$D$2:$D$180,"="&amp;'Implied Productivity Ratios'!$C47)/SUMIFS('MoodysData(Raw)'!AR$2:AR$180,'MoodysData(Raw)'!$B$2:$B$180,"=EMP",'MoodysData(Raw)'!$D$2:$D$180,"="&amp;'Implied Productivity Ratios'!$C47)</f>
        <v>63.769163002650899</v>
      </c>
      <c r="AP47">
        <f>SUMIFS('MoodysData(Raw)'!AS$2:AS$180,'MoodysData(Raw)'!$B$2:$B$180,"=GDP",'MoodysData(Raw)'!$D$2:$D$180,"="&amp;'Implied Productivity Ratios'!$C47)/SUMIFS('MoodysData(Raw)'!AS$2:AS$180,'MoodysData(Raw)'!$B$2:$B$180,"=EMP",'MoodysData(Raw)'!$D$2:$D$180,"="&amp;'Implied Productivity Ratios'!$C47)</f>
        <v>64.27210149478708</v>
      </c>
      <c r="AQ47">
        <f>SUMIFS('MoodysData(Raw)'!AT$2:AT$180,'MoodysData(Raw)'!$B$2:$B$180,"=GDP",'MoodysData(Raw)'!$D$2:$D$180,"="&amp;'Implied Productivity Ratios'!$C47)/SUMIFS('MoodysData(Raw)'!AT$2:AT$180,'MoodysData(Raw)'!$B$2:$B$180,"=EMP",'MoodysData(Raw)'!$D$2:$D$180,"="&amp;'Implied Productivity Ratios'!$C47)</f>
        <v>64.819452917344648</v>
      </c>
      <c r="AR47">
        <f>SUMIFS('MoodysData(Raw)'!AU$2:AU$180,'MoodysData(Raw)'!$B$2:$B$180,"=GDP",'MoodysData(Raw)'!$D$2:$D$180,"="&amp;'Implied Productivity Ratios'!$C47)/SUMIFS('MoodysData(Raw)'!AU$2:AU$180,'MoodysData(Raw)'!$B$2:$B$180,"=EMP",'MoodysData(Raw)'!$D$2:$D$180,"="&amp;'Implied Productivity Ratios'!$C47)</f>
        <v>65.431521516276732</v>
      </c>
      <c r="AS47">
        <f>SUMIFS('MoodysData(Raw)'!AV$2:AV$180,'MoodysData(Raw)'!$B$2:$B$180,"=GDP",'MoodysData(Raw)'!$D$2:$D$180,"="&amp;'Implied Productivity Ratios'!$C47)/SUMIFS('MoodysData(Raw)'!AV$2:AV$180,'MoodysData(Raw)'!$B$2:$B$180,"=EMP",'MoodysData(Raw)'!$D$2:$D$180,"="&amp;'Implied Productivity Ratios'!$C47)</f>
        <v>66.098516581294277</v>
      </c>
      <c r="AT47">
        <f>SUMIFS('MoodysData(Raw)'!AW$2:AW$180,'MoodysData(Raw)'!$B$2:$B$180,"=GDP",'MoodysData(Raw)'!$D$2:$D$180,"="&amp;'Implied Productivity Ratios'!$C47)/SUMIFS('MoodysData(Raw)'!AW$2:AW$180,'MoodysData(Raw)'!$B$2:$B$180,"=EMP",'MoodysData(Raw)'!$D$2:$D$180,"="&amp;'Implied Productivity Ratios'!$C47)</f>
        <v>66.806962108194952</v>
      </c>
      <c r="AU47">
        <f>SUMIFS('MoodysData(Raw)'!AX$2:AX$180,'MoodysData(Raw)'!$B$2:$B$180,"=GDP",'MoodysData(Raw)'!$D$2:$D$180,"="&amp;'Implied Productivity Ratios'!$C47)/SUMIFS('MoodysData(Raw)'!AX$2:AX$180,'MoodysData(Raw)'!$B$2:$B$180,"=EMP",'MoodysData(Raw)'!$D$2:$D$180,"="&amp;'Implied Productivity Ratios'!$C47)</f>
        <v>67.600952248573563</v>
      </c>
      <c r="AV47">
        <f>SUMIFS('MoodysData(Raw)'!AY$2:AY$180,'MoodysData(Raw)'!$B$2:$B$180,"=GDP",'MoodysData(Raw)'!$D$2:$D$180,"="&amp;'Implied Productivity Ratios'!$C47)/SUMIFS('MoodysData(Raw)'!AY$2:AY$180,'MoodysData(Raw)'!$B$2:$B$180,"=EMP",'MoodysData(Raw)'!$D$2:$D$180,"="&amp;'Implied Productivity Ratios'!$C47)</f>
        <v>68.511559408311555</v>
      </c>
      <c r="AW47">
        <f>SUMIFS('MoodysData(Raw)'!AZ$2:AZ$180,'MoodysData(Raw)'!$B$2:$B$180,"=GDP",'MoodysData(Raw)'!$D$2:$D$180,"="&amp;'Implied Productivity Ratios'!$C47)/SUMIFS('MoodysData(Raw)'!AZ$2:AZ$180,'MoodysData(Raw)'!$B$2:$B$180,"=EMP",'MoodysData(Raw)'!$D$2:$D$180,"="&amp;'Implied Productivity Ratios'!$C47)</f>
        <v>69.495324308346852</v>
      </c>
      <c r="AX47">
        <f>SUMIFS('MoodysData(Raw)'!BA$2:BA$180,'MoodysData(Raw)'!$B$2:$B$180,"=GDP",'MoodysData(Raw)'!$D$2:$D$180,"="&amp;'Implied Productivity Ratios'!$C47)/SUMIFS('MoodysData(Raw)'!BA$2:BA$180,'MoodysData(Raw)'!$B$2:$B$180,"=EMP",'MoodysData(Raw)'!$D$2:$D$180,"="&amp;'Implied Productivity Ratios'!$C47)</f>
        <v>70.56051433414585</v>
      </c>
      <c r="AY47">
        <f>SUMIFS('MoodysData(Raw)'!BB$2:BB$180,'MoodysData(Raw)'!$B$2:$B$180,"=GDP",'MoodysData(Raw)'!$D$2:$D$180,"="&amp;'Implied Productivity Ratios'!$C47)/SUMIFS('MoodysData(Raw)'!BB$2:BB$180,'MoodysData(Raw)'!$B$2:$B$180,"=EMP",'MoodysData(Raw)'!$D$2:$D$180,"="&amp;'Implied Productivity Ratios'!$C47)</f>
        <v>71.717211127679235</v>
      </c>
      <c r="AZ47">
        <f>SUMIFS('MoodysData(Raw)'!BC$2:BC$180,'MoodysData(Raw)'!$B$2:$B$180,"=GDP",'MoodysData(Raw)'!$D$2:$D$180,"="&amp;'Implied Productivity Ratios'!$C47)/SUMIFS('MoodysData(Raw)'!BC$2:BC$180,'MoodysData(Raw)'!$B$2:$B$180,"=EMP",'MoodysData(Raw)'!$D$2:$D$180,"="&amp;'Implied Productivity Ratios'!$C47)</f>
        <v>72.993870735740757</v>
      </c>
      <c r="BA47">
        <f>SUMIFS('MoodysData(Raw)'!BD$2:BD$180,'MoodysData(Raw)'!$B$2:$B$180,"=GDP",'MoodysData(Raw)'!$D$2:$D$180,"="&amp;'Implied Productivity Ratios'!$C47)/SUMIFS('MoodysData(Raw)'!BD$2:BD$180,'MoodysData(Raw)'!$B$2:$B$180,"=EMP",'MoodysData(Raw)'!$D$2:$D$180,"="&amp;'Implied Productivity Ratios'!$C47)</f>
        <v>74.41351602409901</v>
      </c>
      <c r="BB47">
        <f>SUMIFS('MoodysData(Raw)'!BE$2:BE$180,'MoodysData(Raw)'!$B$2:$B$180,"=GDP",'MoodysData(Raw)'!$D$2:$D$180,"="&amp;'Implied Productivity Ratios'!$C47)/SUMIFS('MoodysData(Raw)'!BE$2:BE$180,'MoodysData(Raw)'!$B$2:$B$180,"=EMP",'MoodysData(Raw)'!$D$2:$D$180,"="&amp;'Implied Productivity Ratios'!$C47)</f>
        <v>75.968249907817096</v>
      </c>
      <c r="BC47">
        <f>SUMIFS('MoodysData(Raw)'!BF$2:BF$180,'MoodysData(Raw)'!$B$2:$B$180,"=GDP",'MoodysData(Raw)'!$D$2:$D$180,"="&amp;'Implied Productivity Ratios'!$C47)/SUMIFS('MoodysData(Raw)'!BF$2:BF$180,'MoodysData(Raw)'!$B$2:$B$180,"=EMP",'MoodysData(Raw)'!$D$2:$D$180,"="&amp;'Implied Productivity Ratios'!$C47)</f>
        <v>77.664646265980224</v>
      </c>
      <c r="BD47" s="5">
        <f t="shared" ref="BD47:BH47" si="41">BC47+($BC47-$AX47)/5</f>
        <v>79.085472652347093</v>
      </c>
      <c r="BE47" s="5">
        <f t="shared" si="41"/>
        <v>80.506299038713962</v>
      </c>
      <c r="BF47" s="5">
        <f t="shared" si="41"/>
        <v>81.927125425080831</v>
      </c>
      <c r="BG47" s="5">
        <f t="shared" si="41"/>
        <v>83.3479518114477</v>
      </c>
      <c r="BH47" s="5">
        <f t="shared" si="41"/>
        <v>84.768778197814569</v>
      </c>
    </row>
    <row r="48" spans="3:60">
      <c r="C48">
        <v>454</v>
      </c>
      <c r="D48" t="s">
        <v>163</v>
      </c>
      <c r="E48">
        <f>SUMIFS('MoodysData(Raw)'!H$2:H$180,'MoodysData(Raw)'!$B$2:$B$180,"=GDP",'MoodysData(Raw)'!$D$2:$D$180,"="&amp;'Implied Productivity Ratios'!$C48)/SUMIFS('MoodysData(Raw)'!H$2:H$180,'MoodysData(Raw)'!$B$2:$B$180,"=EMP",'MoodysData(Raw)'!$D$2:$D$180,"="&amp;'Implied Productivity Ratios'!$C48)</f>
        <v>189.12546691881897</v>
      </c>
      <c r="F48">
        <f>SUMIFS('MoodysData(Raw)'!I$2:I$180,'MoodysData(Raw)'!$B$2:$B$180,"=GDP",'MoodysData(Raw)'!$D$2:$D$180,"="&amp;'Implied Productivity Ratios'!$C48)/SUMIFS('MoodysData(Raw)'!I$2:I$180,'MoodysData(Raw)'!$B$2:$B$180,"=EMP",'MoodysData(Raw)'!$D$2:$D$180,"="&amp;'Implied Productivity Ratios'!$C48)</f>
        <v>214.75274254888294</v>
      </c>
      <c r="G48">
        <f>SUMIFS('MoodysData(Raw)'!J$2:J$180,'MoodysData(Raw)'!$B$2:$B$180,"=GDP",'MoodysData(Raw)'!$D$2:$D$180,"="&amp;'Implied Productivity Ratios'!$C48)/SUMIFS('MoodysData(Raw)'!J$2:J$180,'MoodysData(Raw)'!$B$2:$B$180,"=EMP",'MoodysData(Raw)'!$D$2:$D$180,"="&amp;'Implied Productivity Ratios'!$C48)</f>
        <v>225.84846872127341</v>
      </c>
      <c r="H48">
        <f>SUMIFS('MoodysData(Raw)'!K$2:K$180,'MoodysData(Raw)'!$B$2:$B$180,"=GDP",'MoodysData(Raw)'!$D$2:$D$180,"="&amp;'Implied Productivity Ratios'!$C48)/SUMIFS('MoodysData(Raw)'!K$2:K$180,'MoodysData(Raw)'!$B$2:$B$180,"=EMP",'MoodysData(Raw)'!$D$2:$D$180,"="&amp;'Implied Productivity Ratios'!$C48)</f>
        <v>216.31118070830175</v>
      </c>
      <c r="I48">
        <f>SUMIFS('MoodysData(Raw)'!L$2:L$180,'MoodysData(Raw)'!$B$2:$B$180,"=GDP",'MoodysData(Raw)'!$D$2:$D$180,"="&amp;'Implied Productivity Ratios'!$C48)/SUMIFS('MoodysData(Raw)'!L$2:L$180,'MoodysData(Raw)'!$B$2:$B$180,"=EMP",'MoodysData(Raw)'!$D$2:$D$180,"="&amp;'Implied Productivity Ratios'!$C48)</f>
        <v>244.1565233271989</v>
      </c>
      <c r="J48">
        <f>SUMIFS('MoodysData(Raw)'!M$2:M$180,'MoodysData(Raw)'!$B$2:$B$180,"=GDP",'MoodysData(Raw)'!$D$2:$D$180,"="&amp;'Implied Productivity Ratios'!$C48)/SUMIFS('MoodysData(Raw)'!M$2:M$180,'MoodysData(Raw)'!$B$2:$B$180,"=EMP",'MoodysData(Raw)'!$D$2:$D$180,"="&amp;'Implied Productivity Ratios'!$C48)</f>
        <v>274.69712203126932</v>
      </c>
      <c r="K48">
        <f>SUMIFS('MoodysData(Raw)'!N$2:N$180,'MoodysData(Raw)'!$B$2:$B$180,"=GDP",'MoodysData(Raw)'!$D$2:$D$180,"="&amp;'Implied Productivity Ratios'!$C48)/SUMIFS('MoodysData(Raw)'!N$2:N$180,'MoodysData(Raw)'!$B$2:$B$180,"=EMP",'MoodysData(Raw)'!$D$2:$D$180,"="&amp;'Implied Productivity Ratios'!$C48)</f>
        <v>286.19606302435034</v>
      </c>
      <c r="L48">
        <f>SUMIFS('MoodysData(Raw)'!O$2:O$180,'MoodysData(Raw)'!$B$2:$B$180,"=GDP",'MoodysData(Raw)'!$D$2:$D$180,"="&amp;'Implied Productivity Ratios'!$C48)/SUMIFS('MoodysData(Raw)'!O$2:O$180,'MoodysData(Raw)'!$B$2:$B$180,"=EMP",'MoodysData(Raw)'!$D$2:$D$180,"="&amp;'Implied Productivity Ratios'!$C48)</f>
        <v>317.8235960306335</v>
      </c>
      <c r="M48">
        <f>SUMIFS('MoodysData(Raw)'!P$2:P$180,'MoodysData(Raw)'!$B$2:$B$180,"=GDP",'MoodysData(Raw)'!$D$2:$D$180,"="&amp;'Implied Productivity Ratios'!$C48)/SUMIFS('MoodysData(Raw)'!P$2:P$180,'MoodysData(Raw)'!$B$2:$B$180,"=EMP",'MoodysData(Raw)'!$D$2:$D$180,"="&amp;'Implied Productivity Ratios'!$C48)</f>
        <v>334.35008444980627</v>
      </c>
      <c r="N48">
        <f>SUMIFS('MoodysData(Raw)'!Q$2:Q$180,'MoodysData(Raw)'!$B$2:$B$180,"=GDP",'MoodysData(Raw)'!$D$2:$D$180,"="&amp;'Implied Productivity Ratios'!$C48)/SUMIFS('MoodysData(Raw)'!Q$2:Q$180,'MoodysData(Raw)'!$B$2:$B$180,"=EMP",'MoodysData(Raw)'!$D$2:$D$180,"="&amp;'Implied Productivity Ratios'!$C48)</f>
        <v>335.83180973562088</v>
      </c>
      <c r="O48">
        <f>SUMIFS('MoodysData(Raw)'!R$2:R$180,'MoodysData(Raw)'!$B$2:$B$180,"=GDP",'MoodysData(Raw)'!$D$2:$D$180,"="&amp;'Implied Productivity Ratios'!$C48)/SUMIFS('MoodysData(Raw)'!R$2:R$180,'MoodysData(Raw)'!$B$2:$B$180,"=EMP",'MoodysData(Raw)'!$D$2:$D$180,"="&amp;'Implied Productivity Ratios'!$C48)</f>
        <v>352.99311104668021</v>
      </c>
      <c r="P48">
        <f>SUMIFS('MoodysData(Raw)'!S$2:S$180,'MoodysData(Raw)'!$B$2:$B$180,"=GDP",'MoodysData(Raw)'!$D$2:$D$180,"="&amp;'Implied Productivity Ratios'!$C48)/SUMIFS('MoodysData(Raw)'!S$2:S$180,'MoodysData(Raw)'!$B$2:$B$180,"=EMP",'MoodysData(Raw)'!$D$2:$D$180,"="&amp;'Implied Productivity Ratios'!$C48)</f>
        <v>370.32244603144193</v>
      </c>
      <c r="Q48">
        <f>SUMIFS('MoodysData(Raw)'!T$2:T$180,'MoodysData(Raw)'!$B$2:$B$180,"=GDP",'MoodysData(Raw)'!$D$2:$D$180,"="&amp;'Implied Productivity Ratios'!$C48)/SUMIFS('MoodysData(Raw)'!T$2:T$180,'MoodysData(Raw)'!$B$2:$B$180,"=EMP",'MoodysData(Raw)'!$D$2:$D$180,"="&amp;'Implied Productivity Ratios'!$C48)</f>
        <v>389.15678431838529</v>
      </c>
      <c r="R48">
        <f>SUMIFS('MoodysData(Raw)'!U$2:U$180,'MoodysData(Raw)'!$B$2:$B$180,"=GDP",'MoodysData(Raw)'!$D$2:$D$180,"="&amp;'Implied Productivity Ratios'!$C48)/SUMIFS('MoodysData(Raw)'!U$2:U$180,'MoodysData(Raw)'!$B$2:$B$180,"=EMP",'MoodysData(Raw)'!$D$2:$D$180,"="&amp;'Implied Productivity Ratios'!$C48)</f>
        <v>413.75036023866966</v>
      </c>
      <c r="S48">
        <f>SUMIFS('MoodysData(Raw)'!V$2:V$180,'MoodysData(Raw)'!$B$2:$B$180,"=GDP",'MoodysData(Raw)'!$D$2:$D$180,"="&amp;'Implied Productivity Ratios'!$C48)/SUMIFS('MoodysData(Raw)'!V$2:V$180,'MoodysData(Raw)'!$B$2:$B$180,"=EMP",'MoodysData(Raw)'!$D$2:$D$180,"="&amp;'Implied Productivity Ratios'!$C48)</f>
        <v>406.00575090140308</v>
      </c>
      <c r="T48">
        <f>SUMIFS('MoodysData(Raw)'!W$2:W$180,'MoodysData(Raw)'!$B$2:$B$180,"=GDP",'MoodysData(Raw)'!$D$2:$D$180,"="&amp;'Implied Productivity Ratios'!$C48)/SUMIFS('MoodysData(Raw)'!W$2:W$180,'MoodysData(Raw)'!$B$2:$B$180,"=EMP",'MoodysData(Raw)'!$D$2:$D$180,"="&amp;'Implied Productivity Ratios'!$C48)</f>
        <v>497.92000370931845</v>
      </c>
      <c r="U48">
        <f>SUMIFS('MoodysData(Raw)'!X$2:X$180,'MoodysData(Raw)'!$B$2:$B$180,"=GDP",'MoodysData(Raw)'!$D$2:$D$180,"="&amp;'Implied Productivity Ratios'!$C48)/SUMIFS('MoodysData(Raw)'!X$2:X$180,'MoodysData(Raw)'!$B$2:$B$180,"=EMP",'MoodysData(Raw)'!$D$2:$D$180,"="&amp;'Implied Productivity Ratios'!$C48)</f>
        <v>499.87974637512235</v>
      </c>
      <c r="V48">
        <f>SUMIFS('MoodysData(Raw)'!Y$2:Y$180,'MoodysData(Raw)'!$B$2:$B$180,"=GDP",'MoodysData(Raw)'!$D$2:$D$180,"="&amp;'Implied Productivity Ratios'!$C48)/SUMIFS('MoodysData(Raw)'!Y$2:Y$180,'MoodysData(Raw)'!$B$2:$B$180,"=EMP",'MoodysData(Raw)'!$D$2:$D$180,"="&amp;'Implied Productivity Ratios'!$C48)</f>
        <v>572.20867721592151</v>
      </c>
      <c r="W48">
        <f>SUMIFS('MoodysData(Raw)'!Z$2:Z$180,'MoodysData(Raw)'!$B$2:$B$180,"=GDP",'MoodysData(Raw)'!$D$2:$D$180,"="&amp;'Implied Productivity Ratios'!$C48)/SUMIFS('MoodysData(Raw)'!Z$2:Z$180,'MoodysData(Raw)'!$B$2:$B$180,"=EMP",'MoodysData(Raw)'!$D$2:$D$180,"="&amp;'Implied Productivity Ratios'!$C48)</f>
        <v>638.17863911090899</v>
      </c>
      <c r="X48">
        <f>SUMIFS('MoodysData(Raw)'!AA$2:AA$180,'MoodysData(Raw)'!$B$2:$B$180,"=GDP",'MoodysData(Raw)'!$D$2:$D$180,"="&amp;'Implied Productivity Ratios'!$C48)/SUMIFS('MoodysData(Raw)'!AA$2:AA$180,'MoodysData(Raw)'!$B$2:$B$180,"=EMP",'MoodysData(Raw)'!$D$2:$D$180,"="&amp;'Implied Productivity Ratios'!$C48)</f>
        <v>668.86105637902472</v>
      </c>
      <c r="Y48">
        <f>SUMIFS('MoodysData(Raw)'!AB$2:AB$180,'MoodysData(Raw)'!$B$2:$B$180,"=GDP",'MoodysData(Raw)'!$D$2:$D$180,"="&amp;'Implied Productivity Ratios'!$C48)/SUMIFS('MoodysData(Raw)'!AB$2:AB$180,'MoodysData(Raw)'!$B$2:$B$180,"=EMP",'MoodysData(Raw)'!$D$2:$D$180,"="&amp;'Implied Productivity Ratios'!$C48)</f>
        <v>704.96289730882734</v>
      </c>
      <c r="Z48">
        <f>SUMIFS('MoodysData(Raw)'!AC$2:AC$180,'MoodysData(Raw)'!$B$2:$B$180,"=GDP",'MoodysData(Raw)'!$D$2:$D$180,"="&amp;'Implied Productivity Ratios'!$C48)/SUMIFS('MoodysData(Raw)'!AC$2:AC$180,'MoodysData(Raw)'!$B$2:$B$180,"=EMP",'MoodysData(Raw)'!$D$2:$D$180,"="&amp;'Implied Productivity Ratios'!$C48)</f>
        <v>741.14762773886696</v>
      </c>
      <c r="AA48">
        <f>SUMIFS('MoodysData(Raw)'!AD$2:AD$180,'MoodysData(Raw)'!$B$2:$B$180,"=GDP",'MoodysData(Raw)'!$D$2:$D$180,"="&amp;'Implied Productivity Ratios'!$C48)/SUMIFS('MoodysData(Raw)'!AD$2:AD$180,'MoodysData(Raw)'!$B$2:$B$180,"=EMP",'MoodysData(Raw)'!$D$2:$D$180,"="&amp;'Implied Productivity Ratios'!$C48)</f>
        <v>777.90234401200246</v>
      </c>
      <c r="AB48">
        <f>SUMIFS('MoodysData(Raw)'!AE$2:AE$180,'MoodysData(Raw)'!$B$2:$B$180,"=GDP",'MoodysData(Raw)'!$D$2:$D$180,"="&amp;'Implied Productivity Ratios'!$C48)/SUMIFS('MoodysData(Raw)'!AE$2:AE$180,'MoodysData(Raw)'!$B$2:$B$180,"=EMP",'MoodysData(Raw)'!$D$2:$D$180,"="&amp;'Implied Productivity Ratios'!$C48)</f>
        <v>815.00527070025009</v>
      </c>
      <c r="AC48">
        <f>SUMIFS('MoodysData(Raw)'!AF$2:AF$180,'MoodysData(Raw)'!$B$2:$B$180,"=GDP",'MoodysData(Raw)'!$D$2:$D$180,"="&amp;'Implied Productivity Ratios'!$C48)/SUMIFS('MoodysData(Raw)'!AF$2:AF$180,'MoodysData(Raw)'!$B$2:$B$180,"=EMP",'MoodysData(Raw)'!$D$2:$D$180,"="&amp;'Implied Productivity Ratios'!$C48)</f>
        <v>852.99712296714688</v>
      </c>
      <c r="AD48">
        <f>SUMIFS('MoodysData(Raw)'!AG$2:AG$180,'MoodysData(Raw)'!$B$2:$B$180,"=GDP",'MoodysData(Raw)'!$D$2:$D$180,"="&amp;'Implied Productivity Ratios'!$C48)/SUMIFS('MoodysData(Raw)'!AG$2:AG$180,'MoodysData(Raw)'!$B$2:$B$180,"=EMP",'MoodysData(Raw)'!$D$2:$D$180,"="&amp;'Implied Productivity Ratios'!$C48)</f>
        <v>892.13152561934669</v>
      </c>
      <c r="AE48">
        <f>SUMIFS('MoodysData(Raw)'!AH$2:AH$180,'MoodysData(Raw)'!$B$2:$B$180,"=GDP",'MoodysData(Raw)'!$D$2:$D$180,"="&amp;'Implied Productivity Ratios'!$C48)/SUMIFS('MoodysData(Raw)'!AH$2:AH$180,'MoodysData(Raw)'!$B$2:$B$180,"=EMP",'MoodysData(Raw)'!$D$2:$D$180,"="&amp;'Implied Productivity Ratios'!$C48)</f>
        <v>929.9112339661026</v>
      </c>
      <c r="AF48">
        <f>SUMIFS('MoodysData(Raw)'!AI$2:AI$180,'MoodysData(Raw)'!$B$2:$B$180,"=GDP",'MoodysData(Raw)'!$D$2:$D$180,"="&amp;'Implied Productivity Ratios'!$C48)/SUMIFS('MoodysData(Raw)'!AI$2:AI$180,'MoodysData(Raw)'!$B$2:$B$180,"=EMP",'MoodysData(Raw)'!$D$2:$D$180,"="&amp;'Implied Productivity Ratios'!$C48)</f>
        <v>967.16389639064698</v>
      </c>
      <c r="AG48">
        <f>SUMIFS('MoodysData(Raw)'!AJ$2:AJ$180,'MoodysData(Raw)'!$B$2:$B$180,"=GDP",'MoodysData(Raw)'!$D$2:$D$180,"="&amp;'Implied Productivity Ratios'!$C48)/SUMIFS('MoodysData(Raw)'!AJ$2:AJ$180,'MoodysData(Raw)'!$B$2:$B$180,"=EMP",'MoodysData(Raw)'!$D$2:$D$180,"="&amp;'Implied Productivity Ratios'!$C48)</f>
        <v>1003.7448282819872</v>
      </c>
      <c r="AH48">
        <f>SUMIFS('MoodysData(Raw)'!AK$2:AK$180,'MoodysData(Raw)'!$B$2:$B$180,"=GDP",'MoodysData(Raw)'!$D$2:$D$180,"="&amp;'Implied Productivity Ratios'!$C48)/SUMIFS('MoodysData(Raw)'!AK$2:AK$180,'MoodysData(Raw)'!$B$2:$B$180,"=EMP",'MoodysData(Raw)'!$D$2:$D$180,"="&amp;'Implied Productivity Ratios'!$C48)</f>
        <v>1037.9949227923537</v>
      </c>
      <c r="AI48">
        <f>SUMIFS('MoodysData(Raw)'!AL$2:AL$180,'MoodysData(Raw)'!$B$2:$B$180,"=GDP",'MoodysData(Raw)'!$D$2:$D$180,"="&amp;'Implied Productivity Ratios'!$C48)/SUMIFS('MoodysData(Raw)'!AL$2:AL$180,'MoodysData(Raw)'!$B$2:$B$180,"=EMP",'MoodysData(Raw)'!$D$2:$D$180,"="&amp;'Implied Productivity Ratios'!$C48)</f>
        <v>1071.2146265222664</v>
      </c>
      <c r="AJ48">
        <f>SUMIFS('MoodysData(Raw)'!AM$2:AM$180,'MoodysData(Raw)'!$B$2:$B$180,"=GDP",'MoodysData(Raw)'!$D$2:$D$180,"="&amp;'Implied Productivity Ratios'!$C48)/SUMIFS('MoodysData(Raw)'!AM$2:AM$180,'MoodysData(Raw)'!$B$2:$B$180,"=EMP",'MoodysData(Raw)'!$D$2:$D$180,"="&amp;'Implied Productivity Ratios'!$C48)</f>
        <v>1105.7508655517327</v>
      </c>
      <c r="AK48">
        <f>SUMIFS('MoodysData(Raw)'!AN$2:AN$180,'MoodysData(Raw)'!$B$2:$B$180,"=GDP",'MoodysData(Raw)'!$D$2:$D$180,"="&amp;'Implied Productivity Ratios'!$C48)/SUMIFS('MoodysData(Raw)'!AN$2:AN$180,'MoodysData(Raw)'!$B$2:$B$180,"=EMP",'MoodysData(Raw)'!$D$2:$D$180,"="&amp;'Implied Productivity Ratios'!$C48)</f>
        <v>1141.4331143032946</v>
      </c>
      <c r="AL48">
        <f>SUMIFS('MoodysData(Raw)'!AO$2:AO$180,'MoodysData(Raw)'!$B$2:$B$180,"=GDP",'MoodysData(Raw)'!$D$2:$D$180,"="&amp;'Implied Productivity Ratios'!$C48)/SUMIFS('MoodysData(Raw)'!AO$2:AO$180,'MoodysData(Raw)'!$B$2:$B$180,"=EMP",'MoodysData(Raw)'!$D$2:$D$180,"="&amp;'Implied Productivity Ratios'!$C48)</f>
        <v>1180.0403102127225</v>
      </c>
      <c r="AM48">
        <f>SUMIFS('MoodysData(Raw)'!AP$2:AP$180,'MoodysData(Raw)'!$B$2:$B$180,"=GDP",'MoodysData(Raw)'!$D$2:$D$180,"="&amp;'Implied Productivity Ratios'!$C48)/SUMIFS('MoodysData(Raw)'!AP$2:AP$180,'MoodysData(Raw)'!$B$2:$B$180,"=EMP",'MoodysData(Raw)'!$D$2:$D$180,"="&amp;'Implied Productivity Ratios'!$C48)</f>
        <v>1219.3187376755193</v>
      </c>
      <c r="AN48">
        <f>SUMIFS('MoodysData(Raw)'!AQ$2:AQ$180,'MoodysData(Raw)'!$B$2:$B$180,"=GDP",'MoodysData(Raw)'!$D$2:$D$180,"="&amp;'Implied Productivity Ratios'!$C48)/SUMIFS('MoodysData(Raw)'!AQ$2:AQ$180,'MoodysData(Raw)'!$B$2:$B$180,"=EMP",'MoodysData(Raw)'!$D$2:$D$180,"="&amp;'Implied Productivity Ratios'!$C48)</f>
        <v>1258.1848083241575</v>
      </c>
      <c r="AO48">
        <f>SUMIFS('MoodysData(Raw)'!AR$2:AR$180,'MoodysData(Raw)'!$B$2:$B$180,"=GDP",'MoodysData(Raw)'!$D$2:$D$180,"="&amp;'Implied Productivity Ratios'!$C48)/SUMIFS('MoodysData(Raw)'!AR$2:AR$180,'MoodysData(Raw)'!$B$2:$B$180,"=EMP",'MoodysData(Raw)'!$D$2:$D$180,"="&amp;'Implied Productivity Ratios'!$C48)</f>
        <v>1295.8015092333178</v>
      </c>
      <c r="AP48">
        <f>SUMIFS('MoodysData(Raw)'!AS$2:AS$180,'MoodysData(Raw)'!$B$2:$B$180,"=GDP",'MoodysData(Raw)'!$D$2:$D$180,"="&amp;'Implied Productivity Ratios'!$C48)/SUMIFS('MoodysData(Raw)'!AS$2:AS$180,'MoodysData(Raw)'!$B$2:$B$180,"=EMP",'MoodysData(Raw)'!$D$2:$D$180,"="&amp;'Implied Productivity Ratios'!$C48)</f>
        <v>1332.8094159263321</v>
      </c>
      <c r="AQ48">
        <f>SUMIFS('MoodysData(Raw)'!AT$2:AT$180,'MoodysData(Raw)'!$B$2:$B$180,"=GDP",'MoodysData(Raw)'!$D$2:$D$180,"="&amp;'Implied Productivity Ratios'!$C48)/SUMIFS('MoodysData(Raw)'!AT$2:AT$180,'MoodysData(Raw)'!$B$2:$B$180,"=EMP",'MoodysData(Raw)'!$D$2:$D$180,"="&amp;'Implied Productivity Ratios'!$C48)</f>
        <v>1369.6951179535547</v>
      </c>
      <c r="AR48">
        <f>SUMIFS('MoodysData(Raw)'!AU$2:AU$180,'MoodysData(Raw)'!$B$2:$B$180,"=GDP",'MoodysData(Raw)'!$D$2:$D$180,"="&amp;'Implied Productivity Ratios'!$C48)/SUMIFS('MoodysData(Raw)'!AU$2:AU$180,'MoodysData(Raw)'!$B$2:$B$180,"=EMP",'MoodysData(Raw)'!$D$2:$D$180,"="&amp;'Implied Productivity Ratios'!$C48)</f>
        <v>1406.8195824389577</v>
      </c>
      <c r="AS48">
        <f>SUMIFS('MoodysData(Raw)'!AV$2:AV$180,'MoodysData(Raw)'!$B$2:$B$180,"=GDP",'MoodysData(Raw)'!$D$2:$D$180,"="&amp;'Implied Productivity Ratios'!$C48)/SUMIFS('MoodysData(Raw)'!AV$2:AV$180,'MoodysData(Raw)'!$B$2:$B$180,"=EMP",'MoodysData(Raw)'!$D$2:$D$180,"="&amp;'Implied Productivity Ratios'!$C48)</f>
        <v>1443.8983399631609</v>
      </c>
      <c r="AT48">
        <f>SUMIFS('MoodysData(Raw)'!AW$2:AW$180,'MoodysData(Raw)'!$B$2:$B$180,"=GDP",'MoodysData(Raw)'!$D$2:$D$180,"="&amp;'Implied Productivity Ratios'!$C48)/SUMIFS('MoodysData(Raw)'!AW$2:AW$180,'MoodysData(Raw)'!$B$2:$B$180,"=EMP",'MoodysData(Raw)'!$D$2:$D$180,"="&amp;'Implied Productivity Ratios'!$C48)</f>
        <v>1480.533875591593</v>
      </c>
      <c r="AU48">
        <f>SUMIFS('MoodysData(Raw)'!AX$2:AX$180,'MoodysData(Raw)'!$B$2:$B$180,"=GDP",'MoodysData(Raw)'!$D$2:$D$180,"="&amp;'Implied Productivity Ratios'!$C48)/SUMIFS('MoodysData(Raw)'!AX$2:AX$180,'MoodysData(Raw)'!$B$2:$B$180,"=EMP",'MoodysData(Raw)'!$D$2:$D$180,"="&amp;'Implied Productivity Ratios'!$C48)</f>
        <v>1517.5976729022109</v>
      </c>
      <c r="AV48">
        <f>SUMIFS('MoodysData(Raw)'!AY$2:AY$180,'MoodysData(Raw)'!$B$2:$B$180,"=GDP",'MoodysData(Raw)'!$D$2:$D$180,"="&amp;'Implied Productivity Ratios'!$C48)/SUMIFS('MoodysData(Raw)'!AY$2:AY$180,'MoodysData(Raw)'!$B$2:$B$180,"=EMP",'MoodysData(Raw)'!$D$2:$D$180,"="&amp;'Implied Productivity Ratios'!$C48)</f>
        <v>1555.7098883478513</v>
      </c>
      <c r="AW48">
        <f>SUMIFS('MoodysData(Raw)'!AZ$2:AZ$180,'MoodysData(Raw)'!$B$2:$B$180,"=GDP",'MoodysData(Raw)'!$D$2:$D$180,"="&amp;'Implied Productivity Ratios'!$C48)/SUMIFS('MoodysData(Raw)'!AZ$2:AZ$180,'MoodysData(Raw)'!$B$2:$B$180,"=EMP",'MoodysData(Raw)'!$D$2:$D$180,"="&amp;'Implied Productivity Ratios'!$C48)</f>
        <v>1593.8117705710517</v>
      </c>
      <c r="AX48">
        <f>SUMIFS('MoodysData(Raw)'!BA$2:BA$180,'MoodysData(Raw)'!$B$2:$B$180,"=GDP",'MoodysData(Raw)'!$D$2:$D$180,"="&amp;'Implied Productivity Ratios'!$C48)/SUMIFS('MoodysData(Raw)'!BA$2:BA$180,'MoodysData(Raw)'!$B$2:$B$180,"=EMP",'MoodysData(Raw)'!$D$2:$D$180,"="&amp;'Implied Productivity Ratios'!$C48)</f>
        <v>1631.976678605216</v>
      </c>
      <c r="AY48">
        <f>SUMIFS('MoodysData(Raw)'!BB$2:BB$180,'MoodysData(Raw)'!$B$2:$B$180,"=GDP",'MoodysData(Raw)'!$D$2:$D$180,"="&amp;'Implied Productivity Ratios'!$C48)/SUMIFS('MoodysData(Raw)'!BB$2:BB$180,'MoodysData(Raw)'!$B$2:$B$180,"=EMP",'MoodysData(Raw)'!$D$2:$D$180,"="&amp;'Implied Productivity Ratios'!$C48)</f>
        <v>1670.313939113181</v>
      </c>
      <c r="AZ48">
        <f>SUMIFS('MoodysData(Raw)'!BC$2:BC$180,'MoodysData(Raw)'!$B$2:$B$180,"=GDP",'MoodysData(Raw)'!$D$2:$D$180,"="&amp;'Implied Productivity Ratios'!$C48)/SUMIFS('MoodysData(Raw)'!BC$2:BC$180,'MoodysData(Raw)'!$B$2:$B$180,"=EMP",'MoodysData(Raw)'!$D$2:$D$180,"="&amp;'Implied Productivity Ratios'!$C48)</f>
        <v>1709.3699817887211</v>
      </c>
      <c r="BA48">
        <f>SUMIFS('MoodysData(Raw)'!BD$2:BD$180,'MoodysData(Raw)'!$B$2:$B$180,"=GDP",'MoodysData(Raw)'!$D$2:$D$180,"="&amp;'Implied Productivity Ratios'!$C48)/SUMIFS('MoodysData(Raw)'!BD$2:BD$180,'MoodysData(Raw)'!$B$2:$B$180,"=EMP",'MoodysData(Raw)'!$D$2:$D$180,"="&amp;'Implied Productivity Ratios'!$C48)</f>
        <v>1749.5340788875026</v>
      </c>
      <c r="BB48">
        <f>SUMIFS('MoodysData(Raw)'!BE$2:BE$180,'MoodysData(Raw)'!$B$2:$B$180,"=GDP",'MoodysData(Raw)'!$D$2:$D$180,"="&amp;'Implied Productivity Ratios'!$C48)/SUMIFS('MoodysData(Raw)'!BE$2:BE$180,'MoodysData(Raw)'!$B$2:$B$180,"=EMP",'MoodysData(Raw)'!$D$2:$D$180,"="&amp;'Implied Productivity Ratios'!$C48)</f>
        <v>1790.5350552782936</v>
      </c>
      <c r="BC48">
        <f>SUMIFS('MoodysData(Raw)'!BF$2:BF$180,'MoodysData(Raw)'!$B$2:$B$180,"=GDP",'MoodysData(Raw)'!$D$2:$D$180,"="&amp;'Implied Productivity Ratios'!$C48)/SUMIFS('MoodysData(Raw)'!BF$2:BF$180,'MoodysData(Raw)'!$B$2:$B$180,"=EMP",'MoodysData(Raw)'!$D$2:$D$180,"="&amp;'Implied Productivity Ratios'!$C48)</f>
        <v>1832.4010147654546</v>
      </c>
      <c r="BD48" s="5">
        <f t="shared" ref="BD48:BH48" si="42">BC48+($BC48-$AX48)/5</f>
        <v>1872.4858819975025</v>
      </c>
      <c r="BE48" s="5">
        <f t="shared" si="42"/>
        <v>1912.5707492295503</v>
      </c>
      <c r="BF48" s="5">
        <f t="shared" si="42"/>
        <v>1952.6556164615981</v>
      </c>
      <c r="BG48" s="5">
        <f t="shared" si="42"/>
        <v>1992.740483693646</v>
      </c>
      <c r="BH48" s="5">
        <f t="shared" si="42"/>
        <v>2032.8253509256938</v>
      </c>
    </row>
    <row r="49" spans="3:60">
      <c r="C49">
        <v>481</v>
      </c>
      <c r="D49" t="s">
        <v>167</v>
      </c>
      <c r="E49">
        <f>SUMIFS('MoodysData(Raw)'!H$2:H$180,'MoodysData(Raw)'!$B$2:$B$180,"=GDP",'MoodysData(Raw)'!$D$2:$D$180,"="&amp;'Implied Productivity Ratios'!$C49)/SUMIFS('MoodysData(Raw)'!H$2:H$180,'MoodysData(Raw)'!$B$2:$B$180,"=EMP",'MoodysData(Raw)'!$D$2:$D$180,"="&amp;'Implied Productivity Ratios'!$C49)</f>
        <v>163.53491127469488</v>
      </c>
      <c r="F49">
        <f>SUMIFS('MoodysData(Raw)'!I$2:I$180,'MoodysData(Raw)'!$B$2:$B$180,"=GDP",'MoodysData(Raw)'!$D$2:$D$180,"="&amp;'Implied Productivity Ratios'!$C49)/SUMIFS('MoodysData(Raw)'!I$2:I$180,'MoodysData(Raw)'!$B$2:$B$180,"=EMP",'MoodysData(Raw)'!$D$2:$D$180,"="&amp;'Implied Productivity Ratios'!$C49)</f>
        <v>185.00689926213522</v>
      </c>
      <c r="G49">
        <f>SUMIFS('MoodysData(Raw)'!J$2:J$180,'MoodysData(Raw)'!$B$2:$B$180,"=GDP",'MoodysData(Raw)'!$D$2:$D$180,"="&amp;'Implied Productivity Ratios'!$C49)/SUMIFS('MoodysData(Raw)'!J$2:J$180,'MoodysData(Raw)'!$B$2:$B$180,"=EMP",'MoodysData(Raw)'!$D$2:$D$180,"="&amp;'Implied Productivity Ratios'!$C49)</f>
        <v>197.18188530642382</v>
      </c>
      <c r="H49">
        <f>SUMIFS('MoodysData(Raw)'!K$2:K$180,'MoodysData(Raw)'!$B$2:$B$180,"=GDP",'MoodysData(Raw)'!$D$2:$D$180,"="&amp;'Implied Productivity Ratios'!$C49)/SUMIFS('MoodysData(Raw)'!K$2:K$180,'MoodysData(Raw)'!$B$2:$B$180,"=EMP",'MoodysData(Raw)'!$D$2:$D$180,"="&amp;'Implied Productivity Ratios'!$C49)</f>
        <v>188.68181856866866</v>
      </c>
      <c r="I49">
        <f>SUMIFS('MoodysData(Raw)'!L$2:L$180,'MoodysData(Raw)'!$B$2:$B$180,"=GDP",'MoodysData(Raw)'!$D$2:$D$180,"="&amp;'Implied Productivity Ratios'!$C49)/SUMIFS('MoodysData(Raw)'!L$2:L$180,'MoodysData(Raw)'!$B$2:$B$180,"=EMP",'MoodysData(Raw)'!$D$2:$D$180,"="&amp;'Implied Productivity Ratios'!$C49)</f>
        <v>200.10592594276363</v>
      </c>
      <c r="J49">
        <f>SUMIFS('MoodysData(Raw)'!M$2:M$180,'MoodysData(Raw)'!$B$2:$B$180,"=GDP",'MoodysData(Raw)'!$D$2:$D$180,"="&amp;'Implied Productivity Ratios'!$C49)/SUMIFS('MoodysData(Raw)'!M$2:M$180,'MoodysData(Raw)'!$B$2:$B$180,"=EMP",'MoodysData(Raw)'!$D$2:$D$180,"="&amp;'Implied Productivity Ratios'!$C49)</f>
        <v>239.35893720258409</v>
      </c>
      <c r="K49">
        <f>SUMIFS('MoodysData(Raw)'!N$2:N$180,'MoodysData(Raw)'!$B$2:$B$180,"=GDP",'MoodysData(Raw)'!$D$2:$D$180,"="&amp;'Implied Productivity Ratios'!$C49)/SUMIFS('MoodysData(Raw)'!N$2:N$180,'MoodysData(Raw)'!$B$2:$B$180,"=EMP",'MoodysData(Raw)'!$D$2:$D$180,"="&amp;'Implied Productivity Ratios'!$C49)</f>
        <v>237.63444342158218</v>
      </c>
      <c r="L49">
        <f>SUMIFS('MoodysData(Raw)'!O$2:O$180,'MoodysData(Raw)'!$B$2:$B$180,"=GDP",'MoodysData(Raw)'!$D$2:$D$180,"="&amp;'Implied Productivity Ratios'!$C49)/SUMIFS('MoodysData(Raw)'!O$2:O$180,'MoodysData(Raw)'!$B$2:$B$180,"=EMP",'MoodysData(Raw)'!$D$2:$D$180,"="&amp;'Implied Productivity Ratios'!$C49)</f>
        <v>226.35382475532313</v>
      </c>
      <c r="M49">
        <f>SUMIFS('MoodysData(Raw)'!P$2:P$180,'MoodysData(Raw)'!$B$2:$B$180,"=GDP",'MoodysData(Raw)'!$D$2:$D$180,"="&amp;'Implied Productivity Ratios'!$C49)/SUMIFS('MoodysData(Raw)'!P$2:P$180,'MoodysData(Raw)'!$B$2:$B$180,"=EMP",'MoodysData(Raw)'!$D$2:$D$180,"="&amp;'Implied Productivity Ratios'!$C49)</f>
        <v>242.83099048900894</v>
      </c>
      <c r="N49">
        <f>SUMIFS('MoodysData(Raw)'!Q$2:Q$180,'MoodysData(Raw)'!$B$2:$B$180,"=GDP",'MoodysData(Raw)'!$D$2:$D$180,"="&amp;'Implied Productivity Ratios'!$C49)/SUMIFS('MoodysData(Raw)'!Q$2:Q$180,'MoodysData(Raw)'!$B$2:$B$180,"=EMP",'MoodysData(Raw)'!$D$2:$D$180,"="&amp;'Implied Productivity Ratios'!$C49)</f>
        <v>247.6206208209056</v>
      </c>
      <c r="O49">
        <f>SUMIFS('MoodysData(Raw)'!R$2:R$180,'MoodysData(Raw)'!$B$2:$B$180,"=GDP",'MoodysData(Raw)'!$D$2:$D$180,"="&amp;'Implied Productivity Ratios'!$C49)/SUMIFS('MoodysData(Raw)'!R$2:R$180,'MoodysData(Raw)'!$B$2:$B$180,"=EMP",'MoodysData(Raw)'!$D$2:$D$180,"="&amp;'Implied Productivity Ratios'!$C49)</f>
        <v>250.36608966898319</v>
      </c>
      <c r="P49">
        <f>SUMIFS('MoodysData(Raw)'!S$2:S$180,'MoodysData(Raw)'!$B$2:$B$180,"=GDP",'MoodysData(Raw)'!$D$2:$D$180,"="&amp;'Implied Productivity Ratios'!$C49)/SUMIFS('MoodysData(Raw)'!S$2:S$180,'MoodysData(Raw)'!$B$2:$B$180,"=EMP",'MoodysData(Raw)'!$D$2:$D$180,"="&amp;'Implied Productivity Ratios'!$C49)</f>
        <v>259.77089894212901</v>
      </c>
      <c r="Q49">
        <f>SUMIFS('MoodysData(Raw)'!T$2:T$180,'MoodysData(Raw)'!$B$2:$B$180,"=GDP",'MoodysData(Raw)'!$D$2:$D$180,"="&amp;'Implied Productivity Ratios'!$C49)/SUMIFS('MoodysData(Raw)'!T$2:T$180,'MoodysData(Raw)'!$B$2:$B$180,"=EMP",'MoodysData(Raw)'!$D$2:$D$180,"="&amp;'Implied Productivity Ratios'!$C49)</f>
        <v>267.63940624824511</v>
      </c>
      <c r="R49">
        <f>SUMIFS('MoodysData(Raw)'!U$2:U$180,'MoodysData(Raw)'!$B$2:$B$180,"=GDP",'MoodysData(Raw)'!$D$2:$D$180,"="&amp;'Implied Productivity Ratios'!$C49)/SUMIFS('MoodysData(Raw)'!U$2:U$180,'MoodysData(Raw)'!$B$2:$B$180,"=EMP",'MoodysData(Raw)'!$D$2:$D$180,"="&amp;'Implied Productivity Ratios'!$C49)</f>
        <v>270.8947345002083</v>
      </c>
      <c r="S49">
        <f>SUMIFS('MoodysData(Raw)'!V$2:V$180,'MoodysData(Raw)'!$B$2:$B$180,"=GDP",'MoodysData(Raw)'!$D$2:$D$180,"="&amp;'Implied Productivity Ratios'!$C49)/SUMIFS('MoodysData(Raw)'!V$2:V$180,'MoodysData(Raw)'!$B$2:$B$180,"=EMP",'MoodysData(Raw)'!$D$2:$D$180,"="&amp;'Implied Productivity Ratios'!$C49)</f>
        <v>262.79299226054457</v>
      </c>
      <c r="T49">
        <f>SUMIFS('MoodysData(Raw)'!W$2:W$180,'MoodysData(Raw)'!$B$2:$B$180,"=GDP",'MoodysData(Raw)'!$D$2:$D$180,"="&amp;'Implied Productivity Ratios'!$C49)/SUMIFS('MoodysData(Raw)'!W$2:W$180,'MoodysData(Raw)'!$B$2:$B$180,"=EMP",'MoodysData(Raw)'!$D$2:$D$180,"="&amp;'Implied Productivity Ratios'!$C49)</f>
        <v>153.08841969848899</v>
      </c>
      <c r="U49">
        <f>SUMIFS('MoodysData(Raw)'!X$2:X$180,'MoodysData(Raw)'!$B$2:$B$180,"=GDP",'MoodysData(Raw)'!$D$2:$D$180,"="&amp;'Implied Productivity Ratios'!$C49)/SUMIFS('MoodysData(Raw)'!X$2:X$180,'MoodysData(Raw)'!$B$2:$B$180,"=EMP",'MoodysData(Raw)'!$D$2:$D$180,"="&amp;'Implied Productivity Ratios'!$C49)</f>
        <v>256.61983999371665</v>
      </c>
      <c r="V49">
        <f>SUMIFS('MoodysData(Raw)'!Y$2:Y$180,'MoodysData(Raw)'!$B$2:$B$180,"=GDP",'MoodysData(Raw)'!$D$2:$D$180,"="&amp;'Implied Productivity Ratios'!$C49)/SUMIFS('MoodysData(Raw)'!Y$2:Y$180,'MoodysData(Raw)'!$B$2:$B$180,"=EMP",'MoodysData(Raw)'!$D$2:$D$180,"="&amp;'Implied Productivity Ratios'!$C49)</f>
        <v>287.88801450532497</v>
      </c>
      <c r="W49">
        <f>SUMIFS('MoodysData(Raw)'!Z$2:Z$180,'MoodysData(Raw)'!$B$2:$B$180,"=GDP",'MoodysData(Raw)'!$D$2:$D$180,"="&amp;'Implied Productivity Ratios'!$C49)/SUMIFS('MoodysData(Raw)'!Z$2:Z$180,'MoodysData(Raw)'!$B$2:$B$180,"=EMP",'MoodysData(Raw)'!$D$2:$D$180,"="&amp;'Implied Productivity Ratios'!$C49)</f>
        <v>276.91635943774367</v>
      </c>
      <c r="X49">
        <f>SUMIFS('MoodysData(Raw)'!AA$2:AA$180,'MoodysData(Raw)'!$B$2:$B$180,"=GDP",'MoodysData(Raw)'!$D$2:$D$180,"="&amp;'Implied Productivity Ratios'!$C49)/SUMIFS('MoodysData(Raw)'!AA$2:AA$180,'MoodysData(Raw)'!$B$2:$B$180,"=EMP",'MoodysData(Raw)'!$D$2:$D$180,"="&amp;'Implied Productivity Ratios'!$C49)</f>
        <v>280.43964746296831</v>
      </c>
      <c r="Y49">
        <f>SUMIFS('MoodysData(Raw)'!AB$2:AB$180,'MoodysData(Raw)'!$B$2:$B$180,"=GDP",'MoodysData(Raw)'!$D$2:$D$180,"="&amp;'Implied Productivity Ratios'!$C49)/SUMIFS('MoodysData(Raw)'!AB$2:AB$180,'MoodysData(Raw)'!$B$2:$B$180,"=EMP",'MoodysData(Raw)'!$D$2:$D$180,"="&amp;'Implied Productivity Ratios'!$C49)</f>
        <v>282.34179338103758</v>
      </c>
      <c r="Z49">
        <f>SUMIFS('MoodysData(Raw)'!AC$2:AC$180,'MoodysData(Raw)'!$B$2:$B$180,"=GDP",'MoodysData(Raw)'!$D$2:$D$180,"="&amp;'Implied Productivity Ratios'!$C49)/SUMIFS('MoodysData(Raw)'!AC$2:AC$180,'MoodysData(Raw)'!$B$2:$B$180,"=EMP",'MoodysData(Raw)'!$D$2:$D$180,"="&amp;'Implied Productivity Ratios'!$C49)</f>
        <v>273.7131579932576</v>
      </c>
      <c r="AA49">
        <f>SUMIFS('MoodysData(Raw)'!AD$2:AD$180,'MoodysData(Raw)'!$B$2:$B$180,"=GDP",'MoodysData(Raw)'!$D$2:$D$180,"="&amp;'Implied Productivity Ratios'!$C49)/SUMIFS('MoodysData(Raw)'!AD$2:AD$180,'MoodysData(Raw)'!$B$2:$B$180,"=EMP",'MoodysData(Raw)'!$D$2:$D$180,"="&amp;'Implied Productivity Ratios'!$C49)</f>
        <v>273.68753715007097</v>
      </c>
      <c r="AB49">
        <f>SUMIFS('MoodysData(Raw)'!AE$2:AE$180,'MoodysData(Raw)'!$B$2:$B$180,"=GDP",'MoodysData(Raw)'!$D$2:$D$180,"="&amp;'Implied Productivity Ratios'!$C49)/SUMIFS('MoodysData(Raw)'!AE$2:AE$180,'MoodysData(Raw)'!$B$2:$B$180,"=EMP",'MoodysData(Raw)'!$D$2:$D$180,"="&amp;'Implied Productivity Ratios'!$C49)</f>
        <v>279.14993292745851</v>
      </c>
      <c r="AC49">
        <f>SUMIFS('MoodysData(Raw)'!AF$2:AF$180,'MoodysData(Raw)'!$B$2:$B$180,"=GDP",'MoodysData(Raw)'!$D$2:$D$180,"="&amp;'Implied Productivity Ratios'!$C49)/SUMIFS('MoodysData(Raw)'!AF$2:AF$180,'MoodysData(Raw)'!$B$2:$B$180,"=EMP",'MoodysData(Raw)'!$D$2:$D$180,"="&amp;'Implied Productivity Ratios'!$C49)</f>
        <v>286.71280204172535</v>
      </c>
      <c r="AD49">
        <f>SUMIFS('MoodysData(Raw)'!AG$2:AG$180,'MoodysData(Raw)'!$B$2:$B$180,"=GDP",'MoodysData(Raw)'!$D$2:$D$180,"="&amp;'Implied Productivity Ratios'!$C49)/SUMIFS('MoodysData(Raw)'!AG$2:AG$180,'MoodysData(Raw)'!$B$2:$B$180,"=EMP",'MoodysData(Raw)'!$D$2:$D$180,"="&amp;'Implied Productivity Ratios'!$C49)</f>
        <v>295.1357386669419</v>
      </c>
      <c r="AE49">
        <f>SUMIFS('MoodysData(Raw)'!AH$2:AH$180,'MoodysData(Raw)'!$B$2:$B$180,"=GDP",'MoodysData(Raw)'!$D$2:$D$180,"="&amp;'Implied Productivity Ratios'!$C49)/SUMIFS('MoodysData(Raw)'!AH$2:AH$180,'MoodysData(Raw)'!$B$2:$B$180,"=EMP",'MoodysData(Raw)'!$D$2:$D$180,"="&amp;'Implied Productivity Ratios'!$C49)</f>
        <v>302.07444706968812</v>
      </c>
      <c r="AF49">
        <f>SUMIFS('MoodysData(Raw)'!AI$2:AI$180,'MoodysData(Raw)'!$B$2:$B$180,"=GDP",'MoodysData(Raw)'!$D$2:$D$180,"="&amp;'Implied Productivity Ratios'!$C49)/SUMIFS('MoodysData(Raw)'!AI$2:AI$180,'MoodysData(Raw)'!$B$2:$B$180,"=EMP",'MoodysData(Raw)'!$D$2:$D$180,"="&amp;'Implied Productivity Ratios'!$C49)</f>
        <v>308.46976773945875</v>
      </c>
      <c r="AG49">
        <f>SUMIFS('MoodysData(Raw)'!AJ$2:AJ$180,'MoodysData(Raw)'!$B$2:$B$180,"=GDP",'MoodysData(Raw)'!$D$2:$D$180,"="&amp;'Implied Productivity Ratios'!$C49)/SUMIFS('MoodysData(Raw)'!AJ$2:AJ$180,'MoodysData(Raw)'!$B$2:$B$180,"=EMP",'MoodysData(Raw)'!$D$2:$D$180,"="&amp;'Implied Productivity Ratios'!$C49)</f>
        <v>315.04781921979065</v>
      </c>
      <c r="AH49">
        <f>SUMIFS('MoodysData(Raw)'!AK$2:AK$180,'MoodysData(Raw)'!$B$2:$B$180,"=GDP",'MoodysData(Raw)'!$D$2:$D$180,"="&amp;'Implied Productivity Ratios'!$C49)/SUMIFS('MoodysData(Raw)'!AK$2:AK$180,'MoodysData(Raw)'!$B$2:$B$180,"=EMP",'MoodysData(Raw)'!$D$2:$D$180,"="&amp;'Implied Productivity Ratios'!$C49)</f>
        <v>320.15795258131197</v>
      </c>
      <c r="AI49">
        <f>SUMIFS('MoodysData(Raw)'!AL$2:AL$180,'MoodysData(Raw)'!$B$2:$B$180,"=GDP",'MoodysData(Raw)'!$D$2:$D$180,"="&amp;'Implied Productivity Ratios'!$C49)/SUMIFS('MoodysData(Raw)'!AL$2:AL$180,'MoodysData(Raw)'!$B$2:$B$180,"=EMP",'MoodysData(Raw)'!$D$2:$D$180,"="&amp;'Implied Productivity Ratios'!$C49)</f>
        <v>325.57996212438229</v>
      </c>
      <c r="AJ49">
        <f>SUMIFS('MoodysData(Raw)'!AM$2:AM$180,'MoodysData(Raw)'!$B$2:$B$180,"=GDP",'MoodysData(Raw)'!$D$2:$D$180,"="&amp;'Implied Productivity Ratios'!$C49)/SUMIFS('MoodysData(Raw)'!AM$2:AM$180,'MoodysData(Raw)'!$B$2:$B$180,"=EMP",'MoodysData(Raw)'!$D$2:$D$180,"="&amp;'Implied Productivity Ratios'!$C49)</f>
        <v>333.1180871143161</v>
      </c>
      <c r="AK49">
        <f>SUMIFS('MoodysData(Raw)'!AN$2:AN$180,'MoodysData(Raw)'!$B$2:$B$180,"=GDP",'MoodysData(Raw)'!$D$2:$D$180,"="&amp;'Implied Productivity Ratios'!$C49)/SUMIFS('MoodysData(Raw)'!AN$2:AN$180,'MoodysData(Raw)'!$B$2:$B$180,"=EMP",'MoodysData(Raw)'!$D$2:$D$180,"="&amp;'Implied Productivity Ratios'!$C49)</f>
        <v>341.5415793151642</v>
      </c>
      <c r="AL49">
        <f>SUMIFS('MoodysData(Raw)'!AO$2:AO$180,'MoodysData(Raw)'!$B$2:$B$180,"=GDP",'MoodysData(Raw)'!$D$2:$D$180,"="&amp;'Implied Productivity Ratios'!$C49)/SUMIFS('MoodysData(Raw)'!AO$2:AO$180,'MoodysData(Raw)'!$B$2:$B$180,"=EMP",'MoodysData(Raw)'!$D$2:$D$180,"="&amp;'Implied Productivity Ratios'!$C49)</f>
        <v>350.30388919538188</v>
      </c>
      <c r="AM49">
        <f>SUMIFS('MoodysData(Raw)'!AP$2:AP$180,'MoodysData(Raw)'!$B$2:$B$180,"=GDP",'MoodysData(Raw)'!$D$2:$D$180,"="&amp;'Implied Productivity Ratios'!$C49)/SUMIFS('MoodysData(Raw)'!AP$2:AP$180,'MoodysData(Raw)'!$B$2:$B$180,"=EMP",'MoodysData(Raw)'!$D$2:$D$180,"="&amp;'Implied Productivity Ratios'!$C49)</f>
        <v>358.97349982600485</v>
      </c>
      <c r="AN49">
        <f>SUMIFS('MoodysData(Raw)'!AQ$2:AQ$180,'MoodysData(Raw)'!$B$2:$B$180,"=GDP",'MoodysData(Raw)'!$D$2:$D$180,"="&amp;'Implied Productivity Ratios'!$C49)/SUMIFS('MoodysData(Raw)'!AQ$2:AQ$180,'MoodysData(Raw)'!$B$2:$B$180,"=EMP",'MoodysData(Raw)'!$D$2:$D$180,"="&amp;'Implied Productivity Ratios'!$C49)</f>
        <v>367.94370170539827</v>
      </c>
      <c r="AO49">
        <f>SUMIFS('MoodysData(Raw)'!AR$2:AR$180,'MoodysData(Raw)'!$B$2:$B$180,"=GDP",'MoodysData(Raw)'!$D$2:$D$180,"="&amp;'Implied Productivity Ratios'!$C49)/SUMIFS('MoodysData(Raw)'!AR$2:AR$180,'MoodysData(Raw)'!$B$2:$B$180,"=EMP",'MoodysData(Raw)'!$D$2:$D$180,"="&amp;'Implied Productivity Ratios'!$C49)</f>
        <v>377.04290299542419</v>
      </c>
      <c r="AP49">
        <f>SUMIFS('MoodysData(Raw)'!AS$2:AS$180,'MoodysData(Raw)'!$B$2:$B$180,"=GDP",'MoodysData(Raw)'!$D$2:$D$180,"="&amp;'Implied Productivity Ratios'!$C49)/SUMIFS('MoodysData(Raw)'!AS$2:AS$180,'MoodysData(Raw)'!$B$2:$B$180,"=EMP",'MoodysData(Raw)'!$D$2:$D$180,"="&amp;'Implied Productivity Ratios'!$C49)</f>
        <v>386.05927423578953</v>
      </c>
      <c r="AQ49">
        <f>SUMIFS('MoodysData(Raw)'!AT$2:AT$180,'MoodysData(Raw)'!$B$2:$B$180,"=GDP",'MoodysData(Raw)'!$D$2:$D$180,"="&amp;'Implied Productivity Ratios'!$C49)/SUMIFS('MoodysData(Raw)'!AT$2:AT$180,'MoodysData(Raw)'!$B$2:$B$180,"=EMP",'MoodysData(Raw)'!$D$2:$D$180,"="&amp;'Implied Productivity Ratios'!$C49)</f>
        <v>395.08976911080401</v>
      </c>
      <c r="AR49">
        <f>SUMIFS('MoodysData(Raw)'!AU$2:AU$180,'MoodysData(Raw)'!$B$2:$B$180,"=GDP",'MoodysData(Raw)'!$D$2:$D$180,"="&amp;'Implied Productivity Ratios'!$C49)/SUMIFS('MoodysData(Raw)'!AU$2:AU$180,'MoodysData(Raw)'!$B$2:$B$180,"=EMP",'MoodysData(Raw)'!$D$2:$D$180,"="&amp;'Implied Productivity Ratios'!$C49)</f>
        <v>405.29922499110836</v>
      </c>
      <c r="AS49">
        <f>SUMIFS('MoodysData(Raw)'!AV$2:AV$180,'MoodysData(Raw)'!$B$2:$B$180,"=GDP",'MoodysData(Raw)'!$D$2:$D$180,"="&amp;'Implied Productivity Ratios'!$C49)/SUMIFS('MoodysData(Raw)'!AV$2:AV$180,'MoodysData(Raw)'!$B$2:$B$180,"=EMP",'MoodysData(Raw)'!$D$2:$D$180,"="&amp;'Implied Productivity Ratios'!$C49)</f>
        <v>416.38086812168632</v>
      </c>
      <c r="AT49">
        <f>SUMIFS('MoodysData(Raw)'!AW$2:AW$180,'MoodysData(Raw)'!$B$2:$B$180,"=GDP",'MoodysData(Raw)'!$D$2:$D$180,"="&amp;'Implied Productivity Ratios'!$C49)/SUMIFS('MoodysData(Raw)'!AW$2:AW$180,'MoodysData(Raw)'!$B$2:$B$180,"=EMP",'MoodysData(Raw)'!$D$2:$D$180,"="&amp;'Implied Productivity Ratios'!$C49)</f>
        <v>427.77094619970387</v>
      </c>
      <c r="AU49">
        <f>SUMIFS('MoodysData(Raw)'!AX$2:AX$180,'MoodysData(Raw)'!$B$2:$B$180,"=GDP",'MoodysData(Raw)'!$D$2:$D$180,"="&amp;'Implied Productivity Ratios'!$C49)/SUMIFS('MoodysData(Raw)'!AX$2:AX$180,'MoodysData(Raw)'!$B$2:$B$180,"=EMP",'MoodysData(Raw)'!$D$2:$D$180,"="&amp;'Implied Productivity Ratios'!$C49)</f>
        <v>439.39252127426261</v>
      </c>
      <c r="AV49">
        <f>SUMIFS('MoodysData(Raw)'!AY$2:AY$180,'MoodysData(Raw)'!$B$2:$B$180,"=GDP",'MoodysData(Raw)'!$D$2:$D$180,"="&amp;'Implied Productivity Ratios'!$C49)/SUMIFS('MoodysData(Raw)'!AY$2:AY$180,'MoodysData(Raw)'!$B$2:$B$180,"=EMP",'MoodysData(Raw)'!$D$2:$D$180,"="&amp;'Implied Productivity Ratios'!$C49)</f>
        <v>451.43670832196455</v>
      </c>
      <c r="AW49">
        <f>SUMIFS('MoodysData(Raw)'!AZ$2:AZ$180,'MoodysData(Raw)'!$B$2:$B$180,"=GDP",'MoodysData(Raw)'!$D$2:$D$180,"="&amp;'Implied Productivity Ratios'!$C49)/SUMIFS('MoodysData(Raw)'!AZ$2:AZ$180,'MoodysData(Raw)'!$B$2:$B$180,"=EMP",'MoodysData(Raw)'!$D$2:$D$180,"="&amp;'Implied Productivity Ratios'!$C49)</f>
        <v>462.78368568140718</v>
      </c>
      <c r="AX49">
        <f>SUMIFS('MoodysData(Raw)'!BA$2:BA$180,'MoodysData(Raw)'!$B$2:$B$180,"=GDP",'MoodysData(Raw)'!$D$2:$D$180,"="&amp;'Implied Productivity Ratios'!$C49)/SUMIFS('MoodysData(Raw)'!BA$2:BA$180,'MoodysData(Raw)'!$B$2:$B$180,"=EMP",'MoodysData(Raw)'!$D$2:$D$180,"="&amp;'Implied Productivity Ratios'!$C49)</f>
        <v>473.57746066995742</v>
      </c>
      <c r="AY49">
        <f>SUMIFS('MoodysData(Raw)'!BB$2:BB$180,'MoodysData(Raw)'!$B$2:$B$180,"=GDP",'MoodysData(Raw)'!$D$2:$D$180,"="&amp;'Implied Productivity Ratios'!$C49)/SUMIFS('MoodysData(Raw)'!BB$2:BB$180,'MoodysData(Raw)'!$B$2:$B$180,"=EMP",'MoodysData(Raw)'!$D$2:$D$180,"="&amp;'Implied Productivity Ratios'!$C49)</f>
        <v>483.95365301030614</v>
      </c>
      <c r="AZ49">
        <f>SUMIFS('MoodysData(Raw)'!BC$2:BC$180,'MoodysData(Raw)'!$B$2:$B$180,"=GDP",'MoodysData(Raw)'!$D$2:$D$180,"="&amp;'Implied Productivity Ratios'!$C49)/SUMIFS('MoodysData(Raw)'!BC$2:BC$180,'MoodysData(Raw)'!$B$2:$B$180,"=EMP",'MoodysData(Raw)'!$D$2:$D$180,"="&amp;'Implied Productivity Ratios'!$C49)</f>
        <v>494.26439169794656</v>
      </c>
      <c r="BA49">
        <f>SUMIFS('MoodysData(Raw)'!BD$2:BD$180,'MoodysData(Raw)'!$B$2:$B$180,"=GDP",'MoodysData(Raw)'!$D$2:$D$180,"="&amp;'Implied Productivity Ratios'!$C49)/SUMIFS('MoodysData(Raw)'!BD$2:BD$180,'MoodysData(Raw)'!$B$2:$B$180,"=EMP",'MoodysData(Raw)'!$D$2:$D$180,"="&amp;'Implied Productivity Ratios'!$C49)</f>
        <v>504.2157436528758</v>
      </c>
      <c r="BB49">
        <f>SUMIFS('MoodysData(Raw)'!BE$2:BE$180,'MoodysData(Raw)'!$B$2:$B$180,"=GDP",'MoodysData(Raw)'!$D$2:$D$180,"="&amp;'Implied Productivity Ratios'!$C49)/SUMIFS('MoodysData(Raw)'!BE$2:BE$180,'MoodysData(Raw)'!$B$2:$B$180,"=EMP",'MoodysData(Raw)'!$D$2:$D$180,"="&amp;'Implied Productivity Ratios'!$C49)</f>
        <v>513.94558557203925</v>
      </c>
      <c r="BC49">
        <f>SUMIFS('MoodysData(Raw)'!BF$2:BF$180,'MoodysData(Raw)'!$B$2:$B$180,"=GDP",'MoodysData(Raw)'!$D$2:$D$180,"="&amp;'Implied Productivity Ratios'!$C49)/SUMIFS('MoodysData(Raw)'!BF$2:BF$180,'MoodysData(Raw)'!$B$2:$B$180,"=EMP",'MoodysData(Raw)'!$D$2:$D$180,"="&amp;'Implied Productivity Ratios'!$C49)</f>
        <v>523.45384475959747</v>
      </c>
      <c r="BD49" s="5">
        <f t="shared" ref="BD49:BH49" si="43">BC49+($BC49-$AX49)/5</f>
        <v>533.42912157752551</v>
      </c>
      <c r="BE49" s="5">
        <f t="shared" si="43"/>
        <v>543.40439839545354</v>
      </c>
      <c r="BF49" s="5">
        <f t="shared" si="43"/>
        <v>553.37967521338157</v>
      </c>
      <c r="BG49" s="5">
        <f t="shared" si="43"/>
        <v>563.35495203130961</v>
      </c>
      <c r="BH49" s="5">
        <f t="shared" si="43"/>
        <v>573.33022884923764</v>
      </c>
    </row>
    <row r="50" spans="3:60">
      <c r="C50">
        <v>482</v>
      </c>
      <c r="D50" t="s">
        <v>171</v>
      </c>
      <c r="E50">
        <f>SUMIFS('MoodysData(Raw)'!H$2:H$180,'MoodysData(Raw)'!$B$2:$B$180,"=GDP",'MoodysData(Raw)'!$D$2:$D$180,"="&amp;'Implied Productivity Ratios'!$C50)/SUMIFS('MoodysData(Raw)'!H$2:H$180,'MoodysData(Raw)'!$B$2:$B$180,"=EMP",'MoodysData(Raw)'!$D$2:$D$180,"="&amp;'Implied Productivity Ratios'!$C50)</f>
        <v>277.29666214246214</v>
      </c>
      <c r="F50">
        <f>SUMIFS('MoodysData(Raw)'!I$2:I$180,'MoodysData(Raw)'!$B$2:$B$180,"=GDP",'MoodysData(Raw)'!$D$2:$D$180,"="&amp;'Implied Productivity Ratios'!$C50)/SUMIFS('MoodysData(Raw)'!I$2:I$180,'MoodysData(Raw)'!$B$2:$B$180,"=EMP",'MoodysData(Raw)'!$D$2:$D$180,"="&amp;'Implied Productivity Ratios'!$C50)</f>
        <v>283.61656369264432</v>
      </c>
      <c r="G50">
        <f>SUMIFS('MoodysData(Raw)'!J$2:J$180,'MoodysData(Raw)'!$B$2:$B$180,"=GDP",'MoodysData(Raw)'!$D$2:$D$180,"="&amp;'Implied Productivity Ratios'!$C50)/SUMIFS('MoodysData(Raw)'!J$2:J$180,'MoodysData(Raw)'!$B$2:$B$180,"=EMP",'MoodysData(Raw)'!$D$2:$D$180,"="&amp;'Implied Productivity Ratios'!$C50)</f>
        <v>272.66158095969848</v>
      </c>
      <c r="H50">
        <f>SUMIFS('MoodysData(Raw)'!K$2:K$180,'MoodysData(Raw)'!$B$2:$B$180,"=GDP",'MoodysData(Raw)'!$D$2:$D$180,"="&amp;'Implied Productivity Ratios'!$C50)/SUMIFS('MoodysData(Raw)'!K$2:K$180,'MoodysData(Raw)'!$B$2:$B$180,"=EMP",'MoodysData(Raw)'!$D$2:$D$180,"="&amp;'Implied Productivity Ratios'!$C50)</f>
        <v>283.74229900003098</v>
      </c>
      <c r="I50">
        <f>SUMIFS('MoodysData(Raw)'!L$2:L$180,'MoodysData(Raw)'!$B$2:$B$180,"=GDP",'MoodysData(Raw)'!$D$2:$D$180,"="&amp;'Implied Productivity Ratios'!$C50)/SUMIFS('MoodysData(Raw)'!L$2:L$180,'MoodysData(Raw)'!$B$2:$B$180,"=EMP",'MoodysData(Raw)'!$D$2:$D$180,"="&amp;'Implied Productivity Ratios'!$C50)</f>
        <v>267.02858641489638</v>
      </c>
      <c r="J50">
        <f>SUMIFS('MoodysData(Raw)'!M$2:M$180,'MoodysData(Raw)'!$B$2:$B$180,"=GDP",'MoodysData(Raw)'!$D$2:$D$180,"="&amp;'Implied Productivity Ratios'!$C50)/SUMIFS('MoodysData(Raw)'!M$2:M$180,'MoodysData(Raw)'!$B$2:$B$180,"=EMP",'MoodysData(Raw)'!$D$2:$D$180,"="&amp;'Implied Productivity Ratios'!$C50)</f>
        <v>265.50418168662441</v>
      </c>
      <c r="K50">
        <f>SUMIFS('MoodysData(Raw)'!N$2:N$180,'MoodysData(Raw)'!$B$2:$B$180,"=GDP",'MoodysData(Raw)'!$D$2:$D$180,"="&amp;'Implied Productivity Ratios'!$C50)/SUMIFS('MoodysData(Raw)'!N$2:N$180,'MoodysData(Raw)'!$B$2:$B$180,"=EMP",'MoodysData(Raw)'!$D$2:$D$180,"="&amp;'Implied Productivity Ratios'!$C50)</f>
        <v>261.88296432493172</v>
      </c>
      <c r="L50">
        <f>SUMIFS('MoodysData(Raw)'!O$2:O$180,'MoodysData(Raw)'!$B$2:$B$180,"=GDP",'MoodysData(Raw)'!$D$2:$D$180,"="&amp;'Implied Productivity Ratios'!$C50)/SUMIFS('MoodysData(Raw)'!O$2:O$180,'MoodysData(Raw)'!$B$2:$B$180,"=EMP",'MoodysData(Raw)'!$D$2:$D$180,"="&amp;'Implied Productivity Ratios'!$C50)</f>
        <v>263.73804899910368</v>
      </c>
      <c r="M50">
        <f>SUMIFS('MoodysData(Raw)'!P$2:P$180,'MoodysData(Raw)'!$B$2:$B$180,"=GDP",'MoodysData(Raw)'!$D$2:$D$180,"="&amp;'Implied Productivity Ratios'!$C50)/SUMIFS('MoodysData(Raw)'!P$2:P$180,'MoodysData(Raw)'!$B$2:$B$180,"=EMP",'MoodysData(Raw)'!$D$2:$D$180,"="&amp;'Implied Productivity Ratios'!$C50)</f>
        <v>261.58679367881621</v>
      </c>
      <c r="N50">
        <f>SUMIFS('MoodysData(Raw)'!Q$2:Q$180,'MoodysData(Raw)'!$B$2:$B$180,"=GDP",'MoodysData(Raw)'!$D$2:$D$180,"="&amp;'Implied Productivity Ratios'!$C50)/SUMIFS('MoodysData(Raw)'!Q$2:Q$180,'MoodysData(Raw)'!$B$2:$B$180,"=EMP",'MoodysData(Raw)'!$D$2:$D$180,"="&amp;'Implied Productivity Ratios'!$C50)</f>
        <v>269.01022382533506</v>
      </c>
      <c r="O50">
        <f>SUMIFS('MoodysData(Raw)'!R$2:R$180,'MoodysData(Raw)'!$B$2:$B$180,"=GDP",'MoodysData(Raw)'!$D$2:$D$180,"="&amp;'Implied Productivity Ratios'!$C50)/SUMIFS('MoodysData(Raw)'!R$2:R$180,'MoodysData(Raw)'!$B$2:$B$180,"=EMP",'MoodysData(Raw)'!$D$2:$D$180,"="&amp;'Implied Productivity Ratios'!$C50)</f>
        <v>271.48357817634576</v>
      </c>
      <c r="P50">
        <f>SUMIFS('MoodysData(Raw)'!S$2:S$180,'MoodysData(Raw)'!$B$2:$B$180,"=GDP",'MoodysData(Raw)'!$D$2:$D$180,"="&amp;'Implied Productivity Ratios'!$C50)/SUMIFS('MoodysData(Raw)'!S$2:S$180,'MoodysData(Raw)'!$B$2:$B$180,"=EMP",'MoodysData(Raw)'!$D$2:$D$180,"="&amp;'Implied Productivity Ratios'!$C50)</f>
        <v>265.90448911057337</v>
      </c>
      <c r="Q50">
        <f>SUMIFS('MoodysData(Raw)'!T$2:T$180,'MoodysData(Raw)'!$B$2:$B$180,"=GDP",'MoodysData(Raw)'!$D$2:$D$180,"="&amp;'Implied Productivity Ratios'!$C50)/SUMIFS('MoodysData(Raw)'!T$2:T$180,'MoodysData(Raw)'!$B$2:$B$180,"=EMP",'MoodysData(Raw)'!$D$2:$D$180,"="&amp;'Implied Productivity Ratios'!$C50)</f>
        <v>276.38100106602496</v>
      </c>
      <c r="R50">
        <f>SUMIFS('MoodysData(Raw)'!U$2:U$180,'MoodysData(Raw)'!$B$2:$B$180,"=GDP",'MoodysData(Raw)'!$D$2:$D$180,"="&amp;'Implied Productivity Ratios'!$C50)/SUMIFS('MoodysData(Raw)'!U$2:U$180,'MoodysData(Raw)'!$B$2:$B$180,"=EMP",'MoodysData(Raw)'!$D$2:$D$180,"="&amp;'Implied Productivity Ratios'!$C50)</f>
        <v>282.70540715955565</v>
      </c>
      <c r="S50">
        <f>SUMIFS('MoodysData(Raw)'!V$2:V$180,'MoodysData(Raw)'!$B$2:$B$180,"=GDP",'MoodysData(Raw)'!$D$2:$D$180,"="&amp;'Implied Productivity Ratios'!$C50)/SUMIFS('MoodysData(Raw)'!V$2:V$180,'MoodysData(Raw)'!$B$2:$B$180,"=EMP",'MoodysData(Raw)'!$D$2:$D$180,"="&amp;'Implied Productivity Ratios'!$C50)</f>
        <v>270.66502940606222</v>
      </c>
      <c r="T50">
        <f>SUMIFS('MoodysData(Raw)'!W$2:W$180,'MoodysData(Raw)'!$B$2:$B$180,"=GDP",'MoodysData(Raw)'!$D$2:$D$180,"="&amp;'Implied Productivity Ratios'!$C50)/SUMIFS('MoodysData(Raw)'!W$2:W$180,'MoodysData(Raw)'!$B$2:$B$180,"=EMP",'MoodysData(Raw)'!$D$2:$D$180,"="&amp;'Implied Productivity Ratios'!$C50)</f>
        <v>264.58874643267882</v>
      </c>
      <c r="U50">
        <f>SUMIFS('MoodysData(Raw)'!X$2:X$180,'MoodysData(Raw)'!$B$2:$B$180,"=GDP",'MoodysData(Raw)'!$D$2:$D$180,"="&amp;'Implied Productivity Ratios'!$C50)/SUMIFS('MoodysData(Raw)'!X$2:X$180,'MoodysData(Raw)'!$B$2:$B$180,"=EMP",'MoodysData(Raw)'!$D$2:$D$180,"="&amp;'Implied Productivity Ratios'!$C50)</f>
        <v>283.15812419573729</v>
      </c>
      <c r="V50">
        <f>SUMIFS('MoodysData(Raw)'!Y$2:Y$180,'MoodysData(Raw)'!$B$2:$B$180,"=GDP",'MoodysData(Raw)'!$D$2:$D$180,"="&amp;'Implied Productivity Ratios'!$C50)/SUMIFS('MoodysData(Raw)'!Y$2:Y$180,'MoodysData(Raw)'!$B$2:$B$180,"=EMP",'MoodysData(Raw)'!$D$2:$D$180,"="&amp;'Implied Productivity Ratios'!$C50)</f>
        <v>287.30201198630141</v>
      </c>
      <c r="W50">
        <f>SUMIFS('MoodysData(Raw)'!Z$2:Z$180,'MoodysData(Raw)'!$B$2:$B$180,"=GDP",'MoodysData(Raw)'!$D$2:$D$180,"="&amp;'Implied Productivity Ratios'!$C50)/SUMIFS('MoodysData(Raw)'!Z$2:Z$180,'MoodysData(Raw)'!$B$2:$B$180,"=EMP",'MoodysData(Raw)'!$D$2:$D$180,"="&amp;'Implied Productivity Ratios'!$C50)</f>
        <v>268.21359667767564</v>
      </c>
      <c r="X50">
        <f>SUMIFS('MoodysData(Raw)'!AA$2:AA$180,'MoodysData(Raw)'!$B$2:$B$180,"=GDP",'MoodysData(Raw)'!$D$2:$D$180,"="&amp;'Implied Productivity Ratios'!$C50)/SUMIFS('MoodysData(Raw)'!AA$2:AA$180,'MoodysData(Raw)'!$B$2:$B$180,"=EMP",'MoodysData(Raw)'!$D$2:$D$180,"="&amp;'Implied Productivity Ratios'!$C50)</f>
        <v>264.91467662018476</v>
      </c>
      <c r="Y50">
        <f>SUMIFS('MoodysData(Raw)'!AB$2:AB$180,'MoodysData(Raw)'!$B$2:$B$180,"=GDP",'MoodysData(Raw)'!$D$2:$D$180,"="&amp;'Implied Productivity Ratios'!$C50)/SUMIFS('MoodysData(Raw)'!AB$2:AB$180,'MoodysData(Raw)'!$B$2:$B$180,"=EMP",'MoodysData(Raw)'!$D$2:$D$180,"="&amp;'Implied Productivity Ratios'!$C50)</f>
        <v>282.27328894695876</v>
      </c>
      <c r="Z50">
        <f>SUMIFS('MoodysData(Raw)'!AC$2:AC$180,'MoodysData(Raw)'!$B$2:$B$180,"=GDP",'MoodysData(Raw)'!$D$2:$D$180,"="&amp;'Implied Productivity Ratios'!$C50)/SUMIFS('MoodysData(Raw)'!AC$2:AC$180,'MoodysData(Raw)'!$B$2:$B$180,"=EMP",'MoodysData(Raw)'!$D$2:$D$180,"="&amp;'Implied Productivity Ratios'!$C50)</f>
        <v>296.26718802828293</v>
      </c>
      <c r="AA50">
        <f>SUMIFS('MoodysData(Raw)'!AD$2:AD$180,'MoodysData(Raw)'!$B$2:$B$180,"=GDP",'MoodysData(Raw)'!$D$2:$D$180,"="&amp;'Implied Productivity Ratios'!$C50)/SUMIFS('MoodysData(Raw)'!AD$2:AD$180,'MoodysData(Raw)'!$B$2:$B$180,"=EMP",'MoodysData(Raw)'!$D$2:$D$180,"="&amp;'Implied Productivity Ratios'!$C50)</f>
        <v>312.99511363901621</v>
      </c>
      <c r="AB50">
        <f>SUMIFS('MoodysData(Raw)'!AE$2:AE$180,'MoodysData(Raw)'!$B$2:$B$180,"=GDP",'MoodysData(Raw)'!$D$2:$D$180,"="&amp;'Implied Productivity Ratios'!$C50)/SUMIFS('MoodysData(Raw)'!AE$2:AE$180,'MoodysData(Raw)'!$B$2:$B$180,"=EMP",'MoodysData(Raw)'!$D$2:$D$180,"="&amp;'Implied Productivity Ratios'!$C50)</f>
        <v>331.95029338424695</v>
      </c>
      <c r="AC50">
        <f>SUMIFS('MoodysData(Raw)'!AF$2:AF$180,'MoodysData(Raw)'!$B$2:$B$180,"=GDP",'MoodysData(Raw)'!$D$2:$D$180,"="&amp;'Implied Productivity Ratios'!$C50)/SUMIFS('MoodysData(Raw)'!AF$2:AF$180,'MoodysData(Raw)'!$B$2:$B$180,"=EMP",'MoodysData(Raw)'!$D$2:$D$180,"="&amp;'Implied Productivity Ratios'!$C50)</f>
        <v>352.31399189832928</v>
      </c>
      <c r="AD50">
        <f>SUMIFS('MoodysData(Raw)'!AG$2:AG$180,'MoodysData(Raw)'!$B$2:$B$180,"=GDP",'MoodysData(Raw)'!$D$2:$D$180,"="&amp;'Implied Productivity Ratios'!$C50)/SUMIFS('MoodysData(Raw)'!AG$2:AG$180,'MoodysData(Raw)'!$B$2:$B$180,"=EMP",'MoodysData(Raw)'!$D$2:$D$180,"="&amp;'Implied Productivity Ratios'!$C50)</f>
        <v>373.65357785365495</v>
      </c>
      <c r="AE50">
        <f>SUMIFS('MoodysData(Raw)'!AH$2:AH$180,'MoodysData(Raw)'!$B$2:$B$180,"=GDP",'MoodysData(Raw)'!$D$2:$D$180,"="&amp;'Implied Productivity Ratios'!$C50)/SUMIFS('MoodysData(Raw)'!AH$2:AH$180,'MoodysData(Raw)'!$B$2:$B$180,"=EMP",'MoodysData(Raw)'!$D$2:$D$180,"="&amp;'Implied Productivity Ratios'!$C50)</f>
        <v>394.97836948102247</v>
      </c>
      <c r="AF50">
        <f>SUMIFS('MoodysData(Raw)'!AI$2:AI$180,'MoodysData(Raw)'!$B$2:$B$180,"=GDP",'MoodysData(Raw)'!$D$2:$D$180,"="&amp;'Implied Productivity Ratios'!$C50)/SUMIFS('MoodysData(Raw)'!AI$2:AI$180,'MoodysData(Raw)'!$B$2:$B$180,"=EMP",'MoodysData(Raw)'!$D$2:$D$180,"="&amp;'Implied Productivity Ratios'!$C50)</f>
        <v>416.74240445632432</v>
      </c>
      <c r="AG50">
        <f>SUMIFS('MoodysData(Raw)'!AJ$2:AJ$180,'MoodysData(Raw)'!$B$2:$B$180,"=GDP",'MoodysData(Raw)'!$D$2:$D$180,"="&amp;'Implied Productivity Ratios'!$C50)/SUMIFS('MoodysData(Raw)'!AJ$2:AJ$180,'MoodysData(Raw)'!$B$2:$B$180,"=EMP",'MoodysData(Raw)'!$D$2:$D$180,"="&amp;'Implied Productivity Ratios'!$C50)</f>
        <v>438.88142581060765</v>
      </c>
      <c r="AH50">
        <f>SUMIFS('MoodysData(Raw)'!AK$2:AK$180,'MoodysData(Raw)'!$B$2:$B$180,"=GDP",'MoodysData(Raw)'!$D$2:$D$180,"="&amp;'Implied Productivity Ratios'!$C50)/SUMIFS('MoodysData(Raw)'!AK$2:AK$180,'MoodysData(Raw)'!$B$2:$B$180,"=EMP",'MoodysData(Raw)'!$D$2:$D$180,"="&amp;'Implied Productivity Ratios'!$C50)</f>
        <v>460.83921741190801</v>
      </c>
      <c r="AI50">
        <f>SUMIFS('MoodysData(Raw)'!AL$2:AL$180,'MoodysData(Raw)'!$B$2:$B$180,"=GDP",'MoodysData(Raw)'!$D$2:$D$180,"="&amp;'Implied Productivity Ratios'!$C50)/SUMIFS('MoodysData(Raw)'!AL$2:AL$180,'MoodysData(Raw)'!$B$2:$B$180,"=EMP",'MoodysData(Raw)'!$D$2:$D$180,"="&amp;'Implied Productivity Ratios'!$C50)</f>
        <v>482.74671005917162</v>
      </c>
      <c r="AJ50">
        <f>SUMIFS('MoodysData(Raw)'!AM$2:AM$180,'MoodysData(Raw)'!$B$2:$B$180,"=GDP",'MoodysData(Raw)'!$D$2:$D$180,"="&amp;'Implied Productivity Ratios'!$C50)/SUMIFS('MoodysData(Raw)'!AM$2:AM$180,'MoodysData(Raw)'!$B$2:$B$180,"=EMP",'MoodysData(Raw)'!$D$2:$D$180,"="&amp;'Implied Productivity Ratios'!$C50)</f>
        <v>505.57777860391337</v>
      </c>
      <c r="AK50">
        <f>SUMIFS('MoodysData(Raw)'!AN$2:AN$180,'MoodysData(Raw)'!$B$2:$B$180,"=GDP",'MoodysData(Raw)'!$D$2:$D$180,"="&amp;'Implied Productivity Ratios'!$C50)/SUMIFS('MoodysData(Raw)'!AN$2:AN$180,'MoodysData(Raw)'!$B$2:$B$180,"=EMP",'MoodysData(Raw)'!$D$2:$D$180,"="&amp;'Implied Productivity Ratios'!$C50)</f>
        <v>529.08812285362535</v>
      </c>
      <c r="AL50">
        <f>SUMIFS('MoodysData(Raw)'!AO$2:AO$180,'MoodysData(Raw)'!$B$2:$B$180,"=GDP",'MoodysData(Raw)'!$D$2:$D$180,"="&amp;'Implied Productivity Ratios'!$C50)/SUMIFS('MoodysData(Raw)'!AO$2:AO$180,'MoodysData(Raw)'!$B$2:$B$180,"=EMP",'MoodysData(Raw)'!$D$2:$D$180,"="&amp;'Implied Productivity Ratios'!$C50)</f>
        <v>552.52330582983905</v>
      </c>
      <c r="AM50">
        <f>SUMIFS('MoodysData(Raw)'!AP$2:AP$180,'MoodysData(Raw)'!$B$2:$B$180,"=GDP",'MoodysData(Raw)'!$D$2:$D$180,"="&amp;'Implied Productivity Ratios'!$C50)/SUMIFS('MoodysData(Raw)'!AP$2:AP$180,'MoodysData(Raw)'!$B$2:$B$180,"=EMP",'MoodysData(Raw)'!$D$2:$D$180,"="&amp;'Implied Productivity Ratios'!$C50)</f>
        <v>576.15865682573667</v>
      </c>
      <c r="AN50">
        <f>SUMIFS('MoodysData(Raw)'!AQ$2:AQ$180,'MoodysData(Raw)'!$B$2:$B$180,"=GDP",'MoodysData(Raw)'!$D$2:$D$180,"="&amp;'Implied Productivity Ratios'!$C50)/SUMIFS('MoodysData(Raw)'!AQ$2:AQ$180,'MoodysData(Raw)'!$B$2:$B$180,"=EMP",'MoodysData(Raw)'!$D$2:$D$180,"="&amp;'Implied Productivity Ratios'!$C50)</f>
        <v>599.94531455838876</v>
      </c>
      <c r="AO50">
        <f>SUMIFS('MoodysData(Raw)'!AR$2:AR$180,'MoodysData(Raw)'!$B$2:$B$180,"=GDP",'MoodysData(Raw)'!$D$2:$D$180,"="&amp;'Implied Productivity Ratios'!$C50)/SUMIFS('MoodysData(Raw)'!AR$2:AR$180,'MoodysData(Raw)'!$B$2:$B$180,"=EMP",'MoodysData(Raw)'!$D$2:$D$180,"="&amp;'Implied Productivity Ratios'!$C50)</f>
        <v>623.57875569043995</v>
      </c>
      <c r="AP50">
        <f>SUMIFS('MoodysData(Raw)'!AS$2:AS$180,'MoodysData(Raw)'!$B$2:$B$180,"=GDP",'MoodysData(Raw)'!$D$2:$D$180,"="&amp;'Implied Productivity Ratios'!$C50)/SUMIFS('MoodysData(Raw)'!AS$2:AS$180,'MoodysData(Raw)'!$B$2:$B$180,"=EMP",'MoodysData(Raw)'!$D$2:$D$180,"="&amp;'Implied Productivity Ratios'!$C50)</f>
        <v>646.88176110500706</v>
      </c>
      <c r="AQ50">
        <f>SUMIFS('MoodysData(Raw)'!AT$2:AT$180,'MoodysData(Raw)'!$B$2:$B$180,"=GDP",'MoodysData(Raw)'!$D$2:$D$180,"="&amp;'Implied Productivity Ratios'!$C50)/SUMIFS('MoodysData(Raw)'!AT$2:AT$180,'MoodysData(Raw)'!$B$2:$B$180,"=EMP",'MoodysData(Raw)'!$D$2:$D$180,"="&amp;'Implied Productivity Ratios'!$C50)</f>
        <v>669.7394304597143</v>
      </c>
      <c r="AR50">
        <f>SUMIFS('MoodysData(Raw)'!AU$2:AU$180,'MoodysData(Raw)'!$B$2:$B$180,"=GDP",'MoodysData(Raw)'!$D$2:$D$180,"="&amp;'Implied Productivity Ratios'!$C50)/SUMIFS('MoodysData(Raw)'!AU$2:AU$180,'MoodysData(Raw)'!$B$2:$B$180,"=EMP",'MoodysData(Raw)'!$D$2:$D$180,"="&amp;'Implied Productivity Ratios'!$C50)</f>
        <v>691.94316874280855</v>
      </c>
      <c r="AS50">
        <f>SUMIFS('MoodysData(Raw)'!AV$2:AV$180,'MoodysData(Raw)'!$B$2:$B$180,"=GDP",'MoodysData(Raw)'!$D$2:$D$180,"="&amp;'Implied Productivity Ratios'!$C50)/SUMIFS('MoodysData(Raw)'!AV$2:AV$180,'MoodysData(Raw)'!$B$2:$B$180,"=EMP",'MoodysData(Raw)'!$D$2:$D$180,"="&amp;'Implied Productivity Ratios'!$C50)</f>
        <v>713.41251412719612</v>
      </c>
      <c r="AT50">
        <f>SUMIFS('MoodysData(Raw)'!AW$2:AW$180,'MoodysData(Raw)'!$B$2:$B$180,"=GDP",'MoodysData(Raw)'!$D$2:$D$180,"="&amp;'Implied Productivity Ratios'!$C50)/SUMIFS('MoodysData(Raw)'!AW$2:AW$180,'MoodysData(Raw)'!$B$2:$B$180,"=EMP",'MoodysData(Raw)'!$D$2:$D$180,"="&amp;'Implied Productivity Ratios'!$C50)</f>
        <v>734.21298391482048</v>
      </c>
      <c r="AU50">
        <f>SUMIFS('MoodysData(Raw)'!AX$2:AX$180,'MoodysData(Raw)'!$B$2:$B$180,"=GDP",'MoodysData(Raw)'!$D$2:$D$180,"="&amp;'Implied Productivity Ratios'!$C50)/SUMIFS('MoodysData(Raw)'!AX$2:AX$180,'MoodysData(Raw)'!$B$2:$B$180,"=EMP",'MoodysData(Raw)'!$D$2:$D$180,"="&amp;'Implied Productivity Ratios'!$C50)</f>
        <v>754.93166331946634</v>
      </c>
      <c r="AV50">
        <f>SUMIFS('MoodysData(Raw)'!AY$2:AY$180,'MoodysData(Raw)'!$B$2:$B$180,"=GDP",'MoodysData(Raw)'!$D$2:$D$180,"="&amp;'Implied Productivity Ratios'!$C50)/SUMIFS('MoodysData(Raw)'!AY$2:AY$180,'MoodysData(Raw)'!$B$2:$B$180,"=EMP",'MoodysData(Raw)'!$D$2:$D$180,"="&amp;'Implied Productivity Ratios'!$C50)</f>
        <v>775.40137136588044</v>
      </c>
      <c r="AW50">
        <f>SUMIFS('MoodysData(Raw)'!AZ$2:AZ$180,'MoodysData(Raw)'!$B$2:$B$180,"=GDP",'MoodysData(Raw)'!$D$2:$D$180,"="&amp;'Implied Productivity Ratios'!$C50)/SUMIFS('MoodysData(Raw)'!AZ$2:AZ$180,'MoodysData(Raw)'!$B$2:$B$180,"=EMP",'MoodysData(Raw)'!$D$2:$D$180,"="&amp;'Implied Productivity Ratios'!$C50)</f>
        <v>795.24564926372159</v>
      </c>
      <c r="AX50">
        <f>SUMIFS('MoodysData(Raw)'!BA$2:BA$180,'MoodysData(Raw)'!$B$2:$B$180,"=GDP",'MoodysData(Raw)'!$D$2:$D$180,"="&amp;'Implied Productivity Ratios'!$C50)/SUMIFS('MoodysData(Raw)'!BA$2:BA$180,'MoodysData(Raw)'!$B$2:$B$180,"=EMP",'MoodysData(Raw)'!$D$2:$D$180,"="&amp;'Implied Productivity Ratios'!$C50)</f>
        <v>814.30920643300215</v>
      </c>
      <c r="AY50">
        <f>SUMIFS('MoodysData(Raw)'!BB$2:BB$180,'MoodysData(Raw)'!$B$2:$B$180,"=GDP",'MoodysData(Raw)'!$D$2:$D$180,"="&amp;'Implied Productivity Ratios'!$C50)/SUMIFS('MoodysData(Raw)'!BB$2:BB$180,'MoodysData(Raw)'!$B$2:$B$180,"=EMP",'MoodysData(Raw)'!$D$2:$D$180,"="&amp;'Implied Productivity Ratios'!$C50)</f>
        <v>832.6625977493801</v>
      </c>
      <c r="AZ50">
        <f>SUMIFS('MoodysData(Raw)'!BC$2:BC$180,'MoodysData(Raw)'!$B$2:$B$180,"=GDP",'MoodysData(Raw)'!$D$2:$D$180,"="&amp;'Implied Productivity Ratios'!$C50)/SUMIFS('MoodysData(Raw)'!BC$2:BC$180,'MoodysData(Raw)'!$B$2:$B$180,"=EMP",'MoodysData(Raw)'!$D$2:$D$180,"="&amp;'Implied Productivity Ratios'!$C50)</f>
        <v>850.67213998344539</v>
      </c>
      <c r="BA50">
        <f>SUMIFS('MoodysData(Raw)'!BD$2:BD$180,'MoodysData(Raw)'!$B$2:$B$180,"=GDP",'MoodysData(Raw)'!$D$2:$D$180,"="&amp;'Implied Productivity Ratios'!$C50)/SUMIFS('MoodysData(Raw)'!BD$2:BD$180,'MoodysData(Raw)'!$B$2:$B$180,"=EMP",'MoodysData(Raw)'!$D$2:$D$180,"="&amp;'Implied Productivity Ratios'!$C50)</f>
        <v>868.10881321109457</v>
      </c>
      <c r="BB50">
        <f>SUMIFS('MoodysData(Raw)'!BE$2:BE$180,'MoodysData(Raw)'!$B$2:$B$180,"=GDP",'MoodysData(Raw)'!$D$2:$D$180,"="&amp;'Implied Productivity Ratios'!$C50)/SUMIFS('MoodysData(Raw)'!BE$2:BE$180,'MoodysData(Raw)'!$B$2:$B$180,"=EMP",'MoodysData(Raw)'!$D$2:$D$180,"="&amp;'Implied Productivity Ratios'!$C50)</f>
        <v>884.97709923664127</v>
      </c>
      <c r="BC50">
        <f>SUMIFS('MoodysData(Raw)'!BF$2:BF$180,'MoodysData(Raw)'!$B$2:$B$180,"=GDP",'MoodysData(Raw)'!$D$2:$D$180,"="&amp;'Implied Productivity Ratios'!$C50)/SUMIFS('MoodysData(Raw)'!BF$2:BF$180,'MoodysData(Raw)'!$B$2:$B$180,"=EMP",'MoodysData(Raw)'!$D$2:$D$180,"="&amp;'Implied Productivity Ratios'!$C50)</f>
        <v>900.95946684360479</v>
      </c>
      <c r="BD50" s="5">
        <f t="shared" ref="BD50:BH50" si="44">BC50+($BC50-$AX50)/5</f>
        <v>918.28951892572536</v>
      </c>
      <c r="BE50" s="5">
        <f t="shared" si="44"/>
        <v>935.61957100784593</v>
      </c>
      <c r="BF50" s="5">
        <f t="shared" si="44"/>
        <v>952.94962308996651</v>
      </c>
      <c r="BG50" s="5">
        <f t="shared" si="44"/>
        <v>970.27967517208708</v>
      </c>
      <c r="BH50" s="5">
        <f t="shared" si="44"/>
        <v>987.60972725420766</v>
      </c>
    </row>
    <row r="51" spans="3:60">
      <c r="C51">
        <v>483</v>
      </c>
      <c r="D51" t="s">
        <v>175</v>
      </c>
      <c r="E51">
        <f>SUMIFS('MoodysData(Raw)'!H$2:H$180,'MoodysData(Raw)'!$B$2:$B$180,"=GDP",'MoodysData(Raw)'!$D$2:$D$180,"="&amp;'Implied Productivity Ratios'!$C51)/SUMIFS('MoodysData(Raw)'!H$2:H$180,'MoodysData(Raw)'!$B$2:$B$180,"=EMP",'MoodysData(Raw)'!$D$2:$D$180,"="&amp;'Implied Productivity Ratios'!$C51)</f>
        <v>103.90160308644029</v>
      </c>
      <c r="F51">
        <f>SUMIFS('MoodysData(Raw)'!I$2:I$180,'MoodysData(Raw)'!$B$2:$B$180,"=GDP",'MoodysData(Raw)'!$D$2:$D$180,"="&amp;'Implied Productivity Ratios'!$C51)/SUMIFS('MoodysData(Raw)'!I$2:I$180,'MoodysData(Raw)'!$B$2:$B$180,"=EMP",'MoodysData(Raw)'!$D$2:$D$180,"="&amp;'Implied Productivity Ratios'!$C51)</f>
        <v>160.74725257172065</v>
      </c>
      <c r="G51">
        <f>SUMIFS('MoodysData(Raw)'!J$2:J$180,'MoodysData(Raw)'!$B$2:$B$180,"=GDP",'MoodysData(Raw)'!$D$2:$D$180,"="&amp;'Implied Productivity Ratios'!$C51)/SUMIFS('MoodysData(Raw)'!J$2:J$180,'MoodysData(Raw)'!$B$2:$B$180,"=EMP",'MoodysData(Raw)'!$D$2:$D$180,"="&amp;'Implied Productivity Ratios'!$C51)</f>
        <v>202.47695190505931</v>
      </c>
      <c r="H51">
        <f>SUMIFS('MoodysData(Raw)'!K$2:K$180,'MoodysData(Raw)'!$B$2:$B$180,"=GDP",'MoodysData(Raw)'!$D$2:$D$180,"="&amp;'Implied Productivity Ratios'!$C51)/SUMIFS('MoodysData(Raw)'!K$2:K$180,'MoodysData(Raw)'!$B$2:$B$180,"=EMP",'MoodysData(Raw)'!$D$2:$D$180,"="&amp;'Implied Productivity Ratios'!$C51)</f>
        <v>239.26091723003839</v>
      </c>
      <c r="I51">
        <f>SUMIFS('MoodysData(Raw)'!L$2:L$180,'MoodysData(Raw)'!$B$2:$B$180,"=GDP",'MoodysData(Raw)'!$D$2:$D$180,"="&amp;'Implied Productivity Ratios'!$C51)/SUMIFS('MoodysData(Raw)'!L$2:L$180,'MoodysData(Raw)'!$B$2:$B$180,"=EMP",'MoodysData(Raw)'!$D$2:$D$180,"="&amp;'Implied Productivity Ratios'!$C51)</f>
        <v>312.8638913680989</v>
      </c>
      <c r="J51">
        <f>SUMIFS('MoodysData(Raw)'!M$2:M$180,'MoodysData(Raw)'!$B$2:$B$180,"=GDP",'MoodysData(Raw)'!$D$2:$D$180,"="&amp;'Implied Productivity Ratios'!$C51)/SUMIFS('MoodysData(Raw)'!M$2:M$180,'MoodysData(Raw)'!$B$2:$B$180,"=EMP",'MoodysData(Raw)'!$D$2:$D$180,"="&amp;'Implied Productivity Ratios'!$C51)</f>
        <v>254.09941566274497</v>
      </c>
      <c r="K51">
        <f>SUMIFS('MoodysData(Raw)'!N$2:N$180,'MoodysData(Raw)'!$B$2:$B$180,"=GDP",'MoodysData(Raw)'!$D$2:$D$180,"="&amp;'Implied Productivity Ratios'!$C51)/SUMIFS('MoodysData(Raw)'!N$2:N$180,'MoodysData(Raw)'!$B$2:$B$180,"=EMP",'MoodysData(Raw)'!$D$2:$D$180,"="&amp;'Implied Productivity Ratios'!$C51)</f>
        <v>266.50398987482441</v>
      </c>
      <c r="L51">
        <f>SUMIFS('MoodysData(Raw)'!O$2:O$180,'MoodysData(Raw)'!$B$2:$B$180,"=GDP",'MoodysData(Raw)'!$D$2:$D$180,"="&amp;'Implied Productivity Ratios'!$C51)/SUMIFS('MoodysData(Raw)'!O$2:O$180,'MoodysData(Raw)'!$B$2:$B$180,"=EMP",'MoodysData(Raw)'!$D$2:$D$180,"="&amp;'Implied Productivity Ratios'!$C51)</f>
        <v>265.00602176181246</v>
      </c>
      <c r="M51">
        <f>SUMIFS('MoodysData(Raw)'!P$2:P$180,'MoodysData(Raw)'!$B$2:$B$180,"=GDP",'MoodysData(Raw)'!$D$2:$D$180,"="&amp;'Implied Productivity Ratios'!$C51)/SUMIFS('MoodysData(Raw)'!P$2:P$180,'MoodysData(Raw)'!$B$2:$B$180,"=EMP",'MoodysData(Raw)'!$D$2:$D$180,"="&amp;'Implied Productivity Ratios'!$C51)</f>
        <v>342.09676472315192</v>
      </c>
      <c r="N51">
        <f>SUMIFS('MoodysData(Raw)'!Q$2:Q$180,'MoodysData(Raw)'!$B$2:$B$180,"=GDP",'MoodysData(Raw)'!$D$2:$D$180,"="&amp;'Implied Productivity Ratios'!$C51)/SUMIFS('MoodysData(Raw)'!Q$2:Q$180,'MoodysData(Raw)'!$B$2:$B$180,"=EMP",'MoodysData(Raw)'!$D$2:$D$180,"="&amp;'Implied Productivity Ratios'!$C51)</f>
        <v>306.0300487276665</v>
      </c>
      <c r="O51">
        <f>SUMIFS('MoodysData(Raw)'!R$2:R$180,'MoodysData(Raw)'!$B$2:$B$180,"=GDP",'MoodysData(Raw)'!$D$2:$D$180,"="&amp;'Implied Productivity Ratios'!$C51)/SUMIFS('MoodysData(Raw)'!R$2:R$180,'MoodysData(Raw)'!$B$2:$B$180,"=EMP",'MoodysData(Raw)'!$D$2:$D$180,"="&amp;'Implied Productivity Ratios'!$C51)</f>
        <v>256.67099071969426</v>
      </c>
      <c r="P51">
        <f>SUMIFS('MoodysData(Raw)'!S$2:S$180,'MoodysData(Raw)'!$B$2:$B$180,"=GDP",'MoodysData(Raw)'!$D$2:$D$180,"="&amp;'Implied Productivity Ratios'!$C51)/SUMIFS('MoodysData(Raw)'!S$2:S$180,'MoodysData(Raw)'!$B$2:$B$180,"=EMP",'MoodysData(Raw)'!$D$2:$D$180,"="&amp;'Implied Productivity Ratios'!$C51)</f>
        <v>220.54923883426133</v>
      </c>
      <c r="Q51">
        <f>SUMIFS('MoodysData(Raw)'!T$2:T$180,'MoodysData(Raw)'!$B$2:$B$180,"=GDP",'MoodysData(Raw)'!$D$2:$D$180,"="&amp;'Implied Productivity Ratios'!$C51)/SUMIFS('MoodysData(Raw)'!T$2:T$180,'MoodysData(Raw)'!$B$2:$B$180,"=EMP",'MoodysData(Raw)'!$D$2:$D$180,"="&amp;'Implied Productivity Ratios'!$C51)</f>
        <v>210.97874399056633</v>
      </c>
      <c r="R51">
        <f>SUMIFS('MoodysData(Raw)'!U$2:U$180,'MoodysData(Raw)'!$B$2:$B$180,"=GDP",'MoodysData(Raw)'!$D$2:$D$180,"="&amp;'Implied Productivity Ratios'!$C51)/SUMIFS('MoodysData(Raw)'!U$2:U$180,'MoodysData(Raw)'!$B$2:$B$180,"=EMP",'MoodysData(Raw)'!$D$2:$D$180,"="&amp;'Implied Productivity Ratios'!$C51)</f>
        <v>219.66202122192325</v>
      </c>
      <c r="S51">
        <f>SUMIFS('MoodysData(Raw)'!V$2:V$180,'MoodysData(Raw)'!$B$2:$B$180,"=GDP",'MoodysData(Raw)'!$D$2:$D$180,"="&amp;'Implied Productivity Ratios'!$C51)/SUMIFS('MoodysData(Raw)'!V$2:V$180,'MoodysData(Raw)'!$B$2:$B$180,"=EMP",'MoodysData(Raw)'!$D$2:$D$180,"="&amp;'Implied Productivity Ratios'!$C51)</f>
        <v>194.89593077642658</v>
      </c>
      <c r="T51">
        <f>SUMIFS('MoodysData(Raw)'!W$2:W$180,'MoodysData(Raw)'!$B$2:$B$180,"=GDP",'MoodysData(Raw)'!$D$2:$D$180,"="&amp;'Implied Productivity Ratios'!$C51)/SUMIFS('MoodysData(Raw)'!W$2:W$180,'MoodysData(Raw)'!$B$2:$B$180,"=EMP",'MoodysData(Raw)'!$D$2:$D$180,"="&amp;'Implied Productivity Ratios'!$C51)</f>
        <v>212.33850234980102</v>
      </c>
      <c r="U51">
        <f>SUMIFS('MoodysData(Raw)'!X$2:X$180,'MoodysData(Raw)'!$B$2:$B$180,"=GDP",'MoodysData(Raw)'!$D$2:$D$180,"="&amp;'Implied Productivity Ratios'!$C51)/SUMIFS('MoodysData(Raw)'!X$2:X$180,'MoodysData(Raw)'!$B$2:$B$180,"=EMP",'MoodysData(Raw)'!$D$2:$D$180,"="&amp;'Implied Productivity Ratios'!$C51)</f>
        <v>295.23009683777531</v>
      </c>
      <c r="V51">
        <f>SUMIFS('MoodysData(Raw)'!Y$2:Y$180,'MoodysData(Raw)'!$B$2:$B$180,"=GDP",'MoodysData(Raw)'!$D$2:$D$180,"="&amp;'Implied Productivity Ratios'!$C51)/SUMIFS('MoodysData(Raw)'!Y$2:Y$180,'MoodysData(Raw)'!$B$2:$B$180,"=EMP",'MoodysData(Raw)'!$D$2:$D$180,"="&amp;'Implied Productivity Ratios'!$C51)</f>
        <v>251.37713916693573</v>
      </c>
      <c r="W51">
        <f>SUMIFS('MoodysData(Raw)'!Z$2:Z$180,'MoodysData(Raw)'!$B$2:$B$180,"=GDP",'MoodysData(Raw)'!$D$2:$D$180,"="&amp;'Implied Productivity Ratios'!$C51)/SUMIFS('MoodysData(Raw)'!Z$2:Z$180,'MoodysData(Raw)'!$B$2:$B$180,"=EMP",'MoodysData(Raw)'!$D$2:$D$180,"="&amp;'Implied Productivity Ratios'!$C51)</f>
        <v>245.71379860820508</v>
      </c>
      <c r="X51">
        <f>SUMIFS('MoodysData(Raw)'!AA$2:AA$180,'MoodysData(Raw)'!$B$2:$B$180,"=GDP",'MoodysData(Raw)'!$D$2:$D$180,"="&amp;'Implied Productivity Ratios'!$C51)/SUMIFS('MoodysData(Raw)'!AA$2:AA$180,'MoodysData(Raw)'!$B$2:$B$180,"=EMP",'MoodysData(Raw)'!$D$2:$D$180,"="&amp;'Implied Productivity Ratios'!$C51)</f>
        <v>271.25448133546877</v>
      </c>
      <c r="Y51">
        <f>SUMIFS('MoodysData(Raw)'!AB$2:AB$180,'MoodysData(Raw)'!$B$2:$B$180,"=GDP",'MoodysData(Raw)'!$D$2:$D$180,"="&amp;'Implied Productivity Ratios'!$C51)/SUMIFS('MoodysData(Raw)'!AB$2:AB$180,'MoodysData(Raw)'!$B$2:$B$180,"=EMP",'MoodysData(Raw)'!$D$2:$D$180,"="&amp;'Implied Productivity Ratios'!$C51)</f>
        <v>301.45673257414597</v>
      </c>
      <c r="Z51">
        <f>SUMIFS('MoodysData(Raw)'!AC$2:AC$180,'MoodysData(Raw)'!$B$2:$B$180,"=GDP",'MoodysData(Raw)'!$D$2:$D$180,"="&amp;'Implied Productivity Ratios'!$C51)/SUMIFS('MoodysData(Raw)'!AC$2:AC$180,'MoodysData(Raw)'!$B$2:$B$180,"=EMP",'MoodysData(Raw)'!$D$2:$D$180,"="&amp;'Implied Productivity Ratios'!$C51)</f>
        <v>322.98255303526105</v>
      </c>
      <c r="AA51">
        <f>SUMIFS('MoodysData(Raw)'!AD$2:AD$180,'MoodysData(Raw)'!$B$2:$B$180,"=GDP",'MoodysData(Raw)'!$D$2:$D$180,"="&amp;'Implied Productivity Ratios'!$C51)/SUMIFS('MoodysData(Raw)'!AD$2:AD$180,'MoodysData(Raw)'!$B$2:$B$180,"=EMP",'MoodysData(Raw)'!$D$2:$D$180,"="&amp;'Implied Productivity Ratios'!$C51)</f>
        <v>347.49425193507301</v>
      </c>
      <c r="AB51">
        <f>SUMIFS('MoodysData(Raw)'!AE$2:AE$180,'MoodysData(Raw)'!$B$2:$B$180,"=GDP",'MoodysData(Raw)'!$D$2:$D$180,"="&amp;'Implied Productivity Ratios'!$C51)/SUMIFS('MoodysData(Raw)'!AE$2:AE$180,'MoodysData(Raw)'!$B$2:$B$180,"=EMP",'MoodysData(Raw)'!$D$2:$D$180,"="&amp;'Implied Productivity Ratios'!$C51)</f>
        <v>374.69669323441445</v>
      </c>
      <c r="AC51">
        <f>SUMIFS('MoodysData(Raw)'!AF$2:AF$180,'MoodysData(Raw)'!$B$2:$B$180,"=GDP",'MoodysData(Raw)'!$D$2:$D$180,"="&amp;'Implied Productivity Ratios'!$C51)/SUMIFS('MoodysData(Raw)'!AF$2:AF$180,'MoodysData(Raw)'!$B$2:$B$180,"=EMP",'MoodysData(Raw)'!$D$2:$D$180,"="&amp;'Implied Productivity Ratios'!$C51)</f>
        <v>403.974035963353</v>
      </c>
      <c r="AD51">
        <f>SUMIFS('MoodysData(Raw)'!AG$2:AG$180,'MoodysData(Raw)'!$B$2:$B$180,"=GDP",'MoodysData(Raw)'!$D$2:$D$180,"="&amp;'Implied Productivity Ratios'!$C51)/SUMIFS('MoodysData(Raw)'!AG$2:AG$180,'MoodysData(Raw)'!$B$2:$B$180,"=EMP",'MoodysData(Raw)'!$D$2:$D$180,"="&amp;'Implied Productivity Ratios'!$C51)</f>
        <v>435.05061143087067</v>
      </c>
      <c r="AE51">
        <f>SUMIFS('MoodysData(Raw)'!AH$2:AH$180,'MoodysData(Raw)'!$B$2:$B$180,"=GDP",'MoodysData(Raw)'!$D$2:$D$180,"="&amp;'Implied Productivity Ratios'!$C51)/SUMIFS('MoodysData(Raw)'!AH$2:AH$180,'MoodysData(Raw)'!$B$2:$B$180,"=EMP",'MoodysData(Raw)'!$D$2:$D$180,"="&amp;'Implied Productivity Ratios'!$C51)</f>
        <v>466.88400451232832</v>
      </c>
      <c r="AF51">
        <f>SUMIFS('MoodysData(Raw)'!AI$2:AI$180,'MoodysData(Raw)'!$B$2:$B$180,"=GDP",'MoodysData(Raw)'!$D$2:$D$180,"="&amp;'Implied Productivity Ratios'!$C51)/SUMIFS('MoodysData(Raw)'!AI$2:AI$180,'MoodysData(Raw)'!$B$2:$B$180,"=EMP",'MoodysData(Raw)'!$D$2:$D$180,"="&amp;'Implied Productivity Ratios'!$C51)</f>
        <v>499.9245587345809</v>
      </c>
      <c r="AG51">
        <f>SUMIFS('MoodysData(Raw)'!AJ$2:AJ$180,'MoodysData(Raw)'!$B$2:$B$180,"=GDP",'MoodysData(Raw)'!$D$2:$D$180,"="&amp;'Implied Productivity Ratios'!$C51)/SUMIFS('MoodysData(Raw)'!AJ$2:AJ$180,'MoodysData(Raw)'!$B$2:$B$180,"=EMP",'MoodysData(Raw)'!$D$2:$D$180,"="&amp;'Implied Productivity Ratios'!$C51)</f>
        <v>533.97202993978271</v>
      </c>
      <c r="AH51">
        <f>SUMIFS('MoodysData(Raw)'!AK$2:AK$180,'MoodysData(Raw)'!$B$2:$B$180,"=GDP",'MoodysData(Raw)'!$D$2:$D$180,"="&amp;'Implied Productivity Ratios'!$C51)/SUMIFS('MoodysData(Raw)'!AK$2:AK$180,'MoodysData(Raw)'!$B$2:$B$180,"=EMP",'MoodysData(Raw)'!$D$2:$D$180,"="&amp;'Implied Productivity Ratios'!$C51)</f>
        <v>568.48413536288081</v>
      </c>
      <c r="AI51">
        <f>SUMIFS('MoodysData(Raw)'!AL$2:AL$180,'MoodysData(Raw)'!$B$2:$B$180,"=GDP",'MoodysData(Raw)'!$D$2:$D$180,"="&amp;'Implied Productivity Ratios'!$C51)/SUMIFS('MoodysData(Raw)'!AL$2:AL$180,'MoodysData(Raw)'!$B$2:$B$180,"=EMP",'MoodysData(Raw)'!$D$2:$D$180,"="&amp;'Implied Productivity Ratios'!$C51)</f>
        <v>603.35662139885392</v>
      </c>
      <c r="AJ51">
        <f>SUMIFS('MoodysData(Raw)'!AM$2:AM$180,'MoodysData(Raw)'!$B$2:$B$180,"=GDP",'MoodysData(Raw)'!$D$2:$D$180,"="&amp;'Implied Productivity Ratios'!$C51)/SUMIFS('MoodysData(Raw)'!AM$2:AM$180,'MoodysData(Raw)'!$B$2:$B$180,"=EMP",'MoodysData(Raw)'!$D$2:$D$180,"="&amp;'Implied Productivity Ratios'!$C51)</f>
        <v>639.66994905940396</v>
      </c>
      <c r="AK51">
        <f>SUMIFS('MoodysData(Raw)'!AN$2:AN$180,'MoodysData(Raw)'!$B$2:$B$180,"=GDP",'MoodysData(Raw)'!$D$2:$D$180,"="&amp;'Implied Productivity Ratios'!$C51)/SUMIFS('MoodysData(Raw)'!AN$2:AN$180,'MoodysData(Raw)'!$B$2:$B$180,"=EMP",'MoodysData(Raw)'!$D$2:$D$180,"="&amp;'Implied Productivity Ratios'!$C51)</f>
        <v>677.18215910488141</v>
      </c>
      <c r="AL51">
        <f>SUMIFS('MoodysData(Raw)'!AO$2:AO$180,'MoodysData(Raw)'!$B$2:$B$180,"=GDP",'MoodysData(Raw)'!$D$2:$D$180,"="&amp;'Implied Productivity Ratios'!$C51)/SUMIFS('MoodysData(Raw)'!AO$2:AO$180,'MoodysData(Raw)'!$B$2:$B$180,"=EMP",'MoodysData(Raw)'!$D$2:$D$180,"="&amp;'Implied Productivity Ratios'!$C51)</f>
        <v>714.95540908139776</v>
      </c>
      <c r="AM51">
        <f>SUMIFS('MoodysData(Raw)'!AP$2:AP$180,'MoodysData(Raw)'!$B$2:$B$180,"=GDP",'MoodysData(Raw)'!$D$2:$D$180,"="&amp;'Implied Productivity Ratios'!$C51)/SUMIFS('MoodysData(Raw)'!AP$2:AP$180,'MoodysData(Raw)'!$B$2:$B$180,"=EMP",'MoodysData(Raw)'!$D$2:$D$180,"="&amp;'Implied Productivity Ratios'!$C51)</f>
        <v>753.35519463889364</v>
      </c>
      <c r="AN51">
        <f>SUMIFS('MoodysData(Raw)'!AQ$2:AQ$180,'MoodysData(Raw)'!$B$2:$B$180,"=GDP",'MoodysData(Raw)'!$D$2:$D$180,"="&amp;'Implied Productivity Ratios'!$C51)/SUMIFS('MoodysData(Raw)'!AQ$2:AQ$180,'MoodysData(Raw)'!$B$2:$B$180,"=EMP",'MoodysData(Raw)'!$D$2:$D$180,"="&amp;'Implied Productivity Ratios'!$C51)</f>
        <v>792.28530102662251</v>
      </c>
      <c r="AO51">
        <f>SUMIFS('MoodysData(Raw)'!AR$2:AR$180,'MoodysData(Raw)'!$B$2:$B$180,"=GDP",'MoodysData(Raw)'!$D$2:$D$180,"="&amp;'Implied Productivity Ratios'!$C51)/SUMIFS('MoodysData(Raw)'!AR$2:AR$180,'MoodysData(Raw)'!$B$2:$B$180,"=EMP",'MoodysData(Raw)'!$D$2:$D$180,"="&amp;'Implied Productivity Ratios'!$C51)</f>
        <v>831.24637456550136</v>
      </c>
      <c r="AP51">
        <f>SUMIFS('MoodysData(Raw)'!AS$2:AS$180,'MoodysData(Raw)'!$B$2:$B$180,"=GDP",'MoodysData(Raw)'!$D$2:$D$180,"="&amp;'Implied Productivity Ratios'!$C51)/SUMIFS('MoodysData(Raw)'!AS$2:AS$180,'MoodysData(Raw)'!$B$2:$B$180,"=EMP",'MoodysData(Raw)'!$D$2:$D$180,"="&amp;'Implied Productivity Ratios'!$C51)</f>
        <v>870.02395587076444</v>
      </c>
      <c r="AQ51">
        <f>SUMIFS('MoodysData(Raw)'!AT$2:AT$180,'MoodysData(Raw)'!$B$2:$B$180,"=GDP",'MoodysData(Raw)'!$D$2:$D$180,"="&amp;'Implied Productivity Ratios'!$C51)/SUMIFS('MoodysData(Raw)'!AT$2:AT$180,'MoodysData(Raw)'!$B$2:$B$180,"=EMP",'MoodysData(Raw)'!$D$2:$D$180,"="&amp;'Implied Productivity Ratios'!$C51)</f>
        <v>908.3949222323879</v>
      </c>
      <c r="AR51">
        <f>SUMIFS('MoodysData(Raw)'!AU$2:AU$180,'MoodysData(Raw)'!$B$2:$B$180,"=GDP",'MoodysData(Raw)'!$D$2:$D$180,"="&amp;'Implied Productivity Ratios'!$C51)/SUMIFS('MoodysData(Raw)'!AU$2:AU$180,'MoodysData(Raw)'!$B$2:$B$180,"=EMP",'MoodysData(Raw)'!$D$2:$D$180,"="&amp;'Implied Productivity Ratios'!$C51)</f>
        <v>945.81540960779762</v>
      </c>
      <c r="AS51">
        <f>SUMIFS('MoodysData(Raw)'!AV$2:AV$180,'MoodysData(Raw)'!$B$2:$B$180,"=GDP",'MoodysData(Raw)'!$D$2:$D$180,"="&amp;'Implied Productivity Ratios'!$C51)/SUMIFS('MoodysData(Raw)'!AV$2:AV$180,'MoodysData(Raw)'!$B$2:$B$180,"=EMP",'MoodysData(Raw)'!$D$2:$D$180,"="&amp;'Implied Productivity Ratios'!$C51)</f>
        <v>982.12726631393298</v>
      </c>
      <c r="AT51">
        <f>SUMIFS('MoodysData(Raw)'!AW$2:AW$180,'MoodysData(Raw)'!$B$2:$B$180,"=GDP",'MoodysData(Raw)'!$D$2:$D$180,"="&amp;'Implied Productivity Ratios'!$C51)/SUMIFS('MoodysData(Raw)'!AW$2:AW$180,'MoodysData(Raw)'!$B$2:$B$180,"=EMP",'MoodysData(Raw)'!$D$2:$D$180,"="&amp;'Implied Productivity Ratios'!$C51)</f>
        <v>1017.3188329922422</v>
      </c>
      <c r="AU51">
        <f>SUMIFS('MoodysData(Raw)'!AX$2:AX$180,'MoodysData(Raw)'!$B$2:$B$180,"=GDP",'MoodysData(Raw)'!$D$2:$D$180,"="&amp;'Implied Productivity Ratios'!$C51)/SUMIFS('MoodysData(Raw)'!AX$2:AX$180,'MoodysData(Raw)'!$B$2:$B$180,"=EMP",'MoodysData(Raw)'!$D$2:$D$180,"="&amp;'Implied Productivity Ratios'!$C51)</f>
        <v>1052.2228290945839</v>
      </c>
      <c r="AV51">
        <f>SUMIFS('MoodysData(Raw)'!AY$2:AY$180,'MoodysData(Raw)'!$B$2:$B$180,"=GDP",'MoodysData(Raw)'!$D$2:$D$180,"="&amp;'Implied Productivity Ratios'!$C51)/SUMIFS('MoodysData(Raw)'!AY$2:AY$180,'MoodysData(Raw)'!$B$2:$B$180,"=EMP",'MoodysData(Raw)'!$D$2:$D$180,"="&amp;'Implied Productivity Ratios'!$C51)</f>
        <v>1086.5867188259306</v>
      </c>
      <c r="AW51">
        <f>SUMIFS('MoodysData(Raw)'!AZ$2:AZ$180,'MoodysData(Raw)'!$B$2:$B$180,"=GDP",'MoodysData(Raw)'!$D$2:$D$180,"="&amp;'Implied Productivity Ratios'!$C51)/SUMIFS('MoodysData(Raw)'!AZ$2:AZ$180,'MoodysData(Raw)'!$B$2:$B$180,"=EMP",'MoodysData(Raw)'!$D$2:$D$180,"="&amp;'Implied Productivity Ratios'!$C51)</f>
        <v>1119.8534858654646</v>
      </c>
      <c r="AX51">
        <f>SUMIFS('MoodysData(Raw)'!BA$2:BA$180,'MoodysData(Raw)'!$B$2:$B$180,"=GDP",'MoodysData(Raw)'!$D$2:$D$180,"="&amp;'Implied Productivity Ratios'!$C51)/SUMIFS('MoodysData(Raw)'!BA$2:BA$180,'MoodysData(Raw)'!$B$2:$B$180,"=EMP",'MoodysData(Raw)'!$D$2:$D$180,"="&amp;'Implied Productivity Ratios'!$C51)</f>
        <v>1151.7449326823494</v>
      </c>
      <c r="AY51">
        <f>SUMIFS('MoodysData(Raw)'!BB$2:BB$180,'MoodysData(Raw)'!$B$2:$B$180,"=GDP",'MoodysData(Raw)'!$D$2:$D$180,"="&amp;'Implied Productivity Ratios'!$C51)/SUMIFS('MoodysData(Raw)'!BB$2:BB$180,'MoodysData(Raw)'!$B$2:$B$180,"=EMP",'MoodysData(Raw)'!$D$2:$D$180,"="&amp;'Implied Productivity Ratios'!$C51)</f>
        <v>1182.2338241856312</v>
      </c>
      <c r="AZ51">
        <f>SUMIFS('MoodysData(Raw)'!BC$2:BC$180,'MoodysData(Raw)'!$B$2:$B$180,"=GDP",'MoodysData(Raw)'!$D$2:$D$180,"="&amp;'Implied Productivity Ratios'!$C51)/SUMIFS('MoodysData(Raw)'!BC$2:BC$180,'MoodysData(Raw)'!$B$2:$B$180,"=EMP",'MoodysData(Raw)'!$D$2:$D$180,"="&amp;'Implied Productivity Ratios'!$C51)</f>
        <v>1211.8357896833299</v>
      </c>
      <c r="BA51">
        <f>SUMIFS('MoodysData(Raw)'!BD$2:BD$180,'MoodysData(Raw)'!$B$2:$B$180,"=GDP",'MoodysData(Raw)'!$D$2:$D$180,"="&amp;'Implied Productivity Ratios'!$C51)/SUMIFS('MoodysData(Raw)'!BD$2:BD$180,'MoodysData(Raw)'!$B$2:$B$180,"=EMP",'MoodysData(Raw)'!$D$2:$D$180,"="&amp;'Implied Productivity Ratios'!$C51)</f>
        <v>1240.0615761086694</v>
      </c>
      <c r="BB51">
        <f>SUMIFS('MoodysData(Raw)'!BE$2:BE$180,'MoodysData(Raw)'!$B$2:$B$180,"=GDP",'MoodysData(Raw)'!$D$2:$D$180,"="&amp;'Implied Productivity Ratios'!$C51)/SUMIFS('MoodysData(Raw)'!BE$2:BE$180,'MoodysData(Raw)'!$B$2:$B$180,"=EMP",'MoodysData(Raw)'!$D$2:$D$180,"="&amp;'Implied Productivity Ratios'!$C51)</f>
        <v>1266.930295979384</v>
      </c>
      <c r="BC51">
        <f>SUMIFS('MoodysData(Raw)'!BF$2:BF$180,'MoodysData(Raw)'!$B$2:$B$180,"=GDP",'MoodysData(Raw)'!$D$2:$D$180,"="&amp;'Implied Productivity Ratios'!$C51)/SUMIFS('MoodysData(Raw)'!BF$2:BF$180,'MoodysData(Raw)'!$B$2:$B$180,"=EMP",'MoodysData(Raw)'!$D$2:$D$180,"="&amp;'Implied Productivity Ratios'!$C51)</f>
        <v>1292.0375053203475</v>
      </c>
      <c r="BD51" s="5">
        <f t="shared" ref="BD51:BH51" si="45">BC51+($BC51-$AX51)/5</f>
        <v>1320.096019847947</v>
      </c>
      <c r="BE51" s="5">
        <f t="shared" si="45"/>
        <v>1348.1545343755465</v>
      </c>
      <c r="BF51" s="5">
        <f t="shared" si="45"/>
        <v>1376.213048903146</v>
      </c>
      <c r="BG51" s="5">
        <f t="shared" si="45"/>
        <v>1404.2715634307456</v>
      </c>
      <c r="BH51" s="5">
        <f t="shared" si="45"/>
        <v>1432.3300779583451</v>
      </c>
    </row>
    <row r="52" spans="3:60">
      <c r="C52">
        <v>484</v>
      </c>
      <c r="D52" t="s">
        <v>179</v>
      </c>
      <c r="E52">
        <f>SUMIFS('MoodysData(Raw)'!H$2:H$180,'MoodysData(Raw)'!$B$2:$B$180,"=GDP",'MoodysData(Raw)'!$D$2:$D$180,"="&amp;'Implied Productivity Ratios'!$C52)/SUMIFS('MoodysData(Raw)'!H$2:H$180,'MoodysData(Raw)'!$B$2:$B$180,"=EMP",'MoodysData(Raw)'!$D$2:$D$180,"="&amp;'Implied Productivity Ratios'!$C52)</f>
        <v>102.78520641174889</v>
      </c>
      <c r="F52">
        <f>SUMIFS('MoodysData(Raw)'!I$2:I$180,'MoodysData(Raw)'!$B$2:$B$180,"=GDP",'MoodysData(Raw)'!$D$2:$D$180,"="&amp;'Implied Productivity Ratios'!$C52)/SUMIFS('MoodysData(Raw)'!I$2:I$180,'MoodysData(Raw)'!$B$2:$B$180,"=EMP",'MoodysData(Raw)'!$D$2:$D$180,"="&amp;'Implied Productivity Ratios'!$C52)</f>
        <v>104.98806208832377</v>
      </c>
      <c r="G52">
        <f>SUMIFS('MoodysData(Raw)'!J$2:J$180,'MoodysData(Raw)'!$B$2:$B$180,"=GDP",'MoodysData(Raw)'!$D$2:$D$180,"="&amp;'Implied Productivity Ratios'!$C52)/SUMIFS('MoodysData(Raw)'!J$2:J$180,'MoodysData(Raw)'!$B$2:$B$180,"=EMP",'MoodysData(Raw)'!$D$2:$D$180,"="&amp;'Implied Productivity Ratios'!$C52)</f>
        <v>104.88712445607891</v>
      </c>
      <c r="H52">
        <f>SUMIFS('MoodysData(Raw)'!K$2:K$180,'MoodysData(Raw)'!$B$2:$B$180,"=GDP",'MoodysData(Raw)'!$D$2:$D$180,"="&amp;'Implied Productivity Ratios'!$C52)/SUMIFS('MoodysData(Raw)'!K$2:K$180,'MoodysData(Raw)'!$B$2:$B$180,"=EMP",'MoodysData(Raw)'!$D$2:$D$180,"="&amp;'Implied Productivity Ratios'!$C52)</f>
        <v>100.03193700818976</v>
      </c>
      <c r="I52">
        <f>SUMIFS('MoodysData(Raw)'!L$2:L$180,'MoodysData(Raw)'!$B$2:$B$180,"=GDP",'MoodysData(Raw)'!$D$2:$D$180,"="&amp;'Implied Productivity Ratios'!$C52)/SUMIFS('MoodysData(Raw)'!L$2:L$180,'MoodysData(Raw)'!$B$2:$B$180,"=EMP",'MoodysData(Raw)'!$D$2:$D$180,"="&amp;'Implied Productivity Ratios'!$C52)</f>
        <v>101.10415014162064</v>
      </c>
      <c r="J52">
        <f>SUMIFS('MoodysData(Raw)'!M$2:M$180,'MoodysData(Raw)'!$B$2:$B$180,"=GDP",'MoodysData(Raw)'!$D$2:$D$180,"="&amp;'Implied Productivity Ratios'!$C52)/SUMIFS('MoodysData(Raw)'!M$2:M$180,'MoodysData(Raw)'!$B$2:$B$180,"=EMP",'MoodysData(Raw)'!$D$2:$D$180,"="&amp;'Implied Productivity Ratios'!$C52)</f>
        <v>108.50298904548326</v>
      </c>
      <c r="K52">
        <f>SUMIFS('MoodysData(Raw)'!N$2:N$180,'MoodysData(Raw)'!$B$2:$B$180,"=GDP",'MoodysData(Raw)'!$D$2:$D$180,"="&amp;'Implied Productivity Ratios'!$C52)/SUMIFS('MoodysData(Raw)'!N$2:N$180,'MoodysData(Raw)'!$B$2:$B$180,"=EMP",'MoodysData(Raw)'!$D$2:$D$180,"="&amp;'Implied Productivity Ratios'!$C52)</f>
        <v>109.43667996406329</v>
      </c>
      <c r="L52">
        <f>SUMIFS('MoodysData(Raw)'!O$2:O$180,'MoodysData(Raw)'!$B$2:$B$180,"=GDP",'MoodysData(Raw)'!$D$2:$D$180,"="&amp;'Implied Productivity Ratios'!$C52)/SUMIFS('MoodysData(Raw)'!O$2:O$180,'MoodysData(Raw)'!$B$2:$B$180,"=EMP",'MoodysData(Raw)'!$D$2:$D$180,"="&amp;'Implied Productivity Ratios'!$C52)</f>
        <v>107.56573413977334</v>
      </c>
      <c r="M52">
        <f>SUMIFS('MoodysData(Raw)'!P$2:P$180,'MoodysData(Raw)'!$B$2:$B$180,"=GDP",'MoodysData(Raw)'!$D$2:$D$180,"="&amp;'Implied Productivity Ratios'!$C52)/SUMIFS('MoodysData(Raw)'!P$2:P$180,'MoodysData(Raw)'!$B$2:$B$180,"=EMP",'MoodysData(Raw)'!$D$2:$D$180,"="&amp;'Implied Productivity Ratios'!$C52)</f>
        <v>108.23748936077344</v>
      </c>
      <c r="N52">
        <f>SUMIFS('MoodysData(Raw)'!Q$2:Q$180,'MoodysData(Raw)'!$B$2:$B$180,"=GDP",'MoodysData(Raw)'!$D$2:$D$180,"="&amp;'Implied Productivity Ratios'!$C52)/SUMIFS('MoodysData(Raw)'!Q$2:Q$180,'MoodysData(Raw)'!$B$2:$B$180,"=EMP",'MoodysData(Raw)'!$D$2:$D$180,"="&amp;'Implied Productivity Ratios'!$C52)</f>
        <v>112.20332793586449</v>
      </c>
      <c r="O52">
        <f>SUMIFS('MoodysData(Raw)'!R$2:R$180,'MoodysData(Raw)'!$B$2:$B$180,"=GDP",'MoodysData(Raw)'!$D$2:$D$180,"="&amp;'Implied Productivity Ratios'!$C52)/SUMIFS('MoodysData(Raw)'!R$2:R$180,'MoodysData(Raw)'!$B$2:$B$180,"=EMP",'MoodysData(Raw)'!$D$2:$D$180,"="&amp;'Implied Productivity Ratios'!$C52)</f>
        <v>112.47485698944716</v>
      </c>
      <c r="P52">
        <f>SUMIFS('MoodysData(Raw)'!S$2:S$180,'MoodysData(Raw)'!$B$2:$B$180,"=GDP",'MoodysData(Raw)'!$D$2:$D$180,"="&amp;'Implied Productivity Ratios'!$C52)/SUMIFS('MoodysData(Raw)'!S$2:S$180,'MoodysData(Raw)'!$B$2:$B$180,"=EMP",'MoodysData(Raw)'!$D$2:$D$180,"="&amp;'Implied Productivity Ratios'!$C52)</f>
        <v>113.89152362243206</v>
      </c>
      <c r="Q52">
        <f>SUMIFS('MoodysData(Raw)'!T$2:T$180,'MoodysData(Raw)'!$B$2:$B$180,"=GDP",'MoodysData(Raw)'!$D$2:$D$180,"="&amp;'Implied Productivity Ratios'!$C52)/SUMIFS('MoodysData(Raw)'!T$2:T$180,'MoodysData(Raw)'!$B$2:$B$180,"=EMP",'MoodysData(Raw)'!$D$2:$D$180,"="&amp;'Implied Productivity Ratios'!$C52)</f>
        <v>122.0743872684358</v>
      </c>
      <c r="R52">
        <f>SUMIFS('MoodysData(Raw)'!U$2:U$180,'MoodysData(Raw)'!$B$2:$B$180,"=GDP",'MoodysData(Raw)'!$D$2:$D$180,"="&amp;'Implied Productivity Ratios'!$C52)/SUMIFS('MoodysData(Raw)'!U$2:U$180,'MoodysData(Raw)'!$B$2:$B$180,"=EMP",'MoodysData(Raw)'!$D$2:$D$180,"="&amp;'Implied Productivity Ratios'!$C52)</f>
        <v>118.54611090033427</v>
      </c>
      <c r="S52">
        <f>SUMIFS('MoodysData(Raw)'!V$2:V$180,'MoodysData(Raw)'!$B$2:$B$180,"=GDP",'MoodysData(Raw)'!$D$2:$D$180,"="&amp;'Implied Productivity Ratios'!$C52)/SUMIFS('MoodysData(Raw)'!V$2:V$180,'MoodysData(Raw)'!$B$2:$B$180,"=EMP",'MoodysData(Raw)'!$D$2:$D$180,"="&amp;'Implied Productivity Ratios'!$C52)</f>
        <v>114.92314378337744</v>
      </c>
      <c r="T52">
        <f>SUMIFS('MoodysData(Raw)'!W$2:W$180,'MoodysData(Raw)'!$B$2:$B$180,"=GDP",'MoodysData(Raw)'!$D$2:$D$180,"="&amp;'Implied Productivity Ratios'!$C52)/SUMIFS('MoodysData(Raw)'!W$2:W$180,'MoodysData(Raw)'!$B$2:$B$180,"=EMP",'MoodysData(Raw)'!$D$2:$D$180,"="&amp;'Implied Productivity Ratios'!$C52)</f>
        <v>117.88648753828078</v>
      </c>
      <c r="U52">
        <f>SUMIFS('MoodysData(Raw)'!X$2:X$180,'MoodysData(Raw)'!$B$2:$B$180,"=GDP",'MoodysData(Raw)'!$D$2:$D$180,"="&amp;'Implied Productivity Ratios'!$C52)/SUMIFS('MoodysData(Raw)'!X$2:X$180,'MoodysData(Raw)'!$B$2:$B$180,"=EMP",'MoodysData(Raw)'!$D$2:$D$180,"="&amp;'Implied Productivity Ratios'!$C52)</f>
        <v>124.45701131349152</v>
      </c>
      <c r="V52">
        <f>SUMIFS('MoodysData(Raw)'!Y$2:Y$180,'MoodysData(Raw)'!$B$2:$B$180,"=GDP",'MoodysData(Raw)'!$D$2:$D$180,"="&amp;'Implied Productivity Ratios'!$C52)/SUMIFS('MoodysData(Raw)'!Y$2:Y$180,'MoodysData(Raw)'!$B$2:$B$180,"=EMP",'MoodysData(Raw)'!$D$2:$D$180,"="&amp;'Implied Productivity Ratios'!$C52)</f>
        <v>106.46871652359</v>
      </c>
      <c r="W52">
        <f>SUMIFS('MoodysData(Raw)'!Z$2:Z$180,'MoodysData(Raw)'!$B$2:$B$180,"=GDP",'MoodysData(Raw)'!$D$2:$D$180,"="&amp;'Implied Productivity Ratios'!$C52)/SUMIFS('MoodysData(Raw)'!Z$2:Z$180,'MoodysData(Raw)'!$B$2:$B$180,"=EMP",'MoodysData(Raw)'!$D$2:$D$180,"="&amp;'Implied Productivity Ratios'!$C52)</f>
        <v>107.91707275894619</v>
      </c>
      <c r="X52">
        <f>SUMIFS('MoodysData(Raw)'!AA$2:AA$180,'MoodysData(Raw)'!$B$2:$B$180,"=GDP",'MoodysData(Raw)'!$D$2:$D$180,"="&amp;'Implied Productivity Ratios'!$C52)/SUMIFS('MoodysData(Raw)'!AA$2:AA$180,'MoodysData(Raw)'!$B$2:$B$180,"=EMP",'MoodysData(Raw)'!$D$2:$D$180,"="&amp;'Implied Productivity Ratios'!$C52)</f>
        <v>115.19330324526804</v>
      </c>
      <c r="Y52">
        <f>SUMIFS('MoodysData(Raw)'!AB$2:AB$180,'MoodysData(Raw)'!$B$2:$B$180,"=GDP",'MoodysData(Raw)'!$D$2:$D$180,"="&amp;'Implied Productivity Ratios'!$C52)/SUMIFS('MoodysData(Raw)'!AB$2:AB$180,'MoodysData(Raw)'!$B$2:$B$180,"=EMP",'MoodysData(Raw)'!$D$2:$D$180,"="&amp;'Implied Productivity Ratios'!$C52)</f>
        <v>120.66112813266217</v>
      </c>
      <c r="Z52">
        <f>SUMIFS('MoodysData(Raw)'!AC$2:AC$180,'MoodysData(Raw)'!$B$2:$B$180,"=GDP",'MoodysData(Raw)'!$D$2:$D$180,"="&amp;'Implied Productivity Ratios'!$C52)/SUMIFS('MoodysData(Raw)'!AC$2:AC$180,'MoodysData(Raw)'!$B$2:$B$180,"=EMP",'MoodysData(Raw)'!$D$2:$D$180,"="&amp;'Implied Productivity Ratios'!$C52)</f>
        <v>125.19712018862302</v>
      </c>
      <c r="AA52">
        <f>SUMIFS('MoodysData(Raw)'!AD$2:AD$180,'MoodysData(Raw)'!$B$2:$B$180,"=GDP",'MoodysData(Raw)'!$D$2:$D$180,"="&amp;'Implied Productivity Ratios'!$C52)/SUMIFS('MoodysData(Raw)'!AD$2:AD$180,'MoodysData(Raw)'!$B$2:$B$180,"=EMP",'MoodysData(Raw)'!$D$2:$D$180,"="&amp;'Implied Productivity Ratios'!$C52)</f>
        <v>130.69331897162226</v>
      </c>
      <c r="AB52">
        <f>SUMIFS('MoodysData(Raw)'!AE$2:AE$180,'MoodysData(Raw)'!$B$2:$B$180,"=GDP",'MoodysData(Raw)'!$D$2:$D$180,"="&amp;'Implied Productivity Ratios'!$C52)/SUMIFS('MoodysData(Raw)'!AE$2:AE$180,'MoodysData(Raw)'!$B$2:$B$180,"=EMP",'MoodysData(Raw)'!$D$2:$D$180,"="&amp;'Implied Productivity Ratios'!$C52)</f>
        <v>136.9626999156383</v>
      </c>
      <c r="AC52">
        <f>SUMIFS('MoodysData(Raw)'!AF$2:AF$180,'MoodysData(Raw)'!$B$2:$B$180,"=GDP",'MoodysData(Raw)'!$D$2:$D$180,"="&amp;'Implied Productivity Ratios'!$C52)/SUMIFS('MoodysData(Raw)'!AF$2:AF$180,'MoodysData(Raw)'!$B$2:$B$180,"=EMP",'MoodysData(Raw)'!$D$2:$D$180,"="&amp;'Implied Productivity Ratios'!$C52)</f>
        <v>143.68874271561771</v>
      </c>
      <c r="AD52">
        <f>SUMIFS('MoodysData(Raw)'!AG$2:AG$180,'MoodysData(Raw)'!$B$2:$B$180,"=GDP",'MoodysData(Raw)'!$D$2:$D$180,"="&amp;'Implied Productivity Ratios'!$C52)/SUMIFS('MoodysData(Raw)'!AG$2:AG$180,'MoodysData(Raw)'!$B$2:$B$180,"=EMP",'MoodysData(Raw)'!$D$2:$D$180,"="&amp;'Implied Productivity Ratios'!$C52)</f>
        <v>150.69816878545922</v>
      </c>
      <c r="AE52">
        <f>SUMIFS('MoodysData(Raw)'!AH$2:AH$180,'MoodysData(Raw)'!$B$2:$B$180,"=GDP",'MoodysData(Raw)'!$D$2:$D$180,"="&amp;'Implied Productivity Ratios'!$C52)/SUMIFS('MoodysData(Raw)'!AH$2:AH$180,'MoodysData(Raw)'!$B$2:$B$180,"=EMP",'MoodysData(Raw)'!$D$2:$D$180,"="&amp;'Implied Productivity Ratios'!$C52)</f>
        <v>157.62469847416585</v>
      </c>
      <c r="AF52">
        <f>SUMIFS('MoodysData(Raw)'!AI$2:AI$180,'MoodysData(Raw)'!$B$2:$B$180,"=GDP",'MoodysData(Raw)'!$D$2:$D$180,"="&amp;'Implied Productivity Ratios'!$C52)/SUMIFS('MoodysData(Raw)'!AI$2:AI$180,'MoodysData(Raw)'!$B$2:$B$180,"=EMP",'MoodysData(Raw)'!$D$2:$D$180,"="&amp;'Implied Productivity Ratios'!$C52)</f>
        <v>164.64952360637088</v>
      </c>
      <c r="AG52">
        <f>SUMIFS('MoodysData(Raw)'!AJ$2:AJ$180,'MoodysData(Raw)'!$B$2:$B$180,"=GDP",'MoodysData(Raw)'!$D$2:$D$180,"="&amp;'Implied Productivity Ratios'!$C52)/SUMIFS('MoodysData(Raw)'!AJ$2:AJ$180,'MoodysData(Raw)'!$B$2:$B$180,"=EMP",'MoodysData(Raw)'!$D$2:$D$180,"="&amp;'Implied Productivity Ratios'!$C52)</f>
        <v>171.74237102441953</v>
      </c>
      <c r="AH52">
        <f>SUMIFS('MoodysData(Raw)'!AK$2:AK$180,'MoodysData(Raw)'!$B$2:$B$180,"=GDP",'MoodysData(Raw)'!$D$2:$D$180,"="&amp;'Implied Productivity Ratios'!$C52)/SUMIFS('MoodysData(Raw)'!AK$2:AK$180,'MoodysData(Raw)'!$B$2:$B$180,"=EMP",'MoodysData(Raw)'!$D$2:$D$180,"="&amp;'Implied Productivity Ratios'!$C52)</f>
        <v>178.71950955277066</v>
      </c>
      <c r="AI52">
        <f>SUMIFS('MoodysData(Raw)'!AL$2:AL$180,'MoodysData(Raw)'!$B$2:$B$180,"=GDP",'MoodysData(Raw)'!$D$2:$D$180,"="&amp;'Implied Productivity Ratios'!$C52)/SUMIFS('MoodysData(Raw)'!AL$2:AL$180,'MoodysData(Raw)'!$B$2:$B$180,"=EMP",'MoodysData(Raw)'!$D$2:$D$180,"="&amp;'Implied Productivity Ratios'!$C52)</f>
        <v>185.60855290439139</v>
      </c>
      <c r="AJ52">
        <f>SUMIFS('MoodysData(Raw)'!AM$2:AM$180,'MoodysData(Raw)'!$B$2:$B$180,"=GDP",'MoodysData(Raw)'!$D$2:$D$180,"="&amp;'Implied Productivity Ratios'!$C52)/SUMIFS('MoodysData(Raw)'!AM$2:AM$180,'MoodysData(Raw)'!$B$2:$B$180,"=EMP",'MoodysData(Raw)'!$D$2:$D$180,"="&amp;'Implied Productivity Ratios'!$C52)</f>
        <v>192.76976938890911</v>
      </c>
      <c r="AK52">
        <f>SUMIFS('MoodysData(Raw)'!AN$2:AN$180,'MoodysData(Raw)'!$B$2:$B$180,"=GDP",'MoodysData(Raw)'!$D$2:$D$180,"="&amp;'Implied Productivity Ratios'!$C52)/SUMIFS('MoodysData(Raw)'!AN$2:AN$180,'MoodysData(Raw)'!$B$2:$B$180,"=EMP",'MoodysData(Raw)'!$D$2:$D$180,"="&amp;'Implied Productivity Ratios'!$C52)</f>
        <v>200.13697459355987</v>
      </c>
      <c r="AL52">
        <f>SUMIFS('MoodysData(Raw)'!AO$2:AO$180,'MoodysData(Raw)'!$B$2:$B$180,"=GDP",'MoodysData(Raw)'!$D$2:$D$180,"="&amp;'Implied Productivity Ratios'!$C52)/SUMIFS('MoodysData(Raw)'!AO$2:AO$180,'MoodysData(Raw)'!$B$2:$B$180,"=EMP",'MoodysData(Raw)'!$D$2:$D$180,"="&amp;'Implied Productivity Ratios'!$C52)</f>
        <v>207.43962612899543</v>
      </c>
      <c r="AM52">
        <f>SUMIFS('MoodysData(Raw)'!AP$2:AP$180,'MoodysData(Raw)'!$B$2:$B$180,"=GDP",'MoodysData(Raw)'!$D$2:$D$180,"="&amp;'Implied Productivity Ratios'!$C52)/SUMIFS('MoodysData(Raw)'!AP$2:AP$180,'MoodysData(Raw)'!$B$2:$B$180,"=EMP",'MoodysData(Raw)'!$D$2:$D$180,"="&amp;'Implied Productivity Ratios'!$C52)</f>
        <v>214.80408779358771</v>
      </c>
      <c r="AN52">
        <f>SUMIFS('MoodysData(Raw)'!AQ$2:AQ$180,'MoodysData(Raw)'!$B$2:$B$180,"=GDP",'MoodysData(Raw)'!$D$2:$D$180,"="&amp;'Implied Productivity Ratios'!$C52)/SUMIFS('MoodysData(Raw)'!AQ$2:AQ$180,'MoodysData(Raw)'!$B$2:$B$180,"=EMP",'MoodysData(Raw)'!$D$2:$D$180,"="&amp;'Implied Productivity Ratios'!$C52)</f>
        <v>222.21192785205511</v>
      </c>
      <c r="AO52">
        <f>SUMIFS('MoodysData(Raw)'!AR$2:AR$180,'MoodysData(Raw)'!$B$2:$B$180,"=GDP",'MoodysData(Raw)'!$D$2:$D$180,"="&amp;'Implied Productivity Ratios'!$C52)/SUMIFS('MoodysData(Raw)'!AR$2:AR$180,'MoodysData(Raw)'!$B$2:$B$180,"=EMP",'MoodysData(Raw)'!$D$2:$D$180,"="&amp;'Implied Productivity Ratios'!$C52)</f>
        <v>229.5593025927883</v>
      </c>
      <c r="AP52">
        <f>SUMIFS('MoodysData(Raw)'!AS$2:AS$180,'MoodysData(Raw)'!$B$2:$B$180,"=GDP",'MoodysData(Raw)'!$D$2:$D$180,"="&amp;'Implied Productivity Ratios'!$C52)/SUMIFS('MoodysData(Raw)'!AS$2:AS$180,'MoodysData(Raw)'!$B$2:$B$180,"=EMP",'MoodysData(Raw)'!$D$2:$D$180,"="&amp;'Implied Productivity Ratios'!$C52)</f>
        <v>236.79689605259736</v>
      </c>
      <c r="AQ52">
        <f>SUMIFS('MoodysData(Raw)'!AT$2:AT$180,'MoodysData(Raw)'!$B$2:$B$180,"=GDP",'MoodysData(Raw)'!$D$2:$D$180,"="&amp;'Implied Productivity Ratios'!$C52)/SUMIFS('MoodysData(Raw)'!AT$2:AT$180,'MoodysData(Raw)'!$B$2:$B$180,"=EMP",'MoodysData(Raw)'!$D$2:$D$180,"="&amp;'Implied Productivity Ratios'!$C52)</f>
        <v>243.89904030866657</v>
      </c>
      <c r="AR52">
        <f>SUMIFS('MoodysData(Raw)'!AU$2:AU$180,'MoodysData(Raw)'!$B$2:$B$180,"=GDP",'MoodysData(Raw)'!$D$2:$D$180,"="&amp;'Implied Productivity Ratios'!$C52)/SUMIFS('MoodysData(Raw)'!AU$2:AU$180,'MoodysData(Raw)'!$B$2:$B$180,"=EMP",'MoodysData(Raw)'!$D$2:$D$180,"="&amp;'Implied Productivity Ratios'!$C52)</f>
        <v>250.77106827277615</v>
      </c>
      <c r="AS52">
        <f>SUMIFS('MoodysData(Raw)'!AV$2:AV$180,'MoodysData(Raw)'!$B$2:$B$180,"=GDP",'MoodysData(Raw)'!$D$2:$D$180,"="&amp;'Implied Productivity Ratios'!$C52)/SUMIFS('MoodysData(Raw)'!AV$2:AV$180,'MoodysData(Raw)'!$B$2:$B$180,"=EMP",'MoodysData(Raw)'!$D$2:$D$180,"="&amp;'Implied Productivity Ratios'!$C52)</f>
        <v>257.42000723573778</v>
      </c>
      <c r="AT52">
        <f>SUMIFS('MoodysData(Raw)'!AW$2:AW$180,'MoodysData(Raw)'!$B$2:$B$180,"=GDP",'MoodysData(Raw)'!$D$2:$D$180,"="&amp;'Implied Productivity Ratios'!$C52)/SUMIFS('MoodysData(Raw)'!AW$2:AW$180,'MoodysData(Raw)'!$B$2:$B$180,"=EMP",'MoodysData(Raw)'!$D$2:$D$180,"="&amp;'Implied Productivity Ratios'!$C52)</f>
        <v>263.87507822669801</v>
      </c>
      <c r="AU52">
        <f>SUMIFS('MoodysData(Raw)'!AX$2:AX$180,'MoodysData(Raw)'!$B$2:$B$180,"=GDP",'MoodysData(Raw)'!$D$2:$D$180,"="&amp;'Implied Productivity Ratios'!$C52)/SUMIFS('MoodysData(Raw)'!AX$2:AX$180,'MoodysData(Raw)'!$B$2:$B$180,"=EMP",'MoodysData(Raw)'!$D$2:$D$180,"="&amp;'Implied Productivity Ratios'!$C52)</f>
        <v>270.37714773107609</v>
      </c>
      <c r="AV52">
        <f>SUMIFS('MoodysData(Raw)'!AY$2:AY$180,'MoodysData(Raw)'!$B$2:$B$180,"=GDP",'MoodysData(Raw)'!$D$2:$D$180,"="&amp;'Implied Productivity Ratios'!$C52)/SUMIFS('MoodysData(Raw)'!AY$2:AY$180,'MoodysData(Raw)'!$B$2:$B$180,"=EMP",'MoodysData(Raw)'!$D$2:$D$180,"="&amp;'Implied Productivity Ratios'!$C52)</f>
        <v>276.8710806948049</v>
      </c>
      <c r="AW52">
        <f>SUMIFS('MoodysData(Raw)'!AZ$2:AZ$180,'MoodysData(Raw)'!$B$2:$B$180,"=GDP",'MoodysData(Raw)'!$D$2:$D$180,"="&amp;'Implied Productivity Ratios'!$C52)/SUMIFS('MoodysData(Raw)'!AZ$2:AZ$180,'MoodysData(Raw)'!$B$2:$B$180,"=EMP",'MoodysData(Raw)'!$D$2:$D$180,"="&amp;'Implied Productivity Ratios'!$C52)</f>
        <v>283.24323990684167</v>
      </c>
      <c r="AX52">
        <f>SUMIFS('MoodysData(Raw)'!BA$2:BA$180,'MoodysData(Raw)'!$B$2:$B$180,"=GDP",'MoodysData(Raw)'!$D$2:$D$180,"="&amp;'Implied Productivity Ratios'!$C52)/SUMIFS('MoodysData(Raw)'!BA$2:BA$180,'MoodysData(Raw)'!$B$2:$B$180,"=EMP",'MoodysData(Raw)'!$D$2:$D$180,"="&amp;'Implied Productivity Ratios'!$C52)</f>
        <v>289.44728110855021</v>
      </c>
      <c r="AY52">
        <f>SUMIFS('MoodysData(Raw)'!BB$2:BB$180,'MoodysData(Raw)'!$B$2:$B$180,"=GDP",'MoodysData(Raw)'!$D$2:$D$180,"="&amp;'Implied Productivity Ratios'!$C52)/SUMIFS('MoodysData(Raw)'!BB$2:BB$180,'MoodysData(Raw)'!$B$2:$B$180,"=EMP",'MoodysData(Raw)'!$D$2:$D$180,"="&amp;'Implied Productivity Ratios'!$C52)</f>
        <v>295.50947121076115</v>
      </c>
      <c r="AZ52">
        <f>SUMIFS('MoodysData(Raw)'!BC$2:BC$180,'MoodysData(Raw)'!$B$2:$B$180,"=GDP",'MoodysData(Raw)'!$D$2:$D$180,"="&amp;'Implied Productivity Ratios'!$C52)/SUMIFS('MoodysData(Raw)'!BC$2:BC$180,'MoodysData(Raw)'!$B$2:$B$180,"=EMP",'MoodysData(Raw)'!$D$2:$D$180,"="&amp;'Implied Productivity Ratios'!$C52)</f>
        <v>301.57250705896496</v>
      </c>
      <c r="BA52">
        <f>SUMIFS('MoodysData(Raw)'!BD$2:BD$180,'MoodysData(Raw)'!$B$2:$B$180,"=GDP",'MoodysData(Raw)'!$D$2:$D$180,"="&amp;'Implied Productivity Ratios'!$C52)/SUMIFS('MoodysData(Raw)'!BD$2:BD$180,'MoodysData(Raw)'!$B$2:$B$180,"=EMP",'MoodysData(Raw)'!$D$2:$D$180,"="&amp;'Implied Productivity Ratios'!$C52)</f>
        <v>307.55815275439045</v>
      </c>
      <c r="BB52">
        <f>SUMIFS('MoodysData(Raw)'!BE$2:BE$180,'MoodysData(Raw)'!$B$2:$B$180,"=GDP",'MoodysData(Raw)'!$D$2:$D$180,"="&amp;'Implied Productivity Ratios'!$C52)/SUMIFS('MoodysData(Raw)'!BE$2:BE$180,'MoodysData(Raw)'!$B$2:$B$180,"=EMP",'MoodysData(Raw)'!$D$2:$D$180,"="&amp;'Implied Productivity Ratios'!$C52)</f>
        <v>313.48224568355249</v>
      </c>
      <c r="BC52">
        <f>SUMIFS('MoodysData(Raw)'!BF$2:BF$180,'MoodysData(Raw)'!$B$2:$B$180,"=GDP",'MoodysData(Raw)'!$D$2:$D$180,"="&amp;'Implied Productivity Ratios'!$C52)/SUMIFS('MoodysData(Raw)'!BF$2:BF$180,'MoodysData(Raw)'!$B$2:$B$180,"=EMP",'MoodysData(Raw)'!$D$2:$D$180,"="&amp;'Implied Productivity Ratios'!$C52)</f>
        <v>319.23729295216526</v>
      </c>
      <c r="BD52" s="5">
        <f t="shared" ref="BD52:BH52" si="46">BC52+($BC52-$AX52)/5</f>
        <v>325.19529532088825</v>
      </c>
      <c r="BE52" s="5">
        <f t="shared" si="46"/>
        <v>331.15329768961124</v>
      </c>
      <c r="BF52" s="5">
        <f t="shared" si="46"/>
        <v>337.11130005833422</v>
      </c>
      <c r="BG52" s="5">
        <f t="shared" si="46"/>
        <v>343.06930242705721</v>
      </c>
      <c r="BH52" s="5">
        <f t="shared" si="46"/>
        <v>349.0273047957802</v>
      </c>
    </row>
    <row r="53" spans="3:60">
      <c r="C53">
        <v>485</v>
      </c>
      <c r="D53" t="s">
        <v>183</v>
      </c>
      <c r="E53">
        <f>SUMIFS('MoodysData(Raw)'!H$2:H$180,'MoodysData(Raw)'!$B$2:$B$180,"=GDP",'MoodysData(Raw)'!$D$2:$D$180,"="&amp;'Implied Productivity Ratios'!$C53)/SUMIFS('MoodysData(Raw)'!H$2:H$180,'MoodysData(Raw)'!$B$2:$B$180,"=EMP",'MoodysData(Raw)'!$D$2:$D$180,"="&amp;'Implied Productivity Ratios'!$C53)</f>
        <v>89.672495122188238</v>
      </c>
      <c r="F53">
        <f>SUMIFS('MoodysData(Raw)'!I$2:I$180,'MoodysData(Raw)'!$B$2:$B$180,"=GDP",'MoodysData(Raw)'!$D$2:$D$180,"="&amp;'Implied Productivity Ratios'!$C53)/SUMIFS('MoodysData(Raw)'!I$2:I$180,'MoodysData(Raw)'!$B$2:$B$180,"=EMP",'MoodysData(Raw)'!$D$2:$D$180,"="&amp;'Implied Productivity Ratios'!$C53)</f>
        <v>91.67130864776648</v>
      </c>
      <c r="G53">
        <f>SUMIFS('MoodysData(Raw)'!J$2:J$180,'MoodysData(Raw)'!$B$2:$B$180,"=GDP",'MoodysData(Raw)'!$D$2:$D$180,"="&amp;'Implied Productivity Ratios'!$C53)/SUMIFS('MoodysData(Raw)'!J$2:J$180,'MoodysData(Raw)'!$B$2:$B$180,"=EMP",'MoodysData(Raw)'!$D$2:$D$180,"="&amp;'Implied Productivity Ratios'!$C53)</f>
        <v>91.35986796286933</v>
      </c>
      <c r="H53">
        <f>SUMIFS('MoodysData(Raw)'!K$2:K$180,'MoodysData(Raw)'!$B$2:$B$180,"=GDP",'MoodysData(Raw)'!$D$2:$D$180,"="&amp;'Implied Productivity Ratios'!$C53)/SUMIFS('MoodysData(Raw)'!K$2:K$180,'MoodysData(Raw)'!$B$2:$B$180,"=EMP",'MoodysData(Raw)'!$D$2:$D$180,"="&amp;'Implied Productivity Ratios'!$C53)</f>
        <v>91.155395338999796</v>
      </c>
      <c r="I53">
        <f>SUMIFS('MoodysData(Raw)'!L$2:L$180,'MoodysData(Raw)'!$B$2:$B$180,"=GDP",'MoodysData(Raw)'!$D$2:$D$180,"="&amp;'Implied Productivity Ratios'!$C53)/SUMIFS('MoodysData(Raw)'!L$2:L$180,'MoodysData(Raw)'!$B$2:$B$180,"=EMP",'MoodysData(Raw)'!$D$2:$D$180,"="&amp;'Implied Productivity Ratios'!$C53)</f>
        <v>85.017378981817856</v>
      </c>
      <c r="J53">
        <f>SUMIFS('MoodysData(Raw)'!M$2:M$180,'MoodysData(Raw)'!$B$2:$B$180,"=GDP",'MoodysData(Raw)'!$D$2:$D$180,"="&amp;'Implied Productivity Ratios'!$C53)/SUMIFS('MoodysData(Raw)'!M$2:M$180,'MoodysData(Raw)'!$B$2:$B$180,"=EMP",'MoodysData(Raw)'!$D$2:$D$180,"="&amp;'Implied Productivity Ratios'!$C53)</f>
        <v>86.082021840189057</v>
      </c>
      <c r="K53">
        <f>SUMIFS('MoodysData(Raw)'!N$2:N$180,'MoodysData(Raw)'!$B$2:$B$180,"=GDP",'MoodysData(Raw)'!$D$2:$D$180,"="&amp;'Implied Productivity Ratios'!$C53)/SUMIFS('MoodysData(Raw)'!N$2:N$180,'MoodysData(Raw)'!$B$2:$B$180,"=EMP",'MoodysData(Raw)'!$D$2:$D$180,"="&amp;'Implied Productivity Ratios'!$C53)</f>
        <v>87.854906521155726</v>
      </c>
      <c r="L53">
        <f>SUMIFS('MoodysData(Raw)'!O$2:O$180,'MoodysData(Raw)'!$B$2:$B$180,"=GDP",'MoodysData(Raw)'!$D$2:$D$180,"="&amp;'Implied Productivity Ratios'!$C53)/SUMIFS('MoodysData(Raw)'!O$2:O$180,'MoodysData(Raw)'!$B$2:$B$180,"=EMP",'MoodysData(Raw)'!$D$2:$D$180,"="&amp;'Implied Productivity Ratios'!$C53)</f>
        <v>91.093153048469162</v>
      </c>
      <c r="M53">
        <f>SUMIFS('MoodysData(Raw)'!P$2:P$180,'MoodysData(Raw)'!$B$2:$B$180,"=GDP",'MoodysData(Raw)'!$D$2:$D$180,"="&amp;'Implied Productivity Ratios'!$C53)/SUMIFS('MoodysData(Raw)'!P$2:P$180,'MoodysData(Raw)'!$B$2:$B$180,"=EMP",'MoodysData(Raw)'!$D$2:$D$180,"="&amp;'Implied Productivity Ratios'!$C53)</f>
        <v>89.16549880618706</v>
      </c>
      <c r="N53">
        <f>SUMIFS('MoodysData(Raw)'!Q$2:Q$180,'MoodysData(Raw)'!$B$2:$B$180,"=GDP",'MoodysData(Raw)'!$D$2:$D$180,"="&amp;'Implied Productivity Ratios'!$C53)/SUMIFS('MoodysData(Raw)'!Q$2:Q$180,'MoodysData(Raw)'!$B$2:$B$180,"=EMP",'MoodysData(Raw)'!$D$2:$D$180,"="&amp;'Implied Productivity Ratios'!$C53)</f>
        <v>91.994298986486484</v>
      </c>
      <c r="O53">
        <f>SUMIFS('MoodysData(Raw)'!R$2:R$180,'MoodysData(Raw)'!$B$2:$B$180,"=GDP",'MoodysData(Raw)'!$D$2:$D$180,"="&amp;'Implied Productivity Ratios'!$C53)/SUMIFS('MoodysData(Raw)'!R$2:R$180,'MoodysData(Raw)'!$B$2:$B$180,"=EMP",'MoodysData(Raw)'!$D$2:$D$180,"="&amp;'Implied Productivity Ratios'!$C53)</f>
        <v>88.329490690089273</v>
      </c>
      <c r="P53">
        <f>SUMIFS('MoodysData(Raw)'!S$2:S$180,'MoodysData(Raw)'!$B$2:$B$180,"=GDP",'MoodysData(Raw)'!$D$2:$D$180,"="&amp;'Implied Productivity Ratios'!$C53)/SUMIFS('MoodysData(Raw)'!S$2:S$180,'MoodysData(Raw)'!$B$2:$B$180,"=EMP",'MoodysData(Raw)'!$D$2:$D$180,"="&amp;'Implied Productivity Ratios'!$C53)</f>
        <v>84.38885434825896</v>
      </c>
      <c r="Q53">
        <f>SUMIFS('MoodysData(Raw)'!T$2:T$180,'MoodysData(Raw)'!$B$2:$B$180,"=GDP",'MoodysData(Raw)'!$D$2:$D$180,"="&amp;'Implied Productivity Ratios'!$C53)/SUMIFS('MoodysData(Raw)'!T$2:T$180,'MoodysData(Raw)'!$B$2:$B$180,"=EMP",'MoodysData(Raw)'!$D$2:$D$180,"="&amp;'Implied Productivity Ratios'!$C53)</f>
        <v>87.83137942058427</v>
      </c>
      <c r="R53">
        <f>SUMIFS('MoodysData(Raw)'!U$2:U$180,'MoodysData(Raw)'!$B$2:$B$180,"=GDP",'MoodysData(Raw)'!$D$2:$D$180,"="&amp;'Implied Productivity Ratios'!$C53)/SUMIFS('MoodysData(Raw)'!U$2:U$180,'MoodysData(Raw)'!$B$2:$B$180,"=EMP",'MoodysData(Raw)'!$D$2:$D$180,"="&amp;'Implied Productivity Ratios'!$C53)</f>
        <v>94.39200880918672</v>
      </c>
      <c r="S53">
        <f>SUMIFS('MoodysData(Raw)'!V$2:V$180,'MoodysData(Raw)'!$B$2:$B$180,"=GDP",'MoodysData(Raw)'!$D$2:$D$180,"="&amp;'Implied Productivity Ratios'!$C53)/SUMIFS('MoodysData(Raw)'!V$2:V$180,'MoodysData(Raw)'!$B$2:$B$180,"=EMP",'MoodysData(Raw)'!$D$2:$D$180,"="&amp;'Implied Productivity Ratios'!$C53)</f>
        <v>110.94495392641439</v>
      </c>
      <c r="T53">
        <f>SUMIFS('MoodysData(Raw)'!W$2:W$180,'MoodysData(Raw)'!$B$2:$B$180,"=GDP",'MoodysData(Raw)'!$D$2:$D$180,"="&amp;'Implied Productivity Ratios'!$C53)/SUMIFS('MoodysData(Raw)'!W$2:W$180,'MoodysData(Raw)'!$B$2:$B$180,"=EMP",'MoodysData(Raw)'!$D$2:$D$180,"="&amp;'Implied Productivity Ratios'!$C53)</f>
        <v>119.00337028509162</v>
      </c>
      <c r="U53">
        <f>SUMIFS('MoodysData(Raw)'!X$2:X$180,'MoodysData(Raw)'!$B$2:$B$180,"=GDP",'MoodysData(Raw)'!$D$2:$D$180,"="&amp;'Implied Productivity Ratios'!$C53)/SUMIFS('MoodysData(Raw)'!X$2:X$180,'MoodysData(Raw)'!$B$2:$B$180,"=EMP",'MoodysData(Raw)'!$D$2:$D$180,"="&amp;'Implied Productivity Ratios'!$C53)</f>
        <v>128.38160660543184</v>
      </c>
      <c r="V53">
        <f>SUMIFS('MoodysData(Raw)'!Y$2:Y$180,'MoodysData(Raw)'!$B$2:$B$180,"=GDP",'MoodysData(Raw)'!$D$2:$D$180,"="&amp;'Implied Productivity Ratios'!$C53)/SUMIFS('MoodysData(Raw)'!Y$2:Y$180,'MoodysData(Raw)'!$B$2:$B$180,"=EMP",'MoodysData(Raw)'!$D$2:$D$180,"="&amp;'Implied Productivity Ratios'!$C53)</f>
        <v>148.76952377283442</v>
      </c>
      <c r="W53">
        <f>SUMIFS('MoodysData(Raw)'!Z$2:Z$180,'MoodysData(Raw)'!$B$2:$B$180,"=GDP",'MoodysData(Raw)'!$D$2:$D$180,"="&amp;'Implied Productivity Ratios'!$C53)/SUMIFS('MoodysData(Raw)'!Z$2:Z$180,'MoodysData(Raw)'!$B$2:$B$180,"=EMP",'MoodysData(Raw)'!$D$2:$D$180,"="&amp;'Implied Productivity Ratios'!$C53)</f>
        <v>170.0240048242479</v>
      </c>
      <c r="X53">
        <f>SUMIFS('MoodysData(Raw)'!AA$2:AA$180,'MoodysData(Raw)'!$B$2:$B$180,"=GDP",'MoodysData(Raw)'!$D$2:$D$180,"="&amp;'Implied Productivity Ratios'!$C53)/SUMIFS('MoodysData(Raw)'!AA$2:AA$180,'MoodysData(Raw)'!$B$2:$B$180,"=EMP",'MoodysData(Raw)'!$D$2:$D$180,"="&amp;'Implied Productivity Ratios'!$C53)</f>
        <v>194.08666020180365</v>
      </c>
      <c r="Y53">
        <f>SUMIFS('MoodysData(Raw)'!AB$2:AB$180,'MoodysData(Raw)'!$B$2:$B$180,"=GDP",'MoodysData(Raw)'!$D$2:$D$180,"="&amp;'Implied Productivity Ratios'!$C53)/SUMIFS('MoodysData(Raw)'!AB$2:AB$180,'MoodysData(Raw)'!$B$2:$B$180,"=EMP",'MoodysData(Raw)'!$D$2:$D$180,"="&amp;'Implied Productivity Ratios'!$C53)</f>
        <v>209.48148622941738</v>
      </c>
      <c r="Z53">
        <f>SUMIFS('MoodysData(Raw)'!AC$2:AC$180,'MoodysData(Raw)'!$B$2:$B$180,"=GDP",'MoodysData(Raw)'!$D$2:$D$180,"="&amp;'Implied Productivity Ratios'!$C53)/SUMIFS('MoodysData(Raw)'!AC$2:AC$180,'MoodysData(Raw)'!$B$2:$B$180,"=EMP",'MoodysData(Raw)'!$D$2:$D$180,"="&amp;'Implied Productivity Ratios'!$C53)</f>
        <v>224.41236792672953</v>
      </c>
      <c r="AA53">
        <f>SUMIFS('MoodysData(Raw)'!AD$2:AD$180,'MoodysData(Raw)'!$B$2:$B$180,"=GDP",'MoodysData(Raw)'!$D$2:$D$180,"="&amp;'Implied Productivity Ratios'!$C53)/SUMIFS('MoodysData(Raw)'!AD$2:AD$180,'MoodysData(Raw)'!$B$2:$B$180,"=EMP",'MoodysData(Raw)'!$D$2:$D$180,"="&amp;'Implied Productivity Ratios'!$C53)</f>
        <v>241.49068581310334</v>
      </c>
      <c r="AB53">
        <f>SUMIFS('MoodysData(Raw)'!AE$2:AE$180,'MoodysData(Raw)'!$B$2:$B$180,"=GDP",'MoodysData(Raw)'!$D$2:$D$180,"="&amp;'Implied Productivity Ratios'!$C53)/SUMIFS('MoodysData(Raw)'!AE$2:AE$180,'MoodysData(Raw)'!$B$2:$B$180,"=EMP",'MoodysData(Raw)'!$D$2:$D$180,"="&amp;'Implied Productivity Ratios'!$C53)</f>
        <v>260.48762083585405</v>
      </c>
      <c r="AC53">
        <f>SUMIFS('MoodysData(Raw)'!AF$2:AF$180,'MoodysData(Raw)'!$B$2:$B$180,"=GDP",'MoodysData(Raw)'!$D$2:$D$180,"="&amp;'Implied Productivity Ratios'!$C53)/SUMIFS('MoodysData(Raw)'!AF$2:AF$180,'MoodysData(Raw)'!$B$2:$B$180,"=EMP",'MoodysData(Raw)'!$D$2:$D$180,"="&amp;'Implied Productivity Ratios'!$C53)</f>
        <v>280.98780648887481</v>
      </c>
      <c r="AD53">
        <f>SUMIFS('MoodysData(Raw)'!AG$2:AG$180,'MoodysData(Raw)'!$B$2:$B$180,"=GDP",'MoodysData(Raw)'!$D$2:$D$180,"="&amp;'Implied Productivity Ratios'!$C53)/SUMIFS('MoodysData(Raw)'!AG$2:AG$180,'MoodysData(Raw)'!$B$2:$B$180,"=EMP",'MoodysData(Raw)'!$D$2:$D$180,"="&amp;'Implied Productivity Ratios'!$C53)</f>
        <v>302.7176165803109</v>
      </c>
      <c r="AE53">
        <f>SUMIFS('MoodysData(Raw)'!AH$2:AH$180,'MoodysData(Raw)'!$B$2:$B$180,"=GDP",'MoodysData(Raw)'!$D$2:$D$180,"="&amp;'Implied Productivity Ratios'!$C53)/SUMIFS('MoodysData(Raw)'!AH$2:AH$180,'MoodysData(Raw)'!$B$2:$B$180,"=EMP",'MoodysData(Raw)'!$D$2:$D$180,"="&amp;'Implied Productivity Ratios'!$C53)</f>
        <v>324.94860034880895</v>
      </c>
      <c r="AF53">
        <f>SUMIFS('MoodysData(Raw)'!AI$2:AI$180,'MoodysData(Raw)'!$B$2:$B$180,"=GDP",'MoodysData(Raw)'!$D$2:$D$180,"="&amp;'Implied Productivity Ratios'!$C53)/SUMIFS('MoodysData(Raw)'!AI$2:AI$180,'MoodysData(Raw)'!$B$2:$B$180,"=EMP",'MoodysData(Raw)'!$D$2:$D$180,"="&amp;'Implied Productivity Ratios'!$C53)</f>
        <v>347.97677213225393</v>
      </c>
      <c r="AG53">
        <f>SUMIFS('MoodysData(Raw)'!AJ$2:AJ$180,'MoodysData(Raw)'!$B$2:$B$180,"=GDP",'MoodysData(Raw)'!$D$2:$D$180,"="&amp;'Implied Productivity Ratios'!$C53)/SUMIFS('MoodysData(Raw)'!AJ$2:AJ$180,'MoodysData(Raw)'!$B$2:$B$180,"=EMP",'MoodysData(Raw)'!$D$2:$D$180,"="&amp;'Implied Productivity Ratios'!$C53)</f>
        <v>371.71584593511699</v>
      </c>
      <c r="AH53">
        <f>SUMIFS('MoodysData(Raw)'!AK$2:AK$180,'MoodysData(Raw)'!$B$2:$B$180,"=GDP",'MoodysData(Raw)'!$D$2:$D$180,"="&amp;'Implied Productivity Ratios'!$C53)/SUMIFS('MoodysData(Raw)'!AK$2:AK$180,'MoodysData(Raw)'!$B$2:$B$180,"=EMP",'MoodysData(Raw)'!$D$2:$D$180,"="&amp;'Implied Productivity Ratios'!$C53)</f>
        <v>395.75892240596039</v>
      </c>
      <c r="AI53">
        <f>SUMIFS('MoodysData(Raw)'!AL$2:AL$180,'MoodysData(Raw)'!$B$2:$B$180,"=GDP",'MoodysData(Raw)'!$D$2:$D$180,"="&amp;'Implied Productivity Ratios'!$C53)/SUMIFS('MoodysData(Raw)'!AL$2:AL$180,'MoodysData(Raw)'!$B$2:$B$180,"=EMP",'MoodysData(Raw)'!$D$2:$D$180,"="&amp;'Implied Productivity Ratios'!$C53)</f>
        <v>420.04646904507155</v>
      </c>
      <c r="AJ53">
        <f>SUMIFS('MoodysData(Raw)'!AM$2:AM$180,'MoodysData(Raw)'!$B$2:$B$180,"=GDP",'MoodysData(Raw)'!$D$2:$D$180,"="&amp;'Implied Productivity Ratios'!$C53)/SUMIFS('MoodysData(Raw)'!AM$2:AM$180,'MoodysData(Raw)'!$B$2:$B$180,"=EMP",'MoodysData(Raw)'!$D$2:$D$180,"="&amp;'Implied Productivity Ratios'!$C53)</f>
        <v>445.29115972084003</v>
      </c>
      <c r="AK53">
        <f>SUMIFS('MoodysData(Raw)'!AN$2:AN$180,'MoodysData(Raw)'!$B$2:$B$180,"=GDP",'MoodysData(Raw)'!$D$2:$D$180,"="&amp;'Implied Productivity Ratios'!$C53)/SUMIFS('MoodysData(Raw)'!AN$2:AN$180,'MoodysData(Raw)'!$B$2:$B$180,"=EMP",'MoodysData(Raw)'!$D$2:$D$180,"="&amp;'Implied Productivity Ratios'!$C53)</f>
        <v>471.32187331790061</v>
      </c>
      <c r="AL53">
        <f>SUMIFS('MoodysData(Raw)'!AO$2:AO$180,'MoodysData(Raw)'!$B$2:$B$180,"=GDP",'MoodysData(Raw)'!$D$2:$D$180,"="&amp;'Implied Productivity Ratios'!$C53)/SUMIFS('MoodysData(Raw)'!AO$2:AO$180,'MoodysData(Raw)'!$B$2:$B$180,"=EMP",'MoodysData(Raw)'!$D$2:$D$180,"="&amp;'Implied Productivity Ratios'!$C53)</f>
        <v>497.47252933710695</v>
      </c>
      <c r="AM53">
        <f>SUMIFS('MoodysData(Raw)'!AP$2:AP$180,'MoodysData(Raw)'!$B$2:$B$180,"=GDP",'MoodysData(Raw)'!$D$2:$D$180,"="&amp;'Implied Productivity Ratios'!$C53)/SUMIFS('MoodysData(Raw)'!AP$2:AP$180,'MoodysData(Raw)'!$B$2:$B$180,"=EMP",'MoodysData(Raw)'!$D$2:$D$180,"="&amp;'Implied Productivity Ratios'!$C53)</f>
        <v>524.01267965161423</v>
      </c>
      <c r="AN53">
        <f>SUMIFS('MoodysData(Raw)'!AQ$2:AQ$180,'MoodysData(Raw)'!$B$2:$B$180,"=GDP",'MoodysData(Raw)'!$D$2:$D$180,"="&amp;'Implied Productivity Ratios'!$C53)/SUMIFS('MoodysData(Raw)'!AQ$2:AQ$180,'MoodysData(Raw)'!$B$2:$B$180,"=EMP",'MoodysData(Raw)'!$D$2:$D$180,"="&amp;'Implied Productivity Ratios'!$C53)</f>
        <v>550.84326940926167</v>
      </c>
      <c r="AO53">
        <f>SUMIFS('MoodysData(Raw)'!AR$2:AR$180,'MoodysData(Raw)'!$B$2:$B$180,"=GDP",'MoodysData(Raw)'!$D$2:$D$180,"="&amp;'Implied Productivity Ratios'!$C53)/SUMIFS('MoodysData(Raw)'!AR$2:AR$180,'MoodysData(Raw)'!$B$2:$B$180,"=EMP",'MoodysData(Raw)'!$D$2:$D$180,"="&amp;'Implied Productivity Ratios'!$C53)</f>
        <v>577.64854840772477</v>
      </c>
      <c r="AP53">
        <f>SUMIFS('MoodysData(Raw)'!AS$2:AS$180,'MoodysData(Raw)'!$B$2:$B$180,"=GDP",'MoodysData(Raw)'!$D$2:$D$180,"="&amp;'Implied Productivity Ratios'!$C53)/SUMIFS('MoodysData(Raw)'!AS$2:AS$180,'MoodysData(Raw)'!$B$2:$B$180,"=EMP",'MoodysData(Raw)'!$D$2:$D$180,"="&amp;'Implied Productivity Ratios'!$C53)</f>
        <v>604.22357740280995</v>
      </c>
      <c r="AQ53">
        <f>SUMIFS('MoodysData(Raw)'!AT$2:AT$180,'MoodysData(Raw)'!$B$2:$B$180,"=GDP",'MoodysData(Raw)'!$D$2:$D$180,"="&amp;'Implied Productivity Ratios'!$C53)/SUMIFS('MoodysData(Raw)'!AT$2:AT$180,'MoodysData(Raw)'!$B$2:$B$180,"=EMP",'MoodysData(Raw)'!$D$2:$D$180,"="&amp;'Implied Productivity Ratios'!$C53)</f>
        <v>630.40259566905399</v>
      </c>
      <c r="AR53">
        <f>SUMIFS('MoodysData(Raw)'!AU$2:AU$180,'MoodysData(Raw)'!$B$2:$B$180,"=GDP",'MoodysData(Raw)'!$D$2:$D$180,"="&amp;'Implied Productivity Ratios'!$C53)/SUMIFS('MoodysData(Raw)'!AU$2:AU$180,'MoodysData(Raw)'!$B$2:$B$180,"=EMP",'MoodysData(Raw)'!$D$2:$D$180,"="&amp;'Implied Productivity Ratios'!$C53)</f>
        <v>655.82317563863842</v>
      </c>
      <c r="AS53">
        <f>SUMIFS('MoodysData(Raw)'!AV$2:AV$180,'MoodysData(Raw)'!$B$2:$B$180,"=GDP",'MoodysData(Raw)'!$D$2:$D$180,"="&amp;'Implied Productivity Ratios'!$C53)/SUMIFS('MoodysData(Raw)'!AV$2:AV$180,'MoodysData(Raw)'!$B$2:$B$180,"=EMP",'MoodysData(Raw)'!$D$2:$D$180,"="&amp;'Implied Productivity Ratios'!$C53)</f>
        <v>680.42761614219182</v>
      </c>
      <c r="AT53">
        <f>SUMIFS('MoodysData(Raw)'!AW$2:AW$180,'MoodysData(Raw)'!$B$2:$B$180,"=GDP",'MoodysData(Raw)'!$D$2:$D$180,"="&amp;'Implied Productivity Ratios'!$C53)/SUMIFS('MoodysData(Raw)'!AW$2:AW$180,'MoodysData(Raw)'!$B$2:$B$180,"=EMP",'MoodysData(Raw)'!$D$2:$D$180,"="&amp;'Implied Productivity Ratios'!$C53)</f>
        <v>704.18514646454503</v>
      </c>
      <c r="AU53">
        <f>SUMIFS('MoodysData(Raw)'!AX$2:AX$180,'MoodysData(Raw)'!$B$2:$B$180,"=GDP",'MoodysData(Raw)'!$D$2:$D$180,"="&amp;'Implied Productivity Ratios'!$C53)/SUMIFS('MoodysData(Raw)'!AX$2:AX$180,'MoodysData(Raw)'!$B$2:$B$180,"=EMP",'MoodysData(Raw)'!$D$2:$D$180,"="&amp;'Implied Productivity Ratios'!$C53)</f>
        <v>727.63727234879707</v>
      </c>
      <c r="AV53">
        <f>SUMIFS('MoodysData(Raw)'!AY$2:AY$180,'MoodysData(Raw)'!$B$2:$B$180,"=GDP",'MoodysData(Raw)'!$D$2:$D$180,"="&amp;'Implied Productivity Ratios'!$C53)/SUMIFS('MoodysData(Raw)'!AY$2:AY$180,'MoodysData(Raw)'!$B$2:$B$180,"=EMP",'MoodysData(Raw)'!$D$2:$D$180,"="&amp;'Implied Productivity Ratios'!$C53)</f>
        <v>750.5708813370012</v>
      </c>
      <c r="AW53">
        <f>SUMIFS('MoodysData(Raw)'!AZ$2:AZ$180,'MoodysData(Raw)'!$B$2:$B$180,"=GDP",'MoodysData(Raw)'!$D$2:$D$180,"="&amp;'Implied Productivity Ratios'!$C53)/SUMIFS('MoodysData(Raw)'!AZ$2:AZ$180,'MoodysData(Raw)'!$B$2:$B$180,"=EMP",'MoodysData(Raw)'!$D$2:$D$180,"="&amp;'Implied Productivity Ratios'!$C53)</f>
        <v>772.65051432493283</v>
      </c>
      <c r="AX53">
        <f>SUMIFS('MoodysData(Raw)'!BA$2:BA$180,'MoodysData(Raw)'!$B$2:$B$180,"=GDP",'MoodysData(Raw)'!$D$2:$D$180,"="&amp;'Implied Productivity Ratios'!$C53)/SUMIFS('MoodysData(Raw)'!BA$2:BA$180,'MoodysData(Raw)'!$B$2:$B$180,"=EMP",'MoodysData(Raw)'!$D$2:$D$180,"="&amp;'Implied Productivity Ratios'!$C53)</f>
        <v>793.64974750142619</v>
      </c>
      <c r="AY53">
        <f>SUMIFS('MoodysData(Raw)'!BB$2:BB$180,'MoodysData(Raw)'!$B$2:$B$180,"=GDP",'MoodysData(Raw)'!$D$2:$D$180,"="&amp;'Implied Productivity Ratios'!$C53)/SUMIFS('MoodysData(Raw)'!BB$2:BB$180,'MoodysData(Raw)'!$B$2:$B$180,"=EMP",'MoodysData(Raw)'!$D$2:$D$180,"="&amp;'Implied Productivity Ratios'!$C53)</f>
        <v>813.57001695883002</v>
      </c>
      <c r="AZ53">
        <f>SUMIFS('MoodysData(Raw)'!BC$2:BC$180,'MoodysData(Raw)'!$B$2:$B$180,"=GDP",'MoodysData(Raw)'!$D$2:$D$180,"="&amp;'Implied Productivity Ratios'!$C53)/SUMIFS('MoodysData(Raw)'!BC$2:BC$180,'MoodysData(Raw)'!$B$2:$B$180,"=EMP",'MoodysData(Raw)'!$D$2:$D$180,"="&amp;'Implied Productivity Ratios'!$C53)</f>
        <v>832.7353043388722</v>
      </c>
      <c r="BA53">
        <f>SUMIFS('MoodysData(Raw)'!BD$2:BD$180,'MoodysData(Raw)'!$B$2:$B$180,"=GDP",'MoodysData(Raw)'!$D$2:$D$180,"="&amp;'Implied Productivity Ratios'!$C53)/SUMIFS('MoodysData(Raw)'!BD$2:BD$180,'MoodysData(Raw)'!$B$2:$B$180,"=EMP",'MoodysData(Raw)'!$D$2:$D$180,"="&amp;'Implied Productivity Ratios'!$C53)</f>
        <v>850.90846185371322</v>
      </c>
      <c r="BB53">
        <f>SUMIFS('MoodysData(Raw)'!BE$2:BE$180,'MoodysData(Raw)'!$B$2:$B$180,"=GDP",'MoodysData(Raw)'!$D$2:$D$180,"="&amp;'Implied Productivity Ratios'!$C53)/SUMIFS('MoodysData(Raw)'!BE$2:BE$180,'MoodysData(Raw)'!$B$2:$B$180,"=EMP",'MoodysData(Raw)'!$D$2:$D$180,"="&amp;'Implied Productivity Ratios'!$C53)</f>
        <v>868.04265135925493</v>
      </c>
      <c r="BC53">
        <f>SUMIFS('MoodysData(Raw)'!BF$2:BF$180,'MoodysData(Raw)'!$B$2:$B$180,"=GDP",'MoodysData(Raw)'!$D$2:$D$180,"="&amp;'Implied Productivity Ratios'!$C53)/SUMIFS('MoodysData(Raw)'!BF$2:BF$180,'MoodysData(Raw)'!$B$2:$B$180,"=EMP",'MoodysData(Raw)'!$D$2:$D$180,"="&amp;'Implied Productivity Ratios'!$C53)</f>
        <v>883.65239050746163</v>
      </c>
      <c r="BD53" s="5">
        <f t="shared" ref="BD53:BH53" si="47">BC53+($BC53-$AX53)/5</f>
        <v>901.6529191086687</v>
      </c>
      <c r="BE53" s="5">
        <f t="shared" si="47"/>
        <v>919.65344770987576</v>
      </c>
      <c r="BF53" s="5">
        <f t="shared" si="47"/>
        <v>937.65397631108283</v>
      </c>
      <c r="BG53" s="5">
        <f t="shared" si="47"/>
        <v>955.65450491228989</v>
      </c>
      <c r="BH53" s="5">
        <f t="shared" si="47"/>
        <v>973.65503351349696</v>
      </c>
    </row>
    <row r="54" spans="3:60">
      <c r="C54">
        <v>486</v>
      </c>
      <c r="D54" t="s">
        <v>187</v>
      </c>
      <c r="E54">
        <f>SUMIFS('MoodysData(Raw)'!H$2:H$180,'MoodysData(Raw)'!$B$2:$B$180,"=GDP",'MoodysData(Raw)'!$D$2:$D$180,"="&amp;'Implied Productivity Ratios'!$C54)/SUMIFS('MoodysData(Raw)'!H$2:H$180,'MoodysData(Raw)'!$B$2:$B$180,"=EMP",'MoodysData(Raw)'!$D$2:$D$180,"="&amp;'Implied Productivity Ratios'!$C54)</f>
        <v>467.64637160773293</v>
      </c>
      <c r="F54">
        <f>SUMIFS('MoodysData(Raw)'!I$2:I$180,'MoodysData(Raw)'!$B$2:$B$180,"=GDP",'MoodysData(Raw)'!$D$2:$D$180,"="&amp;'Implied Productivity Ratios'!$C54)/SUMIFS('MoodysData(Raw)'!I$2:I$180,'MoodysData(Raw)'!$B$2:$B$180,"=EMP",'MoodysData(Raw)'!$D$2:$D$180,"="&amp;'Implied Productivity Ratios'!$C54)</f>
        <v>438.60238639248536</v>
      </c>
      <c r="G54">
        <f>SUMIFS('MoodysData(Raw)'!J$2:J$180,'MoodysData(Raw)'!$B$2:$B$180,"=GDP",'MoodysData(Raw)'!$D$2:$D$180,"="&amp;'Implied Productivity Ratios'!$C54)/SUMIFS('MoodysData(Raw)'!J$2:J$180,'MoodysData(Raw)'!$B$2:$B$180,"=EMP",'MoodysData(Raw)'!$D$2:$D$180,"="&amp;'Implied Productivity Ratios'!$C54)</f>
        <v>476.22844551676593</v>
      </c>
      <c r="H54">
        <f>SUMIFS('MoodysData(Raw)'!K$2:K$180,'MoodysData(Raw)'!$B$2:$B$180,"=GDP",'MoodysData(Raw)'!$D$2:$D$180,"="&amp;'Implied Productivity Ratios'!$C54)/SUMIFS('MoodysData(Raw)'!K$2:K$180,'MoodysData(Raw)'!$B$2:$B$180,"=EMP",'MoodysData(Raw)'!$D$2:$D$180,"="&amp;'Implied Productivity Ratios'!$C54)</f>
        <v>544.84875103587081</v>
      </c>
      <c r="I54">
        <f>SUMIFS('MoodysData(Raw)'!L$2:L$180,'MoodysData(Raw)'!$B$2:$B$180,"=GDP",'MoodysData(Raw)'!$D$2:$D$180,"="&amp;'Implied Productivity Ratios'!$C54)/SUMIFS('MoodysData(Raw)'!L$2:L$180,'MoodysData(Raw)'!$B$2:$B$180,"=EMP",'MoodysData(Raw)'!$D$2:$D$180,"="&amp;'Implied Productivity Ratios'!$C54)</f>
        <v>465.80247367695068</v>
      </c>
      <c r="J54">
        <f>SUMIFS('MoodysData(Raw)'!M$2:M$180,'MoodysData(Raw)'!$B$2:$B$180,"=GDP",'MoodysData(Raw)'!$D$2:$D$180,"="&amp;'Implied Productivity Ratios'!$C54)/SUMIFS('MoodysData(Raw)'!M$2:M$180,'MoodysData(Raw)'!$B$2:$B$180,"=EMP",'MoodysData(Raw)'!$D$2:$D$180,"="&amp;'Implied Productivity Ratios'!$C54)</f>
        <v>575.280415430267</v>
      </c>
      <c r="K54">
        <f>SUMIFS('MoodysData(Raw)'!N$2:N$180,'MoodysData(Raw)'!$B$2:$B$180,"=GDP",'MoodysData(Raw)'!$D$2:$D$180,"="&amp;'Implied Productivity Ratios'!$C54)/SUMIFS('MoodysData(Raw)'!N$2:N$180,'MoodysData(Raw)'!$B$2:$B$180,"=EMP",'MoodysData(Raw)'!$D$2:$D$180,"="&amp;'Implied Productivity Ratios'!$C54)</f>
        <v>574.69397725993474</v>
      </c>
      <c r="L54">
        <f>SUMIFS('MoodysData(Raw)'!O$2:O$180,'MoodysData(Raw)'!$B$2:$B$180,"=GDP",'MoodysData(Raw)'!$D$2:$D$180,"="&amp;'Implied Productivity Ratios'!$C54)/SUMIFS('MoodysData(Raw)'!O$2:O$180,'MoodysData(Raw)'!$B$2:$B$180,"=EMP",'MoodysData(Raw)'!$D$2:$D$180,"="&amp;'Implied Productivity Ratios'!$C54)</f>
        <v>653.19305595792571</v>
      </c>
      <c r="M54">
        <f>SUMIFS('MoodysData(Raw)'!P$2:P$180,'MoodysData(Raw)'!$B$2:$B$180,"=GDP",'MoodysData(Raw)'!$D$2:$D$180,"="&amp;'Implied Productivity Ratios'!$C54)/SUMIFS('MoodysData(Raw)'!P$2:P$180,'MoodysData(Raw)'!$B$2:$B$180,"=EMP",'MoodysData(Raw)'!$D$2:$D$180,"="&amp;'Implied Productivity Ratios'!$C54)</f>
        <v>634.8380973161685</v>
      </c>
      <c r="N54">
        <f>SUMIFS('MoodysData(Raw)'!Q$2:Q$180,'MoodysData(Raw)'!$B$2:$B$180,"=GDP",'MoodysData(Raw)'!$D$2:$D$180,"="&amp;'Implied Productivity Ratios'!$C54)/SUMIFS('MoodysData(Raw)'!Q$2:Q$180,'MoodysData(Raw)'!$B$2:$B$180,"=EMP",'MoodysData(Raw)'!$D$2:$D$180,"="&amp;'Implied Productivity Ratios'!$C54)</f>
        <v>651.93721317467407</v>
      </c>
      <c r="O54">
        <f>SUMIFS('MoodysData(Raw)'!R$2:R$180,'MoodysData(Raw)'!$B$2:$B$180,"=GDP",'MoodysData(Raw)'!$D$2:$D$180,"="&amp;'Implied Productivity Ratios'!$C54)/SUMIFS('MoodysData(Raw)'!R$2:R$180,'MoodysData(Raw)'!$B$2:$B$180,"=EMP",'MoodysData(Raw)'!$D$2:$D$180,"="&amp;'Implied Productivity Ratios'!$C54)</f>
        <v>772.64597786993181</v>
      </c>
      <c r="P54">
        <f>SUMIFS('MoodysData(Raw)'!S$2:S$180,'MoodysData(Raw)'!$B$2:$B$180,"=GDP",'MoodysData(Raw)'!$D$2:$D$180,"="&amp;'Implied Productivity Ratios'!$C54)/SUMIFS('MoodysData(Raw)'!S$2:S$180,'MoodysData(Raw)'!$B$2:$B$180,"=EMP",'MoodysData(Raw)'!$D$2:$D$180,"="&amp;'Implied Productivity Ratios'!$C54)</f>
        <v>764.23665337117427</v>
      </c>
      <c r="Q54">
        <f>SUMIFS('MoodysData(Raw)'!T$2:T$180,'MoodysData(Raw)'!$B$2:$B$180,"=GDP",'MoodysData(Raw)'!$D$2:$D$180,"="&amp;'Implied Productivity Ratios'!$C54)/SUMIFS('MoodysData(Raw)'!T$2:T$180,'MoodysData(Raw)'!$B$2:$B$180,"=EMP",'MoodysData(Raw)'!$D$2:$D$180,"="&amp;'Implied Productivity Ratios'!$C54)</f>
        <v>786.8269529675897</v>
      </c>
      <c r="R54">
        <f>SUMIFS('MoodysData(Raw)'!U$2:U$180,'MoodysData(Raw)'!$B$2:$B$180,"=GDP",'MoodysData(Raw)'!$D$2:$D$180,"="&amp;'Implied Productivity Ratios'!$C54)/SUMIFS('MoodysData(Raw)'!U$2:U$180,'MoodysData(Raw)'!$B$2:$B$180,"=EMP",'MoodysData(Raw)'!$D$2:$D$180,"="&amp;'Implied Productivity Ratios'!$C54)</f>
        <v>831.99507768035687</v>
      </c>
      <c r="S54">
        <f>SUMIFS('MoodysData(Raw)'!V$2:V$180,'MoodysData(Raw)'!$B$2:$B$180,"=GDP",'MoodysData(Raw)'!$D$2:$D$180,"="&amp;'Implied Productivity Ratios'!$C54)/SUMIFS('MoodysData(Raw)'!V$2:V$180,'MoodysData(Raw)'!$B$2:$B$180,"=EMP",'MoodysData(Raw)'!$D$2:$D$180,"="&amp;'Implied Productivity Ratios'!$C54)</f>
        <v>661.54819334000717</v>
      </c>
      <c r="T54">
        <f>SUMIFS('MoodysData(Raw)'!W$2:W$180,'MoodysData(Raw)'!$B$2:$B$180,"=GDP",'MoodysData(Raw)'!$D$2:$D$180,"="&amp;'Implied Productivity Ratios'!$C54)/SUMIFS('MoodysData(Raw)'!W$2:W$180,'MoodysData(Raw)'!$B$2:$B$180,"=EMP",'MoodysData(Raw)'!$D$2:$D$180,"="&amp;'Implied Productivity Ratios'!$C54)</f>
        <v>623.13944776176174</v>
      </c>
      <c r="U54">
        <f>SUMIFS('MoodysData(Raw)'!X$2:X$180,'MoodysData(Raw)'!$B$2:$B$180,"=GDP",'MoodysData(Raw)'!$D$2:$D$180,"="&amp;'Implied Productivity Ratios'!$C54)/SUMIFS('MoodysData(Raw)'!X$2:X$180,'MoodysData(Raw)'!$B$2:$B$180,"=EMP",'MoodysData(Raw)'!$D$2:$D$180,"="&amp;'Implied Productivity Ratios'!$C54)</f>
        <v>678.61004703967615</v>
      </c>
      <c r="V54">
        <f>SUMIFS('MoodysData(Raw)'!Y$2:Y$180,'MoodysData(Raw)'!$B$2:$B$180,"=GDP",'MoodysData(Raw)'!$D$2:$D$180,"="&amp;'Implied Productivity Ratios'!$C54)/SUMIFS('MoodysData(Raw)'!Y$2:Y$180,'MoodysData(Raw)'!$B$2:$B$180,"=EMP",'MoodysData(Raw)'!$D$2:$D$180,"="&amp;'Implied Productivity Ratios'!$C54)</f>
        <v>666.00932646530862</v>
      </c>
      <c r="W54">
        <f>SUMIFS('MoodysData(Raw)'!Z$2:Z$180,'MoodysData(Raw)'!$B$2:$B$180,"=GDP",'MoodysData(Raw)'!$D$2:$D$180,"="&amp;'Implied Productivity Ratios'!$C54)/SUMIFS('MoodysData(Raw)'!Z$2:Z$180,'MoodysData(Raw)'!$B$2:$B$180,"=EMP",'MoodysData(Raw)'!$D$2:$D$180,"="&amp;'Implied Productivity Ratios'!$C54)</f>
        <v>666.55107695227252</v>
      </c>
      <c r="X54">
        <f>SUMIFS('MoodysData(Raw)'!AA$2:AA$180,'MoodysData(Raw)'!$B$2:$B$180,"=GDP",'MoodysData(Raw)'!$D$2:$D$180,"="&amp;'Implied Productivity Ratios'!$C54)/SUMIFS('MoodysData(Raw)'!AA$2:AA$180,'MoodysData(Raw)'!$B$2:$B$180,"=EMP",'MoodysData(Raw)'!$D$2:$D$180,"="&amp;'Implied Productivity Ratios'!$C54)</f>
        <v>656.52130649876335</v>
      </c>
      <c r="Y54">
        <f>SUMIFS('MoodysData(Raw)'!AB$2:AB$180,'MoodysData(Raw)'!$B$2:$B$180,"=GDP",'MoodysData(Raw)'!$D$2:$D$180,"="&amp;'Implied Productivity Ratios'!$C54)/SUMIFS('MoodysData(Raw)'!AB$2:AB$180,'MoodysData(Raw)'!$B$2:$B$180,"=EMP",'MoodysData(Raw)'!$D$2:$D$180,"="&amp;'Implied Productivity Ratios'!$C54)</f>
        <v>678.43392504930966</v>
      </c>
      <c r="Z54">
        <f>SUMIFS('MoodysData(Raw)'!AC$2:AC$180,'MoodysData(Raw)'!$B$2:$B$180,"=GDP",'MoodysData(Raw)'!$D$2:$D$180,"="&amp;'Implied Productivity Ratios'!$C54)/SUMIFS('MoodysData(Raw)'!AC$2:AC$180,'MoodysData(Raw)'!$B$2:$B$180,"=EMP",'MoodysData(Raw)'!$D$2:$D$180,"="&amp;'Implied Productivity Ratios'!$C54)</f>
        <v>702.0754146360257</v>
      </c>
      <c r="AA54">
        <f>SUMIFS('MoodysData(Raw)'!AD$2:AD$180,'MoodysData(Raw)'!$B$2:$B$180,"=GDP",'MoodysData(Raw)'!$D$2:$D$180,"="&amp;'Implied Productivity Ratios'!$C54)/SUMIFS('MoodysData(Raw)'!AD$2:AD$180,'MoodysData(Raw)'!$B$2:$B$180,"=EMP",'MoodysData(Raw)'!$D$2:$D$180,"="&amp;'Implied Productivity Ratios'!$C54)</f>
        <v>731.84287115120605</v>
      </c>
      <c r="AB54">
        <f>SUMIFS('MoodysData(Raw)'!AE$2:AE$180,'MoodysData(Raw)'!$B$2:$B$180,"=GDP",'MoodysData(Raw)'!$D$2:$D$180,"="&amp;'Implied Productivity Ratios'!$C54)/SUMIFS('MoodysData(Raw)'!AE$2:AE$180,'MoodysData(Raw)'!$B$2:$B$180,"=EMP",'MoodysData(Raw)'!$D$2:$D$180,"="&amp;'Implied Productivity Ratios'!$C54)</f>
        <v>766.05750983799771</v>
      </c>
      <c r="AC54">
        <f>SUMIFS('MoodysData(Raw)'!AF$2:AF$180,'MoodysData(Raw)'!$B$2:$B$180,"=GDP",'MoodysData(Raw)'!$D$2:$D$180,"="&amp;'Implied Productivity Ratios'!$C54)/SUMIFS('MoodysData(Raw)'!AF$2:AF$180,'MoodysData(Raw)'!$B$2:$B$180,"=EMP",'MoodysData(Raw)'!$D$2:$D$180,"="&amp;'Implied Productivity Ratios'!$C54)</f>
        <v>802.88445574771117</v>
      </c>
      <c r="AD54">
        <f>SUMIFS('MoodysData(Raw)'!AG$2:AG$180,'MoodysData(Raw)'!$B$2:$B$180,"=GDP",'MoodysData(Raw)'!$D$2:$D$180,"="&amp;'Implied Productivity Ratios'!$C54)/SUMIFS('MoodysData(Raw)'!AG$2:AG$180,'MoodysData(Raw)'!$B$2:$B$180,"=EMP",'MoodysData(Raw)'!$D$2:$D$180,"="&amp;'Implied Productivity Ratios'!$C54)</f>
        <v>841.72383540050612</v>
      </c>
      <c r="AE54">
        <f>SUMIFS('MoodysData(Raw)'!AH$2:AH$180,'MoodysData(Raw)'!$B$2:$B$180,"=GDP",'MoodysData(Raw)'!$D$2:$D$180,"="&amp;'Implied Productivity Ratios'!$C54)/SUMIFS('MoodysData(Raw)'!AH$2:AH$180,'MoodysData(Raw)'!$B$2:$B$180,"=EMP",'MoodysData(Raw)'!$D$2:$D$180,"="&amp;'Implied Productivity Ratios'!$C54)</f>
        <v>880.48211528291915</v>
      </c>
      <c r="AF54">
        <f>SUMIFS('MoodysData(Raw)'!AI$2:AI$180,'MoodysData(Raw)'!$B$2:$B$180,"=GDP",'MoodysData(Raw)'!$D$2:$D$180,"="&amp;'Implied Productivity Ratios'!$C54)/SUMIFS('MoodysData(Raw)'!AI$2:AI$180,'MoodysData(Raw)'!$B$2:$B$180,"=EMP",'MoodysData(Raw)'!$D$2:$D$180,"="&amp;'Implied Productivity Ratios'!$C54)</f>
        <v>920.137009063444</v>
      </c>
      <c r="AG54">
        <f>SUMIFS('MoodysData(Raw)'!AJ$2:AJ$180,'MoodysData(Raw)'!$B$2:$B$180,"=GDP",'MoodysData(Raw)'!$D$2:$D$180,"="&amp;'Implied Productivity Ratios'!$C54)/SUMIFS('MoodysData(Raw)'!AJ$2:AJ$180,'MoodysData(Raw)'!$B$2:$B$180,"=EMP",'MoodysData(Raw)'!$D$2:$D$180,"="&amp;'Implied Productivity Ratios'!$C54)</f>
        <v>960.41414386049905</v>
      </c>
      <c r="AH54">
        <f>SUMIFS('MoodysData(Raw)'!AK$2:AK$180,'MoodysData(Raw)'!$B$2:$B$180,"=GDP",'MoodysData(Raw)'!$D$2:$D$180,"="&amp;'Implied Productivity Ratios'!$C54)/SUMIFS('MoodysData(Raw)'!AK$2:AK$180,'MoodysData(Raw)'!$B$2:$B$180,"=EMP",'MoodysData(Raw)'!$D$2:$D$180,"="&amp;'Implied Productivity Ratios'!$C54)</f>
        <v>1000.2203728661275</v>
      </c>
      <c r="AI54">
        <f>SUMIFS('MoodysData(Raw)'!AL$2:AL$180,'MoodysData(Raw)'!$B$2:$B$180,"=GDP",'MoodysData(Raw)'!$D$2:$D$180,"="&amp;'Implied Productivity Ratios'!$C54)/SUMIFS('MoodysData(Raw)'!AL$2:AL$180,'MoodysData(Raw)'!$B$2:$B$180,"=EMP",'MoodysData(Raw)'!$D$2:$D$180,"="&amp;'Implied Productivity Ratios'!$C54)</f>
        <v>1039.7709659689463</v>
      </c>
      <c r="AJ54">
        <f>SUMIFS('MoodysData(Raw)'!AM$2:AM$180,'MoodysData(Raw)'!$B$2:$B$180,"=GDP",'MoodysData(Raw)'!$D$2:$D$180,"="&amp;'Implied Productivity Ratios'!$C54)/SUMIFS('MoodysData(Raw)'!AM$2:AM$180,'MoodysData(Raw)'!$B$2:$B$180,"=EMP",'MoodysData(Raw)'!$D$2:$D$180,"="&amp;'Implied Productivity Ratios'!$C54)</f>
        <v>1081.1360580738528</v>
      </c>
      <c r="AK54">
        <f>SUMIFS('MoodysData(Raw)'!AN$2:AN$180,'MoodysData(Raw)'!$B$2:$B$180,"=GDP",'MoodysData(Raw)'!$D$2:$D$180,"="&amp;'Implied Productivity Ratios'!$C54)/SUMIFS('MoodysData(Raw)'!AN$2:AN$180,'MoodysData(Raw)'!$B$2:$B$180,"=EMP",'MoodysData(Raw)'!$D$2:$D$180,"="&amp;'Implied Productivity Ratios'!$C54)</f>
        <v>1123.921865334285</v>
      </c>
      <c r="AL54">
        <f>SUMIFS('MoodysData(Raw)'!AO$2:AO$180,'MoodysData(Raw)'!$B$2:$B$180,"=GDP",'MoodysData(Raw)'!$D$2:$D$180,"="&amp;'Implied Productivity Ratios'!$C54)/SUMIFS('MoodysData(Raw)'!AO$2:AO$180,'MoodysData(Raw)'!$B$2:$B$180,"=EMP",'MoodysData(Raw)'!$D$2:$D$180,"="&amp;'Implied Productivity Ratios'!$C54)</f>
        <v>1166.532866353192</v>
      </c>
      <c r="AM54">
        <f>SUMIFS('MoodysData(Raw)'!AP$2:AP$180,'MoodysData(Raw)'!$B$2:$B$180,"=GDP",'MoodysData(Raw)'!$D$2:$D$180,"="&amp;'Implied Productivity Ratios'!$C54)/SUMIFS('MoodysData(Raw)'!AP$2:AP$180,'MoodysData(Raw)'!$B$2:$B$180,"=EMP",'MoodysData(Raw)'!$D$2:$D$180,"="&amp;'Implied Productivity Ratios'!$C54)</f>
        <v>1209.6498680283185</v>
      </c>
      <c r="AN54">
        <f>SUMIFS('MoodysData(Raw)'!AQ$2:AQ$180,'MoodysData(Raw)'!$B$2:$B$180,"=GDP",'MoodysData(Raw)'!$D$2:$D$180,"="&amp;'Implied Productivity Ratios'!$C54)/SUMIFS('MoodysData(Raw)'!AQ$2:AQ$180,'MoodysData(Raw)'!$B$2:$B$180,"=EMP",'MoodysData(Raw)'!$D$2:$D$180,"="&amp;'Implied Productivity Ratios'!$C54)</f>
        <v>1253.1388861013547</v>
      </c>
      <c r="AO54">
        <f>SUMIFS('MoodysData(Raw)'!AR$2:AR$180,'MoodysData(Raw)'!$B$2:$B$180,"=GDP",'MoodysData(Raw)'!$D$2:$D$180,"="&amp;'Implied Productivity Ratios'!$C54)/SUMIFS('MoodysData(Raw)'!AR$2:AR$180,'MoodysData(Raw)'!$B$2:$B$180,"=EMP",'MoodysData(Raw)'!$D$2:$D$180,"="&amp;'Implied Productivity Ratios'!$C54)</f>
        <v>1296.3288051789173</v>
      </c>
      <c r="AP54">
        <f>SUMIFS('MoodysData(Raw)'!AS$2:AS$180,'MoodysData(Raw)'!$B$2:$B$180,"=GDP",'MoodysData(Raw)'!$D$2:$D$180,"="&amp;'Implied Productivity Ratios'!$C54)/SUMIFS('MoodysData(Raw)'!AS$2:AS$180,'MoodysData(Raw)'!$B$2:$B$180,"=EMP",'MoodysData(Raw)'!$D$2:$D$180,"="&amp;'Implied Productivity Ratios'!$C54)</f>
        <v>1339.0025093129138</v>
      </c>
      <c r="AQ54">
        <f>SUMIFS('MoodysData(Raw)'!AT$2:AT$180,'MoodysData(Raw)'!$B$2:$B$180,"=GDP",'MoodysData(Raw)'!$D$2:$D$180,"="&amp;'Implied Productivity Ratios'!$C54)/SUMIFS('MoodysData(Raw)'!AT$2:AT$180,'MoodysData(Raw)'!$B$2:$B$180,"=EMP",'MoodysData(Raw)'!$D$2:$D$180,"="&amp;'Implied Productivity Ratios'!$C54)</f>
        <v>1380.9476666404344</v>
      </c>
      <c r="AR54">
        <f>SUMIFS('MoodysData(Raw)'!AU$2:AU$180,'MoodysData(Raw)'!$B$2:$B$180,"=GDP",'MoodysData(Raw)'!$D$2:$D$180,"="&amp;'Implied Productivity Ratios'!$C54)/SUMIFS('MoodysData(Raw)'!AU$2:AU$180,'MoodysData(Raw)'!$B$2:$B$180,"=EMP",'MoodysData(Raw)'!$D$2:$D$180,"="&amp;'Implied Productivity Ratios'!$C54)</f>
        <v>1421.4142356129444</v>
      </c>
      <c r="AS54">
        <f>SUMIFS('MoodysData(Raw)'!AV$2:AV$180,'MoodysData(Raw)'!$B$2:$B$180,"=GDP",'MoodysData(Raw)'!$D$2:$D$180,"="&amp;'Implied Productivity Ratios'!$C54)/SUMIFS('MoodysData(Raw)'!AV$2:AV$180,'MoodysData(Raw)'!$B$2:$B$180,"=EMP",'MoodysData(Raw)'!$D$2:$D$180,"="&amp;'Implied Productivity Ratios'!$C54)</f>
        <v>1460.4303185055771</v>
      </c>
      <c r="AT54">
        <f>SUMIFS('MoodysData(Raw)'!AW$2:AW$180,'MoodysData(Raw)'!$B$2:$B$180,"=GDP",'MoodysData(Raw)'!$D$2:$D$180,"="&amp;'Implied Productivity Ratios'!$C54)/SUMIFS('MoodysData(Raw)'!AW$2:AW$180,'MoodysData(Raw)'!$B$2:$B$180,"=EMP",'MoodysData(Raw)'!$D$2:$D$180,"="&amp;'Implied Productivity Ratios'!$C54)</f>
        <v>1498.2299293862031</v>
      </c>
      <c r="AU54">
        <f>SUMIFS('MoodysData(Raw)'!AX$2:AX$180,'MoodysData(Raw)'!$B$2:$B$180,"=GDP",'MoodysData(Raw)'!$D$2:$D$180,"="&amp;'Implied Productivity Ratios'!$C54)/SUMIFS('MoodysData(Raw)'!AX$2:AX$180,'MoodysData(Raw)'!$B$2:$B$180,"=EMP",'MoodysData(Raw)'!$D$2:$D$180,"="&amp;'Implied Productivity Ratios'!$C54)</f>
        <v>1536.25311942959</v>
      </c>
      <c r="AV54">
        <f>SUMIFS('MoodysData(Raw)'!AY$2:AY$180,'MoodysData(Raw)'!$B$2:$B$180,"=GDP",'MoodysData(Raw)'!$D$2:$D$180,"="&amp;'Implied Productivity Ratios'!$C54)/SUMIFS('MoodysData(Raw)'!AY$2:AY$180,'MoodysData(Raw)'!$B$2:$B$180,"=EMP",'MoodysData(Raw)'!$D$2:$D$180,"="&amp;'Implied Productivity Ratios'!$C54)</f>
        <v>1574.2463764107104</v>
      </c>
      <c r="AW54">
        <f>SUMIFS('MoodysData(Raw)'!AZ$2:AZ$180,'MoodysData(Raw)'!$B$2:$B$180,"=GDP",'MoodysData(Raw)'!$D$2:$D$180,"="&amp;'Implied Productivity Ratios'!$C54)/SUMIFS('MoodysData(Raw)'!AZ$2:AZ$180,'MoodysData(Raw)'!$B$2:$B$180,"=EMP",'MoodysData(Raw)'!$D$2:$D$180,"="&amp;'Implied Productivity Ratios'!$C54)</f>
        <v>1611.4125365649811</v>
      </c>
      <c r="AX54">
        <f>SUMIFS('MoodysData(Raw)'!BA$2:BA$180,'MoodysData(Raw)'!$B$2:$B$180,"=GDP",'MoodysData(Raw)'!$D$2:$D$180,"="&amp;'Implied Productivity Ratios'!$C54)/SUMIFS('MoodysData(Raw)'!BA$2:BA$180,'MoodysData(Raw)'!$B$2:$B$180,"=EMP",'MoodysData(Raw)'!$D$2:$D$180,"="&amp;'Implied Productivity Ratios'!$C54)</f>
        <v>1647.4740410747806</v>
      </c>
      <c r="AY54">
        <f>SUMIFS('MoodysData(Raw)'!BB$2:BB$180,'MoodysData(Raw)'!$B$2:$B$180,"=GDP",'MoodysData(Raw)'!$D$2:$D$180,"="&amp;'Implied Productivity Ratios'!$C54)/SUMIFS('MoodysData(Raw)'!BB$2:BB$180,'MoodysData(Raw)'!$B$2:$B$180,"=EMP",'MoodysData(Raw)'!$D$2:$D$180,"="&amp;'Implied Productivity Ratios'!$C54)</f>
        <v>1682.7280148631912</v>
      </c>
      <c r="AZ54">
        <f>SUMIFS('MoodysData(Raw)'!BC$2:BC$180,'MoodysData(Raw)'!$B$2:$B$180,"=GDP",'MoodysData(Raw)'!$D$2:$D$180,"="&amp;'Implied Productivity Ratios'!$C54)/SUMIFS('MoodysData(Raw)'!BC$2:BC$180,'MoodysData(Raw)'!$B$2:$B$180,"=EMP",'MoodysData(Raw)'!$D$2:$D$180,"="&amp;'Implied Productivity Ratios'!$C54)</f>
        <v>1717.7721647736905</v>
      </c>
      <c r="BA54">
        <f>SUMIFS('MoodysData(Raw)'!BD$2:BD$180,'MoodysData(Raw)'!$B$2:$B$180,"=GDP",'MoodysData(Raw)'!$D$2:$D$180,"="&amp;'Implied Productivity Ratios'!$C54)/SUMIFS('MoodysData(Raw)'!BD$2:BD$180,'MoodysData(Raw)'!$B$2:$B$180,"=EMP",'MoodysData(Raw)'!$D$2:$D$180,"="&amp;'Implied Productivity Ratios'!$C54)</f>
        <v>1752.0857150950344</v>
      </c>
      <c r="BB54">
        <f>SUMIFS('MoodysData(Raw)'!BE$2:BE$180,'MoodysData(Raw)'!$B$2:$B$180,"=GDP",'MoodysData(Raw)'!$D$2:$D$180,"="&amp;'Implied Productivity Ratios'!$C54)/SUMIFS('MoodysData(Raw)'!BE$2:BE$180,'MoodysData(Raw)'!$B$2:$B$180,"=EMP",'MoodysData(Raw)'!$D$2:$D$180,"="&amp;'Implied Productivity Ratios'!$C54)</f>
        <v>1785.732103844517</v>
      </c>
      <c r="BC54">
        <f>SUMIFS('MoodysData(Raw)'!BF$2:BF$180,'MoodysData(Raw)'!$B$2:$B$180,"=GDP",'MoodysData(Raw)'!$D$2:$D$180,"="&amp;'Implied Productivity Ratios'!$C54)/SUMIFS('MoodysData(Raw)'!BF$2:BF$180,'MoodysData(Raw)'!$B$2:$B$180,"=EMP",'MoodysData(Raw)'!$D$2:$D$180,"="&amp;'Implied Productivity Ratios'!$C54)</f>
        <v>1818.3084478255932</v>
      </c>
      <c r="BD54" s="5">
        <f t="shared" ref="BD54:BH54" si="48">BC54+($BC54-$AX54)/5</f>
        <v>1852.4753291757559</v>
      </c>
      <c r="BE54" s="5">
        <f t="shared" si="48"/>
        <v>1886.6422105259185</v>
      </c>
      <c r="BF54" s="5">
        <f t="shared" si="48"/>
        <v>1920.8090918760811</v>
      </c>
      <c r="BG54" s="5">
        <f t="shared" si="48"/>
        <v>1954.9759732262437</v>
      </c>
      <c r="BH54" s="5">
        <f t="shared" si="48"/>
        <v>1989.1428545764063</v>
      </c>
    </row>
    <row r="55" spans="3:60">
      <c r="C55">
        <v>487</v>
      </c>
      <c r="D55" t="s">
        <v>191</v>
      </c>
      <c r="E55">
        <f>SUMIFS('MoodysData(Raw)'!H$2:H$180,'MoodysData(Raw)'!$B$2:$B$180,"=GDP",'MoodysData(Raw)'!$D$2:$D$180,"="&amp;'Implied Productivity Ratios'!$C55)/SUMIFS('MoodysData(Raw)'!H$2:H$180,'MoodysData(Raw)'!$B$2:$B$180,"=EMP",'MoodysData(Raw)'!$D$2:$D$180,"="&amp;'Implied Productivity Ratios'!$C55)</f>
        <v>61.196928602844153</v>
      </c>
      <c r="F55">
        <f>SUMIFS('MoodysData(Raw)'!I$2:I$180,'MoodysData(Raw)'!$B$2:$B$180,"=GDP",'MoodysData(Raw)'!$D$2:$D$180,"="&amp;'Implied Productivity Ratios'!$C55)/SUMIFS('MoodysData(Raw)'!I$2:I$180,'MoodysData(Raw)'!$B$2:$B$180,"=EMP",'MoodysData(Raw)'!$D$2:$D$180,"="&amp;'Implied Productivity Ratios'!$C55)</f>
        <v>61.337029396596186</v>
      </c>
      <c r="G55">
        <f>SUMIFS('MoodysData(Raw)'!J$2:J$180,'MoodysData(Raw)'!$B$2:$B$180,"=GDP",'MoodysData(Raw)'!$D$2:$D$180,"="&amp;'Implied Productivity Ratios'!$C55)/SUMIFS('MoodysData(Raw)'!J$2:J$180,'MoodysData(Raw)'!$B$2:$B$180,"=EMP",'MoodysData(Raw)'!$D$2:$D$180,"="&amp;'Implied Productivity Ratios'!$C55)</f>
        <v>55.025276405133489</v>
      </c>
      <c r="H55">
        <f>SUMIFS('MoodysData(Raw)'!K$2:K$180,'MoodysData(Raw)'!$B$2:$B$180,"=GDP",'MoodysData(Raw)'!$D$2:$D$180,"="&amp;'Implied Productivity Ratios'!$C55)/SUMIFS('MoodysData(Raw)'!K$2:K$180,'MoodysData(Raw)'!$B$2:$B$180,"=EMP",'MoodysData(Raw)'!$D$2:$D$180,"="&amp;'Implied Productivity Ratios'!$C55)</f>
        <v>56.397284011740993</v>
      </c>
      <c r="I55">
        <f>SUMIFS('MoodysData(Raw)'!L$2:L$180,'MoodysData(Raw)'!$B$2:$B$180,"=GDP",'MoodysData(Raw)'!$D$2:$D$180,"="&amp;'Implied Productivity Ratios'!$C55)/SUMIFS('MoodysData(Raw)'!L$2:L$180,'MoodysData(Raw)'!$B$2:$B$180,"=EMP",'MoodysData(Raw)'!$D$2:$D$180,"="&amp;'Implied Productivity Ratios'!$C55)</f>
        <v>55.783978939450925</v>
      </c>
      <c r="J55">
        <f>SUMIFS('MoodysData(Raw)'!M$2:M$180,'MoodysData(Raw)'!$B$2:$B$180,"=GDP",'MoodysData(Raw)'!$D$2:$D$180,"="&amp;'Implied Productivity Ratios'!$C55)/SUMIFS('MoodysData(Raw)'!M$2:M$180,'MoodysData(Raw)'!$B$2:$B$180,"=EMP",'MoodysData(Raw)'!$D$2:$D$180,"="&amp;'Implied Productivity Ratios'!$C55)</f>
        <v>58.639305416712943</v>
      </c>
      <c r="K55">
        <f>SUMIFS('MoodysData(Raw)'!N$2:N$180,'MoodysData(Raw)'!$B$2:$B$180,"=GDP",'MoodysData(Raw)'!$D$2:$D$180,"="&amp;'Implied Productivity Ratios'!$C55)/SUMIFS('MoodysData(Raw)'!N$2:N$180,'MoodysData(Raw)'!$B$2:$B$180,"=EMP",'MoodysData(Raw)'!$D$2:$D$180,"="&amp;'Implied Productivity Ratios'!$C55)</f>
        <v>60.913658856061708</v>
      </c>
      <c r="L55">
        <f>SUMIFS('MoodysData(Raw)'!O$2:O$180,'MoodysData(Raw)'!$B$2:$B$180,"=GDP",'MoodysData(Raw)'!$D$2:$D$180,"="&amp;'Implied Productivity Ratios'!$C55)/SUMIFS('MoodysData(Raw)'!O$2:O$180,'MoodysData(Raw)'!$B$2:$B$180,"=EMP",'MoodysData(Raw)'!$D$2:$D$180,"="&amp;'Implied Productivity Ratios'!$C55)</f>
        <v>60.87489953524129</v>
      </c>
      <c r="M55">
        <f>SUMIFS('MoodysData(Raw)'!P$2:P$180,'MoodysData(Raw)'!$B$2:$B$180,"=GDP",'MoodysData(Raw)'!$D$2:$D$180,"="&amp;'Implied Productivity Ratios'!$C55)/SUMIFS('MoodysData(Raw)'!P$2:P$180,'MoodysData(Raw)'!$B$2:$B$180,"=EMP",'MoodysData(Raw)'!$D$2:$D$180,"="&amp;'Implied Productivity Ratios'!$C55)</f>
        <v>63.709165107974833</v>
      </c>
      <c r="N55">
        <f>SUMIFS('MoodysData(Raw)'!Q$2:Q$180,'MoodysData(Raw)'!$B$2:$B$180,"=GDP",'MoodysData(Raw)'!$D$2:$D$180,"="&amp;'Implied Productivity Ratios'!$C55)/SUMIFS('MoodysData(Raw)'!Q$2:Q$180,'MoodysData(Raw)'!$B$2:$B$180,"=EMP",'MoodysData(Raw)'!$D$2:$D$180,"="&amp;'Implied Productivity Ratios'!$C55)</f>
        <v>63.394365272213832</v>
      </c>
      <c r="O55">
        <f>SUMIFS('MoodysData(Raw)'!R$2:R$180,'MoodysData(Raw)'!$B$2:$B$180,"=GDP",'MoodysData(Raw)'!$D$2:$D$180,"="&amp;'Implied Productivity Ratios'!$C55)/SUMIFS('MoodysData(Raw)'!R$2:R$180,'MoodysData(Raw)'!$B$2:$B$180,"=EMP",'MoodysData(Raw)'!$D$2:$D$180,"="&amp;'Implied Productivity Ratios'!$C55)</f>
        <v>66.670474888520005</v>
      </c>
      <c r="P55">
        <f>SUMIFS('MoodysData(Raw)'!S$2:S$180,'MoodysData(Raw)'!$B$2:$B$180,"=GDP",'MoodysData(Raw)'!$D$2:$D$180,"="&amp;'Implied Productivity Ratios'!$C55)/SUMIFS('MoodysData(Raw)'!S$2:S$180,'MoodysData(Raw)'!$B$2:$B$180,"=EMP",'MoodysData(Raw)'!$D$2:$D$180,"="&amp;'Implied Productivity Ratios'!$C55)</f>
        <v>66.55392096134787</v>
      </c>
      <c r="Q55">
        <f>SUMIFS('MoodysData(Raw)'!T$2:T$180,'MoodysData(Raw)'!$B$2:$B$180,"=GDP",'MoodysData(Raw)'!$D$2:$D$180,"="&amp;'Implied Productivity Ratios'!$C55)/SUMIFS('MoodysData(Raw)'!T$2:T$180,'MoodysData(Raw)'!$B$2:$B$180,"=EMP",'MoodysData(Raw)'!$D$2:$D$180,"="&amp;'Implied Productivity Ratios'!$C55)</f>
        <v>65.161611184676502</v>
      </c>
      <c r="R55">
        <f>SUMIFS('MoodysData(Raw)'!U$2:U$180,'MoodysData(Raw)'!$B$2:$B$180,"=GDP",'MoodysData(Raw)'!$D$2:$D$180,"="&amp;'Implied Productivity Ratios'!$C55)/SUMIFS('MoodysData(Raw)'!U$2:U$180,'MoodysData(Raw)'!$B$2:$B$180,"=EMP",'MoodysData(Raw)'!$D$2:$D$180,"="&amp;'Implied Productivity Ratios'!$C55)</f>
        <v>67.107320213352963</v>
      </c>
      <c r="S55">
        <f>SUMIFS('MoodysData(Raw)'!V$2:V$180,'MoodysData(Raw)'!$B$2:$B$180,"=GDP",'MoodysData(Raw)'!$D$2:$D$180,"="&amp;'Implied Productivity Ratios'!$C55)/SUMIFS('MoodysData(Raw)'!V$2:V$180,'MoodysData(Raw)'!$B$2:$B$180,"=EMP",'MoodysData(Raw)'!$D$2:$D$180,"="&amp;'Implied Productivity Ratios'!$C55)</f>
        <v>66.168556579258208</v>
      </c>
      <c r="T55">
        <f>SUMIFS('MoodysData(Raw)'!W$2:W$180,'MoodysData(Raw)'!$B$2:$B$180,"=GDP",'MoodysData(Raw)'!$D$2:$D$180,"="&amp;'Implied Productivity Ratios'!$C55)/SUMIFS('MoodysData(Raw)'!W$2:W$180,'MoodysData(Raw)'!$B$2:$B$180,"=EMP",'MoodysData(Raw)'!$D$2:$D$180,"="&amp;'Implied Productivity Ratios'!$C55)</f>
        <v>70.921449416342412</v>
      </c>
      <c r="U55">
        <f>SUMIFS('MoodysData(Raw)'!X$2:X$180,'MoodysData(Raw)'!$B$2:$B$180,"=GDP",'MoodysData(Raw)'!$D$2:$D$180,"="&amp;'Implied Productivity Ratios'!$C55)/SUMIFS('MoodysData(Raw)'!X$2:X$180,'MoodysData(Raw)'!$B$2:$B$180,"=EMP",'MoodysData(Raw)'!$D$2:$D$180,"="&amp;'Implied Productivity Ratios'!$C55)</f>
        <v>60.263470495235659</v>
      </c>
      <c r="V55">
        <f>SUMIFS('MoodysData(Raw)'!Y$2:Y$180,'MoodysData(Raw)'!$B$2:$B$180,"=GDP",'MoodysData(Raw)'!$D$2:$D$180,"="&amp;'Implied Productivity Ratios'!$C55)/SUMIFS('MoodysData(Raw)'!Y$2:Y$180,'MoodysData(Raw)'!$B$2:$B$180,"=EMP",'MoodysData(Raw)'!$D$2:$D$180,"="&amp;'Implied Productivity Ratios'!$C55)</f>
        <v>63.130206472815608</v>
      </c>
      <c r="W55">
        <f>SUMIFS('MoodysData(Raw)'!Z$2:Z$180,'MoodysData(Raw)'!$B$2:$B$180,"=GDP",'MoodysData(Raw)'!$D$2:$D$180,"="&amp;'Implied Productivity Ratios'!$C55)/SUMIFS('MoodysData(Raw)'!Z$2:Z$180,'MoodysData(Raw)'!$B$2:$B$180,"=EMP",'MoodysData(Raw)'!$D$2:$D$180,"="&amp;'Implied Productivity Ratios'!$C55)</f>
        <v>80.31815378289474</v>
      </c>
      <c r="X55">
        <f>SUMIFS('MoodysData(Raw)'!AA$2:AA$180,'MoodysData(Raw)'!$B$2:$B$180,"=GDP",'MoodysData(Raw)'!$D$2:$D$180,"="&amp;'Implied Productivity Ratios'!$C55)/SUMIFS('MoodysData(Raw)'!AA$2:AA$180,'MoodysData(Raw)'!$B$2:$B$180,"=EMP",'MoodysData(Raw)'!$D$2:$D$180,"="&amp;'Implied Productivity Ratios'!$C55)</f>
        <v>89.341180579811393</v>
      </c>
      <c r="Y55">
        <f>SUMIFS('MoodysData(Raw)'!AB$2:AB$180,'MoodysData(Raw)'!$B$2:$B$180,"=GDP",'MoodysData(Raw)'!$D$2:$D$180,"="&amp;'Implied Productivity Ratios'!$C55)/SUMIFS('MoodysData(Raw)'!AB$2:AB$180,'MoodysData(Raw)'!$B$2:$B$180,"=EMP",'MoodysData(Raw)'!$D$2:$D$180,"="&amp;'Implied Productivity Ratios'!$C55)</f>
        <v>94.370054522577945</v>
      </c>
      <c r="Z55">
        <f>SUMIFS('MoodysData(Raw)'!AC$2:AC$180,'MoodysData(Raw)'!$B$2:$B$180,"=GDP",'MoodysData(Raw)'!$D$2:$D$180,"="&amp;'Implied Productivity Ratios'!$C55)/SUMIFS('MoodysData(Raw)'!AC$2:AC$180,'MoodysData(Raw)'!$B$2:$B$180,"=EMP",'MoodysData(Raw)'!$D$2:$D$180,"="&amp;'Implied Productivity Ratios'!$C55)</f>
        <v>96.370367802544465</v>
      </c>
      <c r="AA55">
        <f>SUMIFS('MoodysData(Raw)'!AD$2:AD$180,'MoodysData(Raw)'!$B$2:$B$180,"=GDP",'MoodysData(Raw)'!$D$2:$D$180,"="&amp;'Implied Productivity Ratios'!$C55)/SUMIFS('MoodysData(Raw)'!AD$2:AD$180,'MoodysData(Raw)'!$B$2:$B$180,"=EMP",'MoodysData(Raw)'!$D$2:$D$180,"="&amp;'Implied Productivity Ratios'!$C55)</f>
        <v>98.88624448123619</v>
      </c>
      <c r="AB55">
        <f>SUMIFS('MoodysData(Raw)'!AE$2:AE$180,'MoodysData(Raw)'!$B$2:$B$180,"=GDP",'MoodysData(Raw)'!$D$2:$D$180,"="&amp;'Implied Productivity Ratios'!$C55)/SUMIFS('MoodysData(Raw)'!AE$2:AE$180,'MoodysData(Raw)'!$B$2:$B$180,"=EMP",'MoodysData(Raw)'!$D$2:$D$180,"="&amp;'Implied Productivity Ratios'!$C55)</f>
        <v>101.80288659793814</v>
      </c>
      <c r="AC55">
        <f>SUMIFS('MoodysData(Raw)'!AF$2:AF$180,'MoodysData(Raw)'!$B$2:$B$180,"=GDP",'MoodysData(Raw)'!$D$2:$D$180,"="&amp;'Implied Productivity Ratios'!$C55)/SUMIFS('MoodysData(Raw)'!AF$2:AF$180,'MoodysData(Raw)'!$B$2:$B$180,"=EMP",'MoodysData(Raw)'!$D$2:$D$180,"="&amp;'Implied Productivity Ratios'!$C55)</f>
        <v>104.9575423206086</v>
      </c>
      <c r="AD55">
        <f>SUMIFS('MoodysData(Raw)'!AG$2:AG$180,'MoodysData(Raw)'!$B$2:$B$180,"=GDP",'MoodysData(Raw)'!$D$2:$D$180,"="&amp;'Implied Productivity Ratios'!$C55)/SUMIFS('MoodysData(Raw)'!AG$2:AG$180,'MoodysData(Raw)'!$B$2:$B$180,"=EMP",'MoodysData(Raw)'!$D$2:$D$180,"="&amp;'Implied Productivity Ratios'!$C55)</f>
        <v>108.26466561708536</v>
      </c>
      <c r="AE55">
        <f>SUMIFS('MoodysData(Raw)'!AH$2:AH$180,'MoodysData(Raw)'!$B$2:$B$180,"=GDP",'MoodysData(Raw)'!$D$2:$D$180,"="&amp;'Implied Productivity Ratios'!$C55)/SUMIFS('MoodysData(Raw)'!AH$2:AH$180,'MoodysData(Raw)'!$B$2:$B$180,"=EMP",'MoodysData(Raw)'!$D$2:$D$180,"="&amp;'Implied Productivity Ratios'!$C55)</f>
        <v>111.48140418106544</v>
      </c>
      <c r="AF55">
        <f>SUMIFS('MoodysData(Raw)'!AI$2:AI$180,'MoodysData(Raw)'!$B$2:$B$180,"=GDP",'MoodysData(Raw)'!$D$2:$D$180,"="&amp;'Implied Productivity Ratios'!$C55)/SUMIFS('MoodysData(Raw)'!AI$2:AI$180,'MoodysData(Raw)'!$B$2:$B$180,"=EMP",'MoodysData(Raw)'!$D$2:$D$180,"="&amp;'Implied Productivity Ratios'!$C55)</f>
        <v>114.73758816681503</v>
      </c>
      <c r="AG55">
        <f>SUMIFS('MoodysData(Raw)'!AJ$2:AJ$180,'MoodysData(Raw)'!$B$2:$B$180,"=GDP",'MoodysData(Raw)'!$D$2:$D$180,"="&amp;'Implied Productivity Ratios'!$C55)/SUMIFS('MoodysData(Raw)'!AJ$2:AJ$180,'MoodysData(Raw)'!$B$2:$B$180,"=EMP",'MoodysData(Raw)'!$D$2:$D$180,"="&amp;'Implied Productivity Ratios'!$C55)</f>
        <v>117.99595322198978</v>
      </c>
      <c r="AH55">
        <f>SUMIFS('MoodysData(Raw)'!AK$2:AK$180,'MoodysData(Raw)'!$B$2:$B$180,"=GDP",'MoodysData(Raw)'!$D$2:$D$180,"="&amp;'Implied Productivity Ratios'!$C55)/SUMIFS('MoodysData(Raw)'!AK$2:AK$180,'MoodysData(Raw)'!$B$2:$B$180,"=EMP",'MoodysData(Raw)'!$D$2:$D$180,"="&amp;'Implied Productivity Ratios'!$C55)</f>
        <v>121.16375073041624</v>
      </c>
      <c r="AI55">
        <f>SUMIFS('MoodysData(Raw)'!AL$2:AL$180,'MoodysData(Raw)'!$B$2:$B$180,"=GDP",'MoodysData(Raw)'!$D$2:$D$180,"="&amp;'Implied Productivity Ratios'!$C55)/SUMIFS('MoodysData(Raw)'!AL$2:AL$180,'MoodysData(Raw)'!$B$2:$B$180,"=EMP",'MoodysData(Raw)'!$D$2:$D$180,"="&amp;'Implied Productivity Ratios'!$C55)</f>
        <v>124.22950763187816</v>
      </c>
      <c r="AJ55">
        <f>SUMIFS('MoodysData(Raw)'!AM$2:AM$180,'MoodysData(Raw)'!$B$2:$B$180,"=GDP",'MoodysData(Raw)'!$D$2:$D$180,"="&amp;'Implied Productivity Ratios'!$C55)/SUMIFS('MoodysData(Raw)'!AM$2:AM$180,'MoodysData(Raw)'!$B$2:$B$180,"=EMP",'MoodysData(Raw)'!$D$2:$D$180,"="&amp;'Implied Productivity Ratios'!$C55)</f>
        <v>127.40903907950658</v>
      </c>
      <c r="AK55">
        <f>SUMIFS('MoodysData(Raw)'!AN$2:AN$180,'MoodysData(Raw)'!$B$2:$B$180,"=GDP",'MoodysData(Raw)'!$D$2:$D$180,"="&amp;'Implied Productivity Ratios'!$C55)/SUMIFS('MoodysData(Raw)'!AN$2:AN$180,'MoodysData(Raw)'!$B$2:$B$180,"=EMP",'MoodysData(Raw)'!$D$2:$D$180,"="&amp;'Implied Productivity Ratios'!$C55)</f>
        <v>130.67871137774387</v>
      </c>
      <c r="AL55">
        <f>SUMIFS('MoodysData(Raw)'!AO$2:AO$180,'MoodysData(Raw)'!$B$2:$B$180,"=GDP",'MoodysData(Raw)'!$D$2:$D$180,"="&amp;'Implied Productivity Ratios'!$C55)/SUMIFS('MoodysData(Raw)'!AO$2:AO$180,'MoodysData(Raw)'!$B$2:$B$180,"=EMP",'MoodysData(Raw)'!$D$2:$D$180,"="&amp;'Implied Productivity Ratios'!$C55)</f>
        <v>133.87544818463468</v>
      </c>
      <c r="AM55">
        <f>SUMIFS('MoodysData(Raw)'!AP$2:AP$180,'MoodysData(Raw)'!$B$2:$B$180,"=GDP",'MoodysData(Raw)'!$D$2:$D$180,"="&amp;'Implied Productivity Ratios'!$C55)/SUMIFS('MoodysData(Raw)'!AP$2:AP$180,'MoodysData(Raw)'!$B$2:$B$180,"=EMP",'MoodysData(Raw)'!$D$2:$D$180,"="&amp;'Implied Productivity Ratios'!$C55)</f>
        <v>137.11089759267671</v>
      </c>
      <c r="AN55">
        <f>SUMIFS('MoodysData(Raw)'!AQ$2:AQ$180,'MoodysData(Raw)'!$B$2:$B$180,"=GDP",'MoodysData(Raw)'!$D$2:$D$180,"="&amp;'Implied Productivity Ratios'!$C55)/SUMIFS('MoodysData(Raw)'!AQ$2:AQ$180,'MoodysData(Raw)'!$B$2:$B$180,"=EMP",'MoodysData(Raw)'!$D$2:$D$180,"="&amp;'Implied Productivity Ratios'!$C55)</f>
        <v>140.37579796562608</v>
      </c>
      <c r="AO55">
        <f>SUMIFS('MoodysData(Raw)'!AR$2:AR$180,'MoodysData(Raw)'!$B$2:$B$180,"=GDP",'MoodysData(Raw)'!$D$2:$D$180,"="&amp;'Implied Productivity Ratios'!$C55)/SUMIFS('MoodysData(Raw)'!AR$2:AR$180,'MoodysData(Raw)'!$B$2:$B$180,"=EMP",'MoodysData(Raw)'!$D$2:$D$180,"="&amp;'Implied Productivity Ratios'!$C55)</f>
        <v>143.61825799183214</v>
      </c>
      <c r="AP55">
        <f>SUMIFS('MoodysData(Raw)'!AS$2:AS$180,'MoodysData(Raw)'!$B$2:$B$180,"=GDP",'MoodysData(Raw)'!$D$2:$D$180,"="&amp;'Implied Productivity Ratios'!$C55)/SUMIFS('MoodysData(Raw)'!AS$2:AS$180,'MoodysData(Raw)'!$B$2:$B$180,"=EMP",'MoodysData(Raw)'!$D$2:$D$180,"="&amp;'Implied Productivity Ratios'!$C55)</f>
        <v>146.82542318973742</v>
      </c>
      <c r="AQ55">
        <f>SUMIFS('MoodysData(Raw)'!AT$2:AT$180,'MoodysData(Raw)'!$B$2:$B$180,"=GDP",'MoodysData(Raw)'!$D$2:$D$180,"="&amp;'Implied Productivity Ratios'!$C55)/SUMIFS('MoodysData(Raw)'!AT$2:AT$180,'MoodysData(Raw)'!$B$2:$B$180,"=EMP",'MoodysData(Raw)'!$D$2:$D$180,"="&amp;'Implied Productivity Ratios'!$C55)</f>
        <v>149.98258309389522</v>
      </c>
      <c r="AR55">
        <f>SUMIFS('MoodysData(Raw)'!AU$2:AU$180,'MoodysData(Raw)'!$B$2:$B$180,"=GDP",'MoodysData(Raw)'!$D$2:$D$180,"="&amp;'Implied Productivity Ratios'!$C55)/SUMIFS('MoodysData(Raw)'!AU$2:AU$180,'MoodysData(Raw)'!$B$2:$B$180,"=EMP",'MoodysData(Raw)'!$D$2:$D$180,"="&amp;'Implied Productivity Ratios'!$C55)</f>
        <v>153.00576656106503</v>
      </c>
      <c r="AS55">
        <f>SUMIFS('MoodysData(Raw)'!AV$2:AV$180,'MoodysData(Raw)'!$B$2:$B$180,"=GDP",'MoodysData(Raw)'!$D$2:$D$180,"="&amp;'Implied Productivity Ratios'!$C55)/SUMIFS('MoodysData(Raw)'!AV$2:AV$180,'MoodysData(Raw)'!$B$2:$B$180,"=EMP",'MoodysData(Raw)'!$D$2:$D$180,"="&amp;'Implied Productivity Ratios'!$C55)</f>
        <v>155.92129133633313</v>
      </c>
      <c r="AT55">
        <f>SUMIFS('MoodysData(Raw)'!AW$2:AW$180,'MoodysData(Raw)'!$B$2:$B$180,"=GDP",'MoodysData(Raw)'!$D$2:$D$180,"="&amp;'Implied Productivity Ratios'!$C55)/SUMIFS('MoodysData(Raw)'!AW$2:AW$180,'MoodysData(Raw)'!$B$2:$B$180,"=EMP",'MoodysData(Raw)'!$D$2:$D$180,"="&amp;'Implied Productivity Ratios'!$C55)</f>
        <v>158.77261167030841</v>
      </c>
      <c r="AU55">
        <f>SUMIFS('MoodysData(Raw)'!AX$2:AX$180,'MoodysData(Raw)'!$B$2:$B$180,"=GDP",'MoodysData(Raw)'!$D$2:$D$180,"="&amp;'Implied Productivity Ratios'!$C55)/SUMIFS('MoodysData(Raw)'!AX$2:AX$180,'MoodysData(Raw)'!$B$2:$B$180,"=EMP",'MoodysData(Raw)'!$D$2:$D$180,"="&amp;'Implied Productivity Ratios'!$C55)</f>
        <v>161.7144140582887</v>
      </c>
      <c r="AV55">
        <f>SUMIFS('MoodysData(Raw)'!AY$2:AY$180,'MoodysData(Raw)'!$B$2:$B$180,"=GDP",'MoodysData(Raw)'!$D$2:$D$180,"="&amp;'Implied Productivity Ratios'!$C55)/SUMIFS('MoodysData(Raw)'!AY$2:AY$180,'MoodysData(Raw)'!$B$2:$B$180,"=EMP",'MoodysData(Raw)'!$D$2:$D$180,"="&amp;'Implied Productivity Ratios'!$C55)</f>
        <v>164.71964099052013</v>
      </c>
      <c r="AW55">
        <f>SUMIFS('MoodysData(Raw)'!AZ$2:AZ$180,'MoodysData(Raw)'!$B$2:$B$180,"=GDP",'MoodysData(Raw)'!$D$2:$D$180,"="&amp;'Implied Productivity Ratios'!$C55)/SUMIFS('MoodysData(Raw)'!AZ$2:AZ$180,'MoodysData(Raw)'!$B$2:$B$180,"=EMP",'MoodysData(Raw)'!$D$2:$D$180,"="&amp;'Implied Productivity Ratios'!$C55)</f>
        <v>167.74987352749875</v>
      </c>
      <c r="AX55">
        <f>SUMIFS('MoodysData(Raw)'!BA$2:BA$180,'MoodysData(Raw)'!$B$2:$B$180,"=GDP",'MoodysData(Raw)'!$D$2:$D$180,"="&amp;'Implied Productivity Ratios'!$C55)/SUMIFS('MoodysData(Raw)'!BA$2:BA$180,'MoodysData(Raw)'!$B$2:$B$180,"=EMP",'MoodysData(Raw)'!$D$2:$D$180,"="&amp;'Implied Productivity Ratios'!$C55)</f>
        <v>170.76976828385227</v>
      </c>
      <c r="AY55">
        <f>SUMIFS('MoodysData(Raw)'!BB$2:BB$180,'MoodysData(Raw)'!$B$2:$B$180,"=GDP",'MoodysData(Raw)'!$D$2:$D$180,"="&amp;'Implied Productivity Ratios'!$C55)/SUMIFS('MoodysData(Raw)'!BB$2:BB$180,'MoodysData(Raw)'!$B$2:$B$180,"=EMP",'MoodysData(Raw)'!$D$2:$D$180,"="&amp;'Implied Productivity Ratios'!$C55)</f>
        <v>173.81182444686254</v>
      </c>
      <c r="AZ55">
        <f>SUMIFS('MoodysData(Raw)'!BC$2:BC$180,'MoodysData(Raw)'!$B$2:$B$180,"=GDP",'MoodysData(Raw)'!$D$2:$D$180,"="&amp;'Implied Productivity Ratios'!$C55)/SUMIFS('MoodysData(Raw)'!BC$2:BC$180,'MoodysData(Raw)'!$B$2:$B$180,"=EMP",'MoodysData(Raw)'!$D$2:$D$180,"="&amp;'Implied Productivity Ratios'!$C55)</f>
        <v>176.9502979218137</v>
      </c>
      <c r="BA55">
        <f>SUMIFS('MoodysData(Raw)'!BD$2:BD$180,'MoodysData(Raw)'!$B$2:$B$180,"=GDP",'MoodysData(Raw)'!$D$2:$D$180,"="&amp;'Implied Productivity Ratios'!$C55)/SUMIFS('MoodysData(Raw)'!BD$2:BD$180,'MoodysData(Raw)'!$B$2:$B$180,"=EMP",'MoodysData(Raw)'!$D$2:$D$180,"="&amp;'Implied Productivity Ratios'!$C55)</f>
        <v>180.15442835310384</v>
      </c>
      <c r="BB55">
        <f>SUMIFS('MoodysData(Raw)'!BE$2:BE$180,'MoodysData(Raw)'!$B$2:$B$180,"=GDP",'MoodysData(Raw)'!$D$2:$D$180,"="&amp;'Implied Productivity Ratios'!$C55)/SUMIFS('MoodysData(Raw)'!BE$2:BE$180,'MoodysData(Raw)'!$B$2:$B$180,"=EMP",'MoodysData(Raw)'!$D$2:$D$180,"="&amp;'Implied Productivity Ratios'!$C55)</f>
        <v>183.42804562515943</v>
      </c>
      <c r="BC55">
        <f>SUMIFS('MoodysData(Raw)'!BF$2:BF$180,'MoodysData(Raw)'!$B$2:$B$180,"=GDP",'MoodysData(Raw)'!$D$2:$D$180,"="&amp;'Implied Productivity Ratios'!$C55)/SUMIFS('MoodysData(Raw)'!BF$2:BF$180,'MoodysData(Raw)'!$B$2:$B$180,"=EMP",'MoodysData(Raw)'!$D$2:$D$180,"="&amp;'Implied Productivity Ratios'!$C55)</f>
        <v>186.7382055679206</v>
      </c>
      <c r="BD55" s="5">
        <f t="shared" ref="BD55:BH55" si="49">BC55+($BC55-$AX55)/5</f>
        <v>189.93189302473428</v>
      </c>
      <c r="BE55" s="5">
        <f t="shared" si="49"/>
        <v>193.12558048154796</v>
      </c>
      <c r="BF55" s="5">
        <f t="shared" si="49"/>
        <v>196.31926793836163</v>
      </c>
      <c r="BG55" s="5">
        <f t="shared" si="49"/>
        <v>199.51295539517531</v>
      </c>
      <c r="BH55" s="5">
        <f t="shared" si="49"/>
        <v>202.70664285198899</v>
      </c>
    </row>
    <row r="56" spans="3:60">
      <c r="C56">
        <v>488</v>
      </c>
      <c r="D56" t="s">
        <v>195</v>
      </c>
      <c r="E56">
        <f>SUMIFS('MoodysData(Raw)'!H$2:H$180,'MoodysData(Raw)'!$B$2:$B$180,"=GDP",'MoodysData(Raw)'!$D$2:$D$180,"="&amp;'Implied Productivity Ratios'!$C56)/SUMIFS('MoodysData(Raw)'!H$2:H$180,'MoodysData(Raw)'!$B$2:$B$180,"=EMP",'MoodysData(Raw)'!$D$2:$D$180,"="&amp;'Implied Productivity Ratios'!$C56)</f>
        <v>94.857940344859159</v>
      </c>
      <c r="F56">
        <f>SUMIFS('MoodysData(Raw)'!I$2:I$180,'MoodysData(Raw)'!$B$2:$B$180,"=GDP",'MoodysData(Raw)'!$D$2:$D$180,"="&amp;'Implied Productivity Ratios'!$C56)/SUMIFS('MoodysData(Raw)'!I$2:I$180,'MoodysData(Raw)'!$B$2:$B$180,"=EMP",'MoodysData(Raw)'!$D$2:$D$180,"="&amp;'Implied Productivity Ratios'!$C56)</f>
        <v>93.317515117939962</v>
      </c>
      <c r="G56">
        <f>SUMIFS('MoodysData(Raw)'!J$2:J$180,'MoodysData(Raw)'!$B$2:$B$180,"=GDP",'MoodysData(Raw)'!$D$2:$D$180,"="&amp;'Implied Productivity Ratios'!$C56)/SUMIFS('MoodysData(Raw)'!J$2:J$180,'MoodysData(Raw)'!$B$2:$B$180,"=EMP",'MoodysData(Raw)'!$D$2:$D$180,"="&amp;'Implied Productivity Ratios'!$C56)</f>
        <v>82.8680115085333</v>
      </c>
      <c r="H56">
        <f>SUMIFS('MoodysData(Raw)'!K$2:K$180,'MoodysData(Raw)'!$B$2:$B$180,"=GDP",'MoodysData(Raw)'!$D$2:$D$180,"="&amp;'Implied Productivity Ratios'!$C56)/SUMIFS('MoodysData(Raw)'!K$2:K$180,'MoodysData(Raw)'!$B$2:$B$180,"=EMP",'MoodysData(Raw)'!$D$2:$D$180,"="&amp;'Implied Productivity Ratios'!$C56)</f>
        <v>87.987754700749662</v>
      </c>
      <c r="I56">
        <f>SUMIFS('MoodysData(Raw)'!L$2:L$180,'MoodysData(Raw)'!$B$2:$B$180,"=GDP",'MoodysData(Raw)'!$D$2:$D$180,"="&amp;'Implied Productivity Ratios'!$C56)/SUMIFS('MoodysData(Raw)'!L$2:L$180,'MoodysData(Raw)'!$B$2:$B$180,"=EMP",'MoodysData(Raw)'!$D$2:$D$180,"="&amp;'Implied Productivity Ratios'!$C56)</f>
        <v>86.747074337596729</v>
      </c>
      <c r="J56">
        <f>SUMIFS('MoodysData(Raw)'!M$2:M$180,'MoodysData(Raw)'!$B$2:$B$180,"=GDP",'MoodysData(Raw)'!$D$2:$D$180,"="&amp;'Implied Productivity Ratios'!$C56)/SUMIFS('MoodysData(Raw)'!M$2:M$180,'MoodysData(Raw)'!$B$2:$B$180,"=EMP",'MoodysData(Raw)'!$D$2:$D$180,"="&amp;'Implied Productivity Ratios'!$C56)</f>
        <v>93.684918339208551</v>
      </c>
      <c r="K56">
        <f>SUMIFS('MoodysData(Raw)'!N$2:N$180,'MoodysData(Raw)'!$B$2:$B$180,"=GDP",'MoodysData(Raw)'!$D$2:$D$180,"="&amp;'Implied Productivity Ratios'!$C56)/SUMIFS('MoodysData(Raw)'!N$2:N$180,'MoodysData(Raw)'!$B$2:$B$180,"=EMP",'MoodysData(Raw)'!$D$2:$D$180,"="&amp;'Implied Productivity Ratios'!$C56)</f>
        <v>94.802296952075153</v>
      </c>
      <c r="L56">
        <f>SUMIFS('MoodysData(Raw)'!O$2:O$180,'MoodysData(Raw)'!$B$2:$B$180,"=GDP",'MoodysData(Raw)'!$D$2:$D$180,"="&amp;'Implied Productivity Ratios'!$C56)/SUMIFS('MoodysData(Raw)'!O$2:O$180,'MoodysData(Raw)'!$B$2:$B$180,"=EMP",'MoodysData(Raw)'!$D$2:$D$180,"="&amp;'Implied Productivity Ratios'!$C56)</f>
        <v>93.51457650566249</v>
      </c>
      <c r="M56">
        <f>SUMIFS('MoodysData(Raw)'!P$2:P$180,'MoodysData(Raw)'!$B$2:$B$180,"=GDP",'MoodysData(Raw)'!$D$2:$D$180,"="&amp;'Implied Productivity Ratios'!$C56)/SUMIFS('MoodysData(Raw)'!P$2:P$180,'MoodysData(Raw)'!$B$2:$B$180,"=EMP",'MoodysData(Raw)'!$D$2:$D$180,"="&amp;'Implied Productivity Ratios'!$C56)</f>
        <v>93.090488873947848</v>
      </c>
      <c r="N56">
        <f>SUMIFS('MoodysData(Raw)'!Q$2:Q$180,'MoodysData(Raw)'!$B$2:$B$180,"=GDP",'MoodysData(Raw)'!$D$2:$D$180,"="&amp;'Implied Productivity Ratios'!$C56)/SUMIFS('MoodysData(Raw)'!Q$2:Q$180,'MoodysData(Raw)'!$B$2:$B$180,"=EMP",'MoodysData(Raw)'!$D$2:$D$180,"="&amp;'Implied Productivity Ratios'!$C56)</f>
        <v>93.490006370687411</v>
      </c>
      <c r="O56">
        <f>SUMIFS('MoodysData(Raw)'!R$2:R$180,'MoodysData(Raw)'!$B$2:$B$180,"=GDP",'MoodysData(Raw)'!$D$2:$D$180,"="&amp;'Implied Productivity Ratios'!$C56)/SUMIFS('MoodysData(Raw)'!R$2:R$180,'MoodysData(Raw)'!$B$2:$B$180,"=EMP",'MoodysData(Raw)'!$D$2:$D$180,"="&amp;'Implied Productivity Ratios'!$C56)</f>
        <v>96.882205958715943</v>
      </c>
      <c r="P56">
        <f>SUMIFS('MoodysData(Raw)'!S$2:S$180,'MoodysData(Raw)'!$B$2:$B$180,"=GDP",'MoodysData(Raw)'!$D$2:$D$180,"="&amp;'Implied Productivity Ratios'!$C56)/SUMIFS('MoodysData(Raw)'!S$2:S$180,'MoodysData(Raw)'!$B$2:$B$180,"=EMP",'MoodysData(Raw)'!$D$2:$D$180,"="&amp;'Implied Productivity Ratios'!$C56)</f>
        <v>96.175034814900769</v>
      </c>
      <c r="Q56">
        <f>SUMIFS('MoodysData(Raw)'!T$2:T$180,'MoodysData(Raw)'!$B$2:$B$180,"=GDP",'MoodysData(Raw)'!$D$2:$D$180,"="&amp;'Implied Productivity Ratios'!$C56)/SUMIFS('MoodysData(Raw)'!T$2:T$180,'MoodysData(Raw)'!$B$2:$B$180,"=EMP",'MoodysData(Raw)'!$D$2:$D$180,"="&amp;'Implied Productivity Ratios'!$C56)</f>
        <v>92.863381056420906</v>
      </c>
      <c r="R56">
        <f>SUMIFS('MoodysData(Raw)'!U$2:U$180,'MoodysData(Raw)'!$B$2:$B$180,"=GDP",'MoodysData(Raw)'!$D$2:$D$180,"="&amp;'Implied Productivity Ratios'!$C56)/SUMIFS('MoodysData(Raw)'!U$2:U$180,'MoodysData(Raw)'!$B$2:$B$180,"=EMP",'MoodysData(Raw)'!$D$2:$D$180,"="&amp;'Implied Productivity Ratios'!$C56)</f>
        <v>95.191884234371315</v>
      </c>
      <c r="S56">
        <f>SUMIFS('MoodysData(Raw)'!V$2:V$180,'MoodysData(Raw)'!$B$2:$B$180,"=GDP",'MoodysData(Raw)'!$D$2:$D$180,"="&amp;'Implied Productivity Ratios'!$C56)/SUMIFS('MoodysData(Raw)'!V$2:V$180,'MoodysData(Raw)'!$B$2:$B$180,"=EMP",'MoodysData(Raw)'!$D$2:$D$180,"="&amp;'Implied Productivity Ratios'!$C56)</f>
        <v>97.014629487662589</v>
      </c>
      <c r="T56">
        <f>SUMIFS('MoodysData(Raw)'!W$2:W$180,'MoodysData(Raw)'!$B$2:$B$180,"=GDP",'MoodysData(Raw)'!$D$2:$D$180,"="&amp;'Implied Productivity Ratios'!$C56)/SUMIFS('MoodysData(Raw)'!W$2:W$180,'MoodysData(Raw)'!$B$2:$B$180,"=EMP",'MoodysData(Raw)'!$D$2:$D$180,"="&amp;'Implied Productivity Ratios'!$C56)</f>
        <v>110.15576597903281</v>
      </c>
      <c r="U56">
        <f>SUMIFS('MoodysData(Raw)'!X$2:X$180,'MoodysData(Raw)'!$B$2:$B$180,"=GDP",'MoodysData(Raw)'!$D$2:$D$180,"="&amp;'Implied Productivity Ratios'!$C56)/SUMIFS('MoodysData(Raw)'!X$2:X$180,'MoodysData(Raw)'!$B$2:$B$180,"=EMP",'MoodysData(Raw)'!$D$2:$D$180,"="&amp;'Implied Productivity Ratios'!$C56)</f>
        <v>89.259293156093577</v>
      </c>
      <c r="V56">
        <f>SUMIFS('MoodysData(Raw)'!Y$2:Y$180,'MoodysData(Raw)'!$B$2:$B$180,"=GDP",'MoodysData(Raw)'!$D$2:$D$180,"="&amp;'Implied Productivity Ratios'!$C56)/SUMIFS('MoodysData(Raw)'!Y$2:Y$180,'MoodysData(Raw)'!$B$2:$B$180,"=EMP",'MoodysData(Raw)'!$D$2:$D$180,"="&amp;'Implied Productivity Ratios'!$C56)</f>
        <v>92.234564907669608</v>
      </c>
      <c r="W56">
        <f>SUMIFS('MoodysData(Raw)'!Z$2:Z$180,'MoodysData(Raw)'!$B$2:$B$180,"=GDP",'MoodysData(Raw)'!$D$2:$D$180,"="&amp;'Implied Productivity Ratios'!$C56)/SUMIFS('MoodysData(Raw)'!Z$2:Z$180,'MoodysData(Raw)'!$B$2:$B$180,"=EMP",'MoodysData(Raw)'!$D$2:$D$180,"="&amp;'Implied Productivity Ratios'!$C56)</f>
        <v>118.34435088213249</v>
      </c>
      <c r="X56">
        <f>SUMIFS('MoodysData(Raw)'!AA$2:AA$180,'MoodysData(Raw)'!$B$2:$B$180,"=GDP",'MoodysData(Raw)'!$D$2:$D$180,"="&amp;'Implied Productivity Ratios'!$C56)/SUMIFS('MoodysData(Raw)'!AA$2:AA$180,'MoodysData(Raw)'!$B$2:$B$180,"=EMP",'MoodysData(Raw)'!$D$2:$D$180,"="&amp;'Implied Productivity Ratios'!$C56)</f>
        <v>117.13793116185607</v>
      </c>
      <c r="Y56">
        <f>SUMIFS('MoodysData(Raw)'!AB$2:AB$180,'MoodysData(Raw)'!$B$2:$B$180,"=GDP",'MoodysData(Raw)'!$D$2:$D$180,"="&amp;'Implied Productivity Ratios'!$C56)/SUMIFS('MoodysData(Raw)'!AB$2:AB$180,'MoodysData(Raw)'!$B$2:$B$180,"=EMP",'MoodysData(Raw)'!$D$2:$D$180,"="&amp;'Implied Productivity Ratios'!$C56)</f>
        <v>120.85484681126778</v>
      </c>
      <c r="Z56">
        <f>SUMIFS('MoodysData(Raw)'!AC$2:AC$180,'MoodysData(Raw)'!$B$2:$B$180,"=GDP",'MoodysData(Raw)'!$D$2:$D$180,"="&amp;'Implied Productivity Ratios'!$C56)/SUMIFS('MoodysData(Raw)'!AC$2:AC$180,'MoodysData(Raw)'!$B$2:$B$180,"=EMP",'MoodysData(Raw)'!$D$2:$D$180,"="&amp;'Implied Productivity Ratios'!$C56)</f>
        <v>125.51076569853069</v>
      </c>
      <c r="AA56">
        <f>SUMIFS('MoodysData(Raw)'!AD$2:AD$180,'MoodysData(Raw)'!$B$2:$B$180,"=GDP",'MoodysData(Raw)'!$D$2:$D$180,"="&amp;'Implied Productivity Ratios'!$C56)/SUMIFS('MoodysData(Raw)'!AD$2:AD$180,'MoodysData(Raw)'!$B$2:$B$180,"=EMP",'MoodysData(Raw)'!$D$2:$D$180,"="&amp;'Implied Productivity Ratios'!$C56)</f>
        <v>131.04887770583719</v>
      </c>
      <c r="AB56">
        <f>SUMIFS('MoodysData(Raw)'!AE$2:AE$180,'MoodysData(Raw)'!$B$2:$B$180,"=GDP",'MoodysData(Raw)'!$D$2:$D$180,"="&amp;'Implied Productivity Ratios'!$C56)/SUMIFS('MoodysData(Raw)'!AE$2:AE$180,'MoodysData(Raw)'!$B$2:$B$180,"=EMP",'MoodysData(Raw)'!$D$2:$D$180,"="&amp;'Implied Productivity Ratios'!$C56)</f>
        <v>137.30405605286046</v>
      </c>
      <c r="AC56">
        <f>SUMIFS('MoodysData(Raw)'!AF$2:AF$180,'MoodysData(Raw)'!$B$2:$B$180,"=GDP",'MoodysData(Raw)'!$D$2:$D$180,"="&amp;'Implied Productivity Ratios'!$C56)/SUMIFS('MoodysData(Raw)'!AF$2:AF$180,'MoodysData(Raw)'!$B$2:$B$180,"=EMP",'MoodysData(Raw)'!$D$2:$D$180,"="&amp;'Implied Productivity Ratios'!$C56)</f>
        <v>143.99588318554862</v>
      </c>
      <c r="AD56">
        <f>SUMIFS('MoodysData(Raw)'!AG$2:AG$180,'MoodysData(Raw)'!$B$2:$B$180,"=GDP",'MoodysData(Raw)'!$D$2:$D$180,"="&amp;'Implied Productivity Ratios'!$C56)/SUMIFS('MoodysData(Raw)'!AG$2:AG$180,'MoodysData(Raw)'!$B$2:$B$180,"=EMP",'MoodysData(Raw)'!$D$2:$D$180,"="&amp;'Implied Productivity Ratios'!$C56)</f>
        <v>150.97147108848986</v>
      </c>
      <c r="AE56">
        <f>SUMIFS('MoodysData(Raw)'!AH$2:AH$180,'MoodysData(Raw)'!$B$2:$B$180,"=GDP",'MoodysData(Raw)'!$D$2:$D$180,"="&amp;'Implied Productivity Ratios'!$C56)/SUMIFS('MoodysData(Raw)'!AH$2:AH$180,'MoodysData(Raw)'!$B$2:$B$180,"=EMP",'MoodysData(Raw)'!$D$2:$D$180,"="&amp;'Implied Productivity Ratios'!$C56)</f>
        <v>157.88342942541595</v>
      </c>
      <c r="AF56">
        <f>SUMIFS('MoodysData(Raw)'!AI$2:AI$180,'MoodysData(Raw)'!$B$2:$B$180,"=GDP",'MoodysData(Raw)'!$D$2:$D$180,"="&amp;'Implied Productivity Ratios'!$C56)/SUMIFS('MoodysData(Raw)'!AI$2:AI$180,'MoodysData(Raw)'!$B$2:$B$180,"=EMP",'MoodysData(Raw)'!$D$2:$D$180,"="&amp;'Implied Productivity Ratios'!$C56)</f>
        <v>164.90556477839866</v>
      </c>
      <c r="AG56">
        <f>SUMIFS('MoodysData(Raw)'!AJ$2:AJ$180,'MoodysData(Raw)'!$B$2:$B$180,"=GDP",'MoodysData(Raw)'!$D$2:$D$180,"="&amp;'Implied Productivity Ratios'!$C56)/SUMIFS('MoodysData(Raw)'!AJ$2:AJ$180,'MoodysData(Raw)'!$B$2:$B$180,"=EMP",'MoodysData(Raw)'!$D$2:$D$180,"="&amp;'Implied Productivity Ratios'!$C56)</f>
        <v>171.99985830967415</v>
      </c>
      <c r="AH56">
        <f>SUMIFS('MoodysData(Raw)'!AK$2:AK$180,'MoodysData(Raw)'!$B$2:$B$180,"=GDP",'MoodysData(Raw)'!$D$2:$D$180,"="&amp;'Implied Productivity Ratios'!$C56)/SUMIFS('MoodysData(Raw)'!AK$2:AK$180,'MoodysData(Raw)'!$B$2:$B$180,"=EMP",'MoodysData(Raw)'!$D$2:$D$180,"="&amp;'Implied Productivity Ratios'!$C56)</f>
        <v>179.00044077651694</v>
      </c>
      <c r="AI56">
        <f>SUMIFS('MoodysData(Raw)'!AL$2:AL$180,'MoodysData(Raw)'!$B$2:$B$180,"=GDP",'MoodysData(Raw)'!$D$2:$D$180,"="&amp;'Implied Productivity Ratios'!$C56)/SUMIFS('MoodysData(Raw)'!AL$2:AL$180,'MoodysData(Raw)'!$B$2:$B$180,"=EMP",'MoodysData(Raw)'!$D$2:$D$180,"="&amp;'Implied Productivity Ratios'!$C56)</f>
        <v>185.91073654882319</v>
      </c>
      <c r="AJ56">
        <f>SUMIFS('MoodysData(Raw)'!AM$2:AM$180,'MoodysData(Raw)'!$B$2:$B$180,"=GDP",'MoodysData(Raw)'!$D$2:$D$180,"="&amp;'Implied Productivity Ratios'!$C56)/SUMIFS('MoodysData(Raw)'!AM$2:AM$180,'MoodysData(Raw)'!$B$2:$B$180,"=EMP",'MoodysData(Raw)'!$D$2:$D$180,"="&amp;'Implied Productivity Ratios'!$C56)</f>
        <v>193.07217163277866</v>
      </c>
      <c r="AK56">
        <f>SUMIFS('MoodysData(Raw)'!AN$2:AN$180,'MoodysData(Raw)'!$B$2:$B$180,"=GDP",'MoodysData(Raw)'!$D$2:$D$180,"="&amp;'Implied Productivity Ratios'!$C56)/SUMIFS('MoodysData(Raw)'!AN$2:AN$180,'MoodysData(Raw)'!$B$2:$B$180,"=EMP",'MoodysData(Raw)'!$D$2:$D$180,"="&amp;'Implied Productivity Ratios'!$C56)</f>
        <v>200.42635696550192</v>
      </c>
      <c r="AL56">
        <f>SUMIFS('MoodysData(Raw)'!AO$2:AO$180,'MoodysData(Raw)'!$B$2:$B$180,"=GDP",'MoodysData(Raw)'!$D$2:$D$180,"="&amp;'Implied Productivity Ratios'!$C56)/SUMIFS('MoodysData(Raw)'!AO$2:AO$180,'MoodysData(Raw)'!$B$2:$B$180,"=EMP",'MoodysData(Raw)'!$D$2:$D$180,"="&amp;'Implied Productivity Ratios'!$C56)</f>
        <v>207.70897105919801</v>
      </c>
      <c r="AM56">
        <f>SUMIFS('MoodysData(Raw)'!AP$2:AP$180,'MoodysData(Raw)'!$B$2:$B$180,"=GDP",'MoodysData(Raw)'!$D$2:$D$180,"="&amp;'Implied Productivity Ratios'!$C56)/SUMIFS('MoodysData(Raw)'!AP$2:AP$180,'MoodysData(Raw)'!$B$2:$B$180,"=EMP",'MoodysData(Raw)'!$D$2:$D$180,"="&amp;'Implied Productivity Ratios'!$C56)</f>
        <v>215.06356017584341</v>
      </c>
      <c r="AN56">
        <f>SUMIFS('MoodysData(Raw)'!AQ$2:AQ$180,'MoodysData(Raw)'!$B$2:$B$180,"=GDP",'MoodysData(Raw)'!$D$2:$D$180,"="&amp;'Implied Productivity Ratios'!$C56)/SUMIFS('MoodysData(Raw)'!AQ$2:AQ$180,'MoodysData(Raw)'!$B$2:$B$180,"=EMP",'MoodysData(Raw)'!$D$2:$D$180,"="&amp;'Implied Productivity Ratios'!$C56)</f>
        <v>222.46726823125093</v>
      </c>
      <c r="AO56">
        <f>SUMIFS('MoodysData(Raw)'!AR$2:AR$180,'MoodysData(Raw)'!$B$2:$B$180,"=GDP",'MoodysData(Raw)'!$D$2:$D$180,"="&amp;'Implied Productivity Ratios'!$C56)/SUMIFS('MoodysData(Raw)'!AR$2:AR$180,'MoodysData(Raw)'!$B$2:$B$180,"=EMP",'MoodysData(Raw)'!$D$2:$D$180,"="&amp;'Implied Productivity Ratios'!$C56)</f>
        <v>229.81846316118902</v>
      </c>
      <c r="AP56">
        <f>SUMIFS('MoodysData(Raw)'!AS$2:AS$180,'MoodysData(Raw)'!$B$2:$B$180,"=GDP",'MoodysData(Raw)'!$D$2:$D$180,"="&amp;'Implied Productivity Ratios'!$C56)/SUMIFS('MoodysData(Raw)'!AS$2:AS$180,'MoodysData(Raw)'!$B$2:$B$180,"=EMP",'MoodysData(Raw)'!$D$2:$D$180,"="&amp;'Implied Productivity Ratios'!$C56)</f>
        <v>237.06999410498969</v>
      </c>
      <c r="AQ56">
        <f>SUMIFS('MoodysData(Raw)'!AT$2:AT$180,'MoodysData(Raw)'!$B$2:$B$180,"=GDP",'MoodysData(Raw)'!$D$2:$D$180,"="&amp;'Implied Productivity Ratios'!$C56)/SUMIFS('MoodysData(Raw)'!AT$2:AT$180,'MoodysData(Raw)'!$B$2:$B$180,"=EMP",'MoodysData(Raw)'!$D$2:$D$180,"="&amp;'Implied Productivity Ratios'!$C56)</f>
        <v>244.192110701107</v>
      </c>
      <c r="AR56">
        <f>SUMIFS('MoodysData(Raw)'!AU$2:AU$180,'MoodysData(Raw)'!$B$2:$B$180,"=GDP",'MoodysData(Raw)'!$D$2:$D$180,"="&amp;'Implied Productivity Ratios'!$C56)/SUMIFS('MoodysData(Raw)'!AU$2:AU$180,'MoodysData(Raw)'!$B$2:$B$180,"=EMP",'MoodysData(Raw)'!$D$2:$D$180,"="&amp;'Implied Productivity Ratios'!$C56)</f>
        <v>251.07038757290337</v>
      </c>
      <c r="AS56">
        <f>SUMIFS('MoodysData(Raw)'!AV$2:AV$180,'MoodysData(Raw)'!$B$2:$B$180,"=GDP",'MoodysData(Raw)'!$D$2:$D$180,"="&amp;'Implied Productivity Ratios'!$C56)/SUMIFS('MoodysData(Raw)'!AV$2:AV$180,'MoodysData(Raw)'!$B$2:$B$180,"=EMP",'MoodysData(Raw)'!$D$2:$D$180,"="&amp;'Implied Productivity Ratios'!$C56)</f>
        <v>257.71949489769912</v>
      </c>
      <c r="AT56">
        <f>SUMIFS('MoodysData(Raw)'!AW$2:AW$180,'MoodysData(Raw)'!$B$2:$B$180,"=GDP",'MoodysData(Raw)'!$D$2:$D$180,"="&amp;'Implied Productivity Ratios'!$C56)/SUMIFS('MoodysData(Raw)'!AW$2:AW$180,'MoodysData(Raw)'!$B$2:$B$180,"=EMP",'MoodysData(Raw)'!$D$2:$D$180,"="&amp;'Implied Productivity Ratios'!$C56)</f>
        <v>264.16930238595864</v>
      </c>
      <c r="AU56">
        <f>SUMIFS('MoodysData(Raw)'!AX$2:AX$180,'MoodysData(Raw)'!$B$2:$B$180,"=GDP",'MoodysData(Raw)'!$D$2:$D$180,"="&amp;'Implied Productivity Ratios'!$C56)/SUMIFS('MoodysData(Raw)'!AX$2:AX$180,'MoodysData(Raw)'!$B$2:$B$180,"=EMP",'MoodysData(Raw)'!$D$2:$D$180,"="&amp;'Implied Productivity Ratios'!$C56)</f>
        <v>270.66869311993293</v>
      </c>
      <c r="AV56">
        <f>SUMIFS('MoodysData(Raw)'!AY$2:AY$180,'MoodysData(Raw)'!$B$2:$B$180,"=GDP",'MoodysData(Raw)'!$D$2:$D$180,"="&amp;'Implied Productivity Ratios'!$C56)/SUMIFS('MoodysData(Raw)'!AY$2:AY$180,'MoodysData(Raw)'!$B$2:$B$180,"=EMP",'MoodysData(Raw)'!$D$2:$D$180,"="&amp;'Implied Productivity Ratios'!$C56)</f>
        <v>277.15866337919294</v>
      </c>
      <c r="AW56">
        <f>SUMIFS('MoodysData(Raw)'!AZ$2:AZ$180,'MoodysData(Raw)'!$B$2:$B$180,"=GDP",'MoodysData(Raw)'!$D$2:$D$180,"="&amp;'Implied Productivity Ratios'!$C56)/SUMIFS('MoodysData(Raw)'!AZ$2:AZ$180,'MoodysData(Raw)'!$B$2:$B$180,"=EMP",'MoodysData(Raw)'!$D$2:$D$180,"="&amp;'Implied Productivity Ratios'!$C56)</f>
        <v>283.5432334634649</v>
      </c>
      <c r="AX56">
        <f>SUMIFS('MoodysData(Raw)'!BA$2:BA$180,'MoodysData(Raw)'!$B$2:$B$180,"=GDP",'MoodysData(Raw)'!$D$2:$D$180,"="&amp;'Implied Productivity Ratios'!$C56)/SUMIFS('MoodysData(Raw)'!BA$2:BA$180,'MoodysData(Raw)'!$B$2:$B$180,"=EMP",'MoodysData(Raw)'!$D$2:$D$180,"="&amp;'Implied Productivity Ratios'!$C56)</f>
        <v>289.77245022098339</v>
      </c>
      <c r="AY56">
        <f>SUMIFS('MoodysData(Raw)'!BB$2:BB$180,'MoodysData(Raw)'!$B$2:$B$180,"=GDP",'MoodysData(Raw)'!$D$2:$D$180,"="&amp;'Implied Productivity Ratios'!$C56)/SUMIFS('MoodysData(Raw)'!BB$2:BB$180,'MoodysData(Raw)'!$B$2:$B$180,"=EMP",'MoodysData(Raw)'!$D$2:$D$180,"="&amp;'Implied Productivity Ratios'!$C56)</f>
        <v>295.87164079993829</v>
      </c>
      <c r="AZ56">
        <f>SUMIFS('MoodysData(Raw)'!BC$2:BC$180,'MoodysData(Raw)'!$B$2:$B$180,"=GDP",'MoodysData(Raw)'!$D$2:$D$180,"="&amp;'Implied Productivity Ratios'!$C56)/SUMIFS('MoodysData(Raw)'!BC$2:BC$180,'MoodysData(Raw)'!$B$2:$B$180,"=EMP",'MoodysData(Raw)'!$D$2:$D$180,"="&amp;'Implied Productivity Ratios'!$C56)</f>
        <v>301.98026403355362</v>
      </c>
      <c r="BA56">
        <f>SUMIFS('MoodysData(Raw)'!BD$2:BD$180,'MoodysData(Raw)'!$B$2:$B$180,"=GDP",'MoodysData(Raw)'!$D$2:$D$180,"="&amp;'Implied Productivity Ratios'!$C56)/SUMIFS('MoodysData(Raw)'!BD$2:BD$180,'MoodysData(Raw)'!$B$2:$B$180,"=EMP",'MoodysData(Raw)'!$D$2:$D$180,"="&amp;'Implied Productivity Ratios'!$C56)</f>
        <v>308.00631778325788</v>
      </c>
      <c r="BB56">
        <f>SUMIFS('MoodysData(Raw)'!BE$2:BE$180,'MoodysData(Raw)'!$B$2:$B$180,"=GDP",'MoodysData(Raw)'!$D$2:$D$180,"="&amp;'Implied Productivity Ratios'!$C56)/SUMIFS('MoodysData(Raw)'!BE$2:BE$180,'MoodysData(Raw)'!$B$2:$B$180,"=EMP",'MoodysData(Raw)'!$D$2:$D$180,"="&amp;'Implied Productivity Ratios'!$C56)</f>
        <v>313.97439915594794</v>
      </c>
      <c r="BC56">
        <f>SUMIFS('MoodysData(Raw)'!BF$2:BF$180,'MoodysData(Raw)'!$B$2:$B$180,"=GDP",'MoodysData(Raw)'!$D$2:$D$180,"="&amp;'Implied Productivity Ratios'!$C56)/SUMIFS('MoodysData(Raw)'!BF$2:BF$180,'MoodysData(Raw)'!$B$2:$B$180,"=EMP",'MoodysData(Raw)'!$D$2:$D$180,"="&amp;'Implied Productivity Ratios'!$C56)</f>
        <v>319.77443058286406</v>
      </c>
      <c r="BD56" s="5">
        <f t="shared" ref="BD56:BH56" si="50">BC56+($BC56-$AX56)/5</f>
        <v>325.77482665524019</v>
      </c>
      <c r="BE56" s="5">
        <f t="shared" si="50"/>
        <v>331.77522272761632</v>
      </c>
      <c r="BF56" s="5">
        <f t="shared" si="50"/>
        <v>337.77561879999246</v>
      </c>
      <c r="BG56" s="5">
        <f t="shared" si="50"/>
        <v>343.77601487236859</v>
      </c>
      <c r="BH56" s="5">
        <f t="shared" si="50"/>
        <v>349.77641094474473</v>
      </c>
    </row>
    <row r="57" spans="3:60">
      <c r="C57">
        <v>492</v>
      </c>
      <c r="D57" t="s">
        <v>199</v>
      </c>
      <c r="E57">
        <f>SUMIFS('MoodysData(Raw)'!H$2:H$180,'MoodysData(Raw)'!$B$2:$B$180,"=GDP",'MoodysData(Raw)'!$D$2:$D$180,"="&amp;'Implied Productivity Ratios'!$C57)/SUMIFS('MoodysData(Raw)'!H$2:H$180,'MoodysData(Raw)'!$B$2:$B$180,"=EMP",'MoodysData(Raw)'!$D$2:$D$180,"="&amp;'Implied Productivity Ratios'!$C57)</f>
        <v>173.1056508523445</v>
      </c>
      <c r="F57">
        <f>SUMIFS('MoodysData(Raw)'!I$2:I$180,'MoodysData(Raw)'!$B$2:$B$180,"=GDP",'MoodysData(Raw)'!$D$2:$D$180,"="&amp;'Implied Productivity Ratios'!$C57)/SUMIFS('MoodysData(Raw)'!I$2:I$180,'MoodysData(Raw)'!$B$2:$B$180,"=EMP",'MoodysData(Raw)'!$D$2:$D$180,"="&amp;'Implied Productivity Ratios'!$C57)</f>
        <v>172.88239957272853</v>
      </c>
      <c r="G57">
        <f>SUMIFS('MoodysData(Raw)'!J$2:J$180,'MoodysData(Raw)'!$B$2:$B$180,"=GDP",'MoodysData(Raw)'!$D$2:$D$180,"="&amp;'Implied Productivity Ratios'!$C57)/SUMIFS('MoodysData(Raw)'!J$2:J$180,'MoodysData(Raw)'!$B$2:$B$180,"=EMP",'MoodysData(Raw)'!$D$2:$D$180,"="&amp;'Implied Productivity Ratios'!$C57)</f>
        <v>150.74659116920265</v>
      </c>
      <c r="H57">
        <f>SUMIFS('MoodysData(Raw)'!K$2:K$180,'MoodysData(Raw)'!$B$2:$B$180,"=GDP",'MoodysData(Raw)'!$D$2:$D$180,"="&amp;'Implied Productivity Ratios'!$C57)/SUMIFS('MoodysData(Raw)'!K$2:K$180,'MoodysData(Raw)'!$B$2:$B$180,"=EMP",'MoodysData(Raw)'!$D$2:$D$180,"="&amp;'Implied Productivity Ratios'!$C57)</f>
        <v>144.0772411676316</v>
      </c>
      <c r="I57">
        <f>SUMIFS('MoodysData(Raw)'!L$2:L$180,'MoodysData(Raw)'!$B$2:$B$180,"=GDP",'MoodysData(Raw)'!$D$2:$D$180,"="&amp;'Implied Productivity Ratios'!$C57)/SUMIFS('MoodysData(Raw)'!L$2:L$180,'MoodysData(Raw)'!$B$2:$B$180,"=EMP",'MoodysData(Raw)'!$D$2:$D$180,"="&amp;'Implied Productivity Ratios'!$C57)</f>
        <v>132.83519284208467</v>
      </c>
      <c r="J57">
        <f>SUMIFS('MoodysData(Raw)'!M$2:M$180,'MoodysData(Raw)'!$B$2:$B$180,"=GDP",'MoodysData(Raw)'!$D$2:$D$180,"="&amp;'Implied Productivity Ratios'!$C57)/SUMIFS('MoodysData(Raw)'!M$2:M$180,'MoodysData(Raw)'!$B$2:$B$180,"=EMP",'MoodysData(Raw)'!$D$2:$D$180,"="&amp;'Implied Productivity Ratios'!$C57)</f>
        <v>125.75303853019935</v>
      </c>
      <c r="K57">
        <f>SUMIFS('MoodysData(Raw)'!N$2:N$180,'MoodysData(Raw)'!$B$2:$B$180,"=GDP",'MoodysData(Raw)'!$D$2:$D$180,"="&amp;'Implied Productivity Ratios'!$C57)/SUMIFS('MoodysData(Raw)'!N$2:N$180,'MoodysData(Raw)'!$B$2:$B$180,"=EMP",'MoodysData(Raw)'!$D$2:$D$180,"="&amp;'Implied Productivity Ratios'!$C57)</f>
        <v>111.95172197673621</v>
      </c>
      <c r="L57">
        <f>SUMIFS('MoodysData(Raw)'!O$2:O$180,'MoodysData(Raw)'!$B$2:$B$180,"=GDP",'MoodysData(Raw)'!$D$2:$D$180,"="&amp;'Implied Productivity Ratios'!$C57)/SUMIFS('MoodysData(Raw)'!O$2:O$180,'MoodysData(Raw)'!$B$2:$B$180,"=EMP",'MoodysData(Raw)'!$D$2:$D$180,"="&amp;'Implied Productivity Ratios'!$C57)</f>
        <v>99.267085835732132</v>
      </c>
      <c r="M57">
        <f>SUMIFS('MoodysData(Raw)'!P$2:P$180,'MoodysData(Raw)'!$B$2:$B$180,"=GDP",'MoodysData(Raw)'!$D$2:$D$180,"="&amp;'Implied Productivity Ratios'!$C57)/SUMIFS('MoodysData(Raw)'!P$2:P$180,'MoodysData(Raw)'!$B$2:$B$180,"=EMP",'MoodysData(Raw)'!$D$2:$D$180,"="&amp;'Implied Productivity Ratios'!$C57)</f>
        <v>94.500572565962486</v>
      </c>
      <c r="N57">
        <f>SUMIFS('MoodysData(Raw)'!Q$2:Q$180,'MoodysData(Raw)'!$B$2:$B$180,"=GDP",'MoodysData(Raw)'!$D$2:$D$180,"="&amp;'Implied Productivity Ratios'!$C57)/SUMIFS('MoodysData(Raw)'!Q$2:Q$180,'MoodysData(Raw)'!$B$2:$B$180,"=EMP",'MoodysData(Raw)'!$D$2:$D$180,"="&amp;'Implied Productivity Ratios'!$C57)</f>
        <v>85.687690793305023</v>
      </c>
      <c r="O57">
        <f>SUMIFS('MoodysData(Raw)'!R$2:R$180,'MoodysData(Raw)'!$B$2:$B$180,"=GDP",'MoodysData(Raw)'!$D$2:$D$180,"="&amp;'Implied Productivity Ratios'!$C57)/SUMIFS('MoodysData(Raw)'!R$2:R$180,'MoodysData(Raw)'!$B$2:$B$180,"=EMP",'MoodysData(Raw)'!$D$2:$D$180,"="&amp;'Implied Productivity Ratios'!$C57)</f>
        <v>80.95267216122852</v>
      </c>
      <c r="P57">
        <f>SUMIFS('MoodysData(Raw)'!S$2:S$180,'MoodysData(Raw)'!$B$2:$B$180,"=GDP",'MoodysData(Raw)'!$D$2:$D$180,"="&amp;'Implied Productivity Ratios'!$C57)/SUMIFS('MoodysData(Raw)'!S$2:S$180,'MoodysData(Raw)'!$B$2:$B$180,"=EMP",'MoodysData(Raw)'!$D$2:$D$180,"="&amp;'Implied Productivity Ratios'!$C57)</f>
        <v>80.968069027295087</v>
      </c>
      <c r="Q57">
        <f>SUMIFS('MoodysData(Raw)'!T$2:T$180,'MoodysData(Raw)'!$B$2:$B$180,"=GDP",'MoodysData(Raw)'!$D$2:$D$180,"="&amp;'Implied Productivity Ratios'!$C57)/SUMIFS('MoodysData(Raw)'!T$2:T$180,'MoodysData(Raw)'!$B$2:$B$180,"=EMP",'MoodysData(Raw)'!$D$2:$D$180,"="&amp;'Implied Productivity Ratios'!$C57)</f>
        <v>82.776312726133284</v>
      </c>
      <c r="R57">
        <f>SUMIFS('MoodysData(Raw)'!U$2:U$180,'MoodysData(Raw)'!$B$2:$B$180,"=GDP",'MoodysData(Raw)'!$D$2:$D$180,"="&amp;'Implied Productivity Ratios'!$C57)/SUMIFS('MoodysData(Raw)'!U$2:U$180,'MoodysData(Raw)'!$B$2:$B$180,"=EMP",'MoodysData(Raw)'!$D$2:$D$180,"="&amp;'Implied Productivity Ratios'!$C57)</f>
        <v>76.696284744764455</v>
      </c>
      <c r="S57">
        <f>SUMIFS('MoodysData(Raw)'!V$2:V$180,'MoodysData(Raw)'!$B$2:$B$180,"=GDP",'MoodysData(Raw)'!$D$2:$D$180,"="&amp;'Implied Productivity Ratios'!$C57)/SUMIFS('MoodysData(Raw)'!V$2:V$180,'MoodysData(Raw)'!$B$2:$B$180,"=EMP",'MoodysData(Raw)'!$D$2:$D$180,"="&amp;'Implied Productivity Ratios'!$C57)</f>
        <v>68.306912778582344</v>
      </c>
      <c r="T57">
        <f>SUMIFS('MoodysData(Raw)'!W$2:W$180,'MoodysData(Raw)'!$B$2:$B$180,"=GDP",'MoodysData(Raw)'!$D$2:$D$180,"="&amp;'Implied Productivity Ratios'!$C57)/SUMIFS('MoodysData(Raw)'!W$2:W$180,'MoodysData(Raw)'!$B$2:$B$180,"=EMP",'MoodysData(Raw)'!$D$2:$D$180,"="&amp;'Implied Productivity Ratios'!$C57)</f>
        <v>69.288461304082873</v>
      </c>
      <c r="U57">
        <f>SUMIFS('MoodysData(Raw)'!X$2:X$180,'MoodysData(Raw)'!$B$2:$B$180,"=GDP",'MoodysData(Raw)'!$D$2:$D$180,"="&amp;'Implied Productivity Ratios'!$C57)/SUMIFS('MoodysData(Raw)'!X$2:X$180,'MoodysData(Raw)'!$B$2:$B$180,"=EMP",'MoodysData(Raw)'!$D$2:$D$180,"="&amp;'Implied Productivity Ratios'!$C57)</f>
        <v>74.82191373209065</v>
      </c>
      <c r="V57">
        <f>SUMIFS('MoodysData(Raw)'!Y$2:Y$180,'MoodysData(Raw)'!$B$2:$B$180,"=GDP",'MoodysData(Raw)'!$D$2:$D$180,"="&amp;'Implied Productivity Ratios'!$C57)/SUMIFS('MoodysData(Raw)'!Y$2:Y$180,'MoodysData(Raw)'!$B$2:$B$180,"=EMP",'MoodysData(Raw)'!$D$2:$D$180,"="&amp;'Implied Productivity Ratios'!$C57)</f>
        <v>67.723759687638918</v>
      </c>
      <c r="W57">
        <f>SUMIFS('MoodysData(Raw)'!Z$2:Z$180,'MoodysData(Raw)'!$B$2:$B$180,"=GDP",'MoodysData(Raw)'!$D$2:$D$180,"="&amp;'Implied Productivity Ratios'!$C57)/SUMIFS('MoodysData(Raw)'!Z$2:Z$180,'MoodysData(Raw)'!$B$2:$B$180,"=EMP",'MoodysData(Raw)'!$D$2:$D$180,"="&amp;'Implied Productivity Ratios'!$C57)</f>
        <v>58.5900639572302</v>
      </c>
      <c r="X57">
        <f>SUMIFS('MoodysData(Raw)'!AA$2:AA$180,'MoodysData(Raw)'!$B$2:$B$180,"=GDP",'MoodysData(Raw)'!$D$2:$D$180,"="&amp;'Implied Productivity Ratios'!$C57)/SUMIFS('MoodysData(Raw)'!AA$2:AA$180,'MoodysData(Raw)'!$B$2:$B$180,"=EMP",'MoodysData(Raw)'!$D$2:$D$180,"="&amp;'Implied Productivity Ratios'!$C57)</f>
        <v>47.42294024373669</v>
      </c>
      <c r="Y57">
        <f>SUMIFS('MoodysData(Raw)'!AB$2:AB$180,'MoodysData(Raw)'!$B$2:$B$180,"=GDP",'MoodysData(Raw)'!$D$2:$D$180,"="&amp;'Implied Productivity Ratios'!$C57)/SUMIFS('MoodysData(Raw)'!AB$2:AB$180,'MoodysData(Raw)'!$B$2:$B$180,"=EMP",'MoodysData(Raw)'!$D$2:$D$180,"="&amp;'Implied Productivity Ratios'!$C57)</f>
        <v>44.25937651218247</v>
      </c>
      <c r="Z57">
        <f>SUMIFS('MoodysData(Raw)'!AC$2:AC$180,'MoodysData(Raw)'!$B$2:$B$180,"=GDP",'MoodysData(Raw)'!$D$2:$D$180,"="&amp;'Implied Productivity Ratios'!$C57)/SUMIFS('MoodysData(Raw)'!AC$2:AC$180,'MoodysData(Raw)'!$B$2:$B$180,"=EMP",'MoodysData(Raw)'!$D$2:$D$180,"="&amp;'Implied Productivity Ratios'!$C57)</f>
        <v>41.427239794941976</v>
      </c>
      <c r="AA57">
        <f>SUMIFS('MoodysData(Raw)'!AD$2:AD$180,'MoodysData(Raw)'!$B$2:$B$180,"=GDP",'MoodysData(Raw)'!$D$2:$D$180,"="&amp;'Implied Productivity Ratios'!$C57)/SUMIFS('MoodysData(Raw)'!AD$2:AD$180,'MoodysData(Raw)'!$B$2:$B$180,"=EMP",'MoodysData(Raw)'!$D$2:$D$180,"="&amp;'Implied Productivity Ratios'!$C57)</f>
        <v>39.140415705913291</v>
      </c>
      <c r="AB57">
        <f>SUMIFS('MoodysData(Raw)'!AE$2:AE$180,'MoodysData(Raw)'!$B$2:$B$180,"=GDP",'MoodysData(Raw)'!$D$2:$D$180,"="&amp;'Implied Productivity Ratios'!$C57)/SUMIFS('MoodysData(Raw)'!AE$2:AE$180,'MoodysData(Raw)'!$B$2:$B$180,"=EMP",'MoodysData(Raw)'!$D$2:$D$180,"="&amp;'Implied Productivity Ratios'!$C57)</f>
        <v>37.251275988513079</v>
      </c>
      <c r="AC57">
        <f>SUMIFS('MoodysData(Raw)'!AF$2:AF$180,'MoodysData(Raw)'!$B$2:$B$180,"=GDP",'MoodysData(Raw)'!$D$2:$D$180,"="&amp;'Implied Productivity Ratios'!$C57)/SUMIFS('MoodysData(Raw)'!AF$2:AF$180,'MoodysData(Raw)'!$B$2:$B$180,"=EMP",'MoodysData(Raw)'!$D$2:$D$180,"="&amp;'Implied Productivity Ratios'!$C57)</f>
        <v>35.614422926716117</v>
      </c>
      <c r="AD57">
        <f>SUMIFS('MoodysData(Raw)'!AG$2:AG$180,'MoodysData(Raw)'!$B$2:$B$180,"=GDP",'MoodysData(Raw)'!$D$2:$D$180,"="&amp;'Implied Productivity Ratios'!$C57)/SUMIFS('MoodysData(Raw)'!AG$2:AG$180,'MoodysData(Raw)'!$B$2:$B$180,"=EMP",'MoodysData(Raw)'!$D$2:$D$180,"="&amp;'Implied Productivity Ratios'!$C57)</f>
        <v>34.15537478992637</v>
      </c>
      <c r="AE57">
        <f>SUMIFS('MoodysData(Raw)'!AH$2:AH$180,'MoodysData(Raw)'!$B$2:$B$180,"=GDP",'MoodysData(Raw)'!$D$2:$D$180,"="&amp;'Implied Productivity Ratios'!$C57)/SUMIFS('MoodysData(Raw)'!AH$2:AH$180,'MoodysData(Raw)'!$B$2:$B$180,"=EMP",'MoodysData(Raw)'!$D$2:$D$180,"="&amp;'Implied Productivity Ratios'!$C57)</f>
        <v>32.779634292456564</v>
      </c>
      <c r="AF57">
        <f>SUMIFS('MoodysData(Raw)'!AI$2:AI$180,'MoodysData(Raw)'!$B$2:$B$180,"=GDP",'MoodysData(Raw)'!$D$2:$D$180,"="&amp;'Implied Productivity Ratios'!$C57)/SUMIFS('MoodysData(Raw)'!AI$2:AI$180,'MoodysData(Raw)'!$B$2:$B$180,"=EMP",'MoodysData(Raw)'!$D$2:$D$180,"="&amp;'Implied Productivity Ratios'!$C57)</f>
        <v>31.525012028071231</v>
      </c>
      <c r="AG57">
        <f>SUMIFS('MoodysData(Raw)'!AJ$2:AJ$180,'MoodysData(Raw)'!$B$2:$B$180,"=GDP",'MoodysData(Raw)'!$D$2:$D$180,"="&amp;'Implied Productivity Ratios'!$C57)/SUMIFS('MoodysData(Raw)'!AJ$2:AJ$180,'MoodysData(Raw)'!$B$2:$B$180,"=EMP",'MoodysData(Raw)'!$D$2:$D$180,"="&amp;'Implied Productivity Ratios'!$C57)</f>
        <v>30.379417121099578</v>
      </c>
      <c r="AH57">
        <f>SUMIFS('MoodysData(Raw)'!AK$2:AK$180,'MoodysData(Raw)'!$B$2:$B$180,"=GDP",'MoodysData(Raw)'!$D$2:$D$180,"="&amp;'Implied Productivity Ratios'!$C57)/SUMIFS('MoodysData(Raw)'!AK$2:AK$180,'MoodysData(Raw)'!$B$2:$B$180,"=EMP",'MoodysData(Raw)'!$D$2:$D$180,"="&amp;'Implied Productivity Ratios'!$C57)</f>
        <v>29.307512167841946</v>
      </c>
      <c r="AI57">
        <f>SUMIFS('MoodysData(Raw)'!AL$2:AL$180,'MoodysData(Raw)'!$B$2:$B$180,"=GDP",'MoodysData(Raw)'!$D$2:$D$180,"="&amp;'Implied Productivity Ratios'!$C57)/SUMIFS('MoodysData(Raw)'!AL$2:AL$180,'MoodysData(Raw)'!$B$2:$B$180,"=EMP",'MoodysData(Raw)'!$D$2:$D$180,"="&amp;'Implied Productivity Ratios'!$C57)</f>
        <v>28.313601706104258</v>
      </c>
      <c r="AJ57">
        <f>SUMIFS('MoodysData(Raw)'!AM$2:AM$180,'MoodysData(Raw)'!$B$2:$B$180,"=GDP",'MoodysData(Raw)'!$D$2:$D$180,"="&amp;'Implied Productivity Ratios'!$C57)/SUMIFS('MoodysData(Raw)'!AM$2:AM$180,'MoodysData(Raw)'!$B$2:$B$180,"=EMP",'MoodysData(Raw)'!$D$2:$D$180,"="&amp;'Implied Productivity Ratios'!$C57)</f>
        <v>27.448077886728846</v>
      </c>
      <c r="AK57">
        <f>SUMIFS('MoodysData(Raw)'!AN$2:AN$180,'MoodysData(Raw)'!$B$2:$B$180,"=GDP",'MoodysData(Raw)'!$D$2:$D$180,"="&amp;'Implied Productivity Ratios'!$C57)/SUMIFS('MoodysData(Raw)'!AN$2:AN$180,'MoodysData(Raw)'!$B$2:$B$180,"=EMP",'MoodysData(Raw)'!$D$2:$D$180,"="&amp;'Implied Productivity Ratios'!$C57)</f>
        <v>26.691007721651015</v>
      </c>
      <c r="AL57">
        <f>SUMIFS('MoodysData(Raw)'!AO$2:AO$180,'MoodysData(Raw)'!$B$2:$B$180,"=GDP",'MoodysData(Raw)'!$D$2:$D$180,"="&amp;'Implied Productivity Ratios'!$C57)/SUMIFS('MoodysData(Raw)'!AO$2:AO$180,'MoodysData(Raw)'!$B$2:$B$180,"=EMP",'MoodysData(Raw)'!$D$2:$D$180,"="&amp;'Implied Productivity Ratios'!$C57)</f>
        <v>26.000884048382062</v>
      </c>
      <c r="AM57">
        <f>SUMIFS('MoodysData(Raw)'!AP$2:AP$180,'MoodysData(Raw)'!$B$2:$B$180,"=GDP",'MoodysData(Raw)'!$D$2:$D$180,"="&amp;'Implied Productivity Ratios'!$C57)/SUMIFS('MoodysData(Raw)'!AP$2:AP$180,'MoodysData(Raw)'!$B$2:$B$180,"=EMP",'MoodysData(Raw)'!$D$2:$D$180,"="&amp;'Implied Productivity Ratios'!$C57)</f>
        <v>25.392587179444472</v>
      </c>
      <c r="AN57">
        <f>SUMIFS('MoodysData(Raw)'!AQ$2:AQ$180,'MoodysData(Raw)'!$B$2:$B$180,"=GDP",'MoodysData(Raw)'!$D$2:$D$180,"="&amp;'Implied Productivity Ratios'!$C57)/SUMIFS('MoodysData(Raw)'!AQ$2:AQ$180,'MoodysData(Raw)'!$B$2:$B$180,"=EMP",'MoodysData(Raw)'!$D$2:$D$180,"="&amp;'Implied Productivity Ratios'!$C57)</f>
        <v>24.860606607778017</v>
      </c>
      <c r="AO57">
        <f>SUMIFS('MoodysData(Raw)'!AR$2:AR$180,'MoodysData(Raw)'!$B$2:$B$180,"=GDP",'MoodysData(Raw)'!$D$2:$D$180,"="&amp;'Implied Productivity Ratios'!$C57)/SUMIFS('MoodysData(Raw)'!AR$2:AR$180,'MoodysData(Raw)'!$B$2:$B$180,"=EMP",'MoodysData(Raw)'!$D$2:$D$180,"="&amp;'Implied Productivity Ratios'!$C57)</f>
        <v>24.39125266613943</v>
      </c>
      <c r="AP57">
        <f>SUMIFS('MoodysData(Raw)'!AS$2:AS$180,'MoodysData(Raw)'!$B$2:$B$180,"=GDP",'MoodysData(Raw)'!$D$2:$D$180,"="&amp;'Implied Productivity Ratios'!$C57)/SUMIFS('MoodysData(Raw)'!AS$2:AS$180,'MoodysData(Raw)'!$B$2:$B$180,"=EMP",'MoodysData(Raw)'!$D$2:$D$180,"="&amp;'Implied Productivity Ratios'!$C57)</f>
        <v>23.978577253537331</v>
      </c>
      <c r="AQ57">
        <f>SUMIFS('MoodysData(Raw)'!AT$2:AT$180,'MoodysData(Raw)'!$B$2:$B$180,"=GDP",'MoodysData(Raw)'!$D$2:$D$180,"="&amp;'Implied Productivity Ratios'!$C57)/SUMIFS('MoodysData(Raw)'!AT$2:AT$180,'MoodysData(Raw)'!$B$2:$B$180,"=EMP",'MoodysData(Raw)'!$D$2:$D$180,"="&amp;'Implied Productivity Ratios'!$C57)</f>
        <v>23.619829444808587</v>
      </c>
      <c r="AR57">
        <f>SUMIFS('MoodysData(Raw)'!AU$2:AU$180,'MoodysData(Raw)'!$B$2:$B$180,"=GDP",'MoodysData(Raw)'!$D$2:$D$180,"="&amp;'Implied Productivity Ratios'!$C57)/SUMIFS('MoodysData(Raw)'!AU$2:AU$180,'MoodysData(Raw)'!$B$2:$B$180,"=EMP",'MoodysData(Raw)'!$D$2:$D$180,"="&amp;'Implied Productivity Ratios'!$C57)</f>
        <v>23.306281096203499</v>
      </c>
      <c r="AS57">
        <f>SUMIFS('MoodysData(Raw)'!AV$2:AV$180,'MoodysData(Raw)'!$B$2:$B$180,"=GDP",'MoodysData(Raw)'!$D$2:$D$180,"="&amp;'Implied Productivity Ratios'!$C57)/SUMIFS('MoodysData(Raw)'!AV$2:AV$180,'MoodysData(Raw)'!$B$2:$B$180,"=EMP",'MoodysData(Raw)'!$D$2:$D$180,"="&amp;'Implied Productivity Ratios'!$C57)</f>
        <v>23.040199083731881</v>
      </c>
      <c r="AT57">
        <f>SUMIFS('MoodysData(Raw)'!AW$2:AW$180,'MoodysData(Raw)'!$B$2:$B$180,"=GDP",'MoodysData(Raw)'!$D$2:$D$180,"="&amp;'Implied Productivity Ratios'!$C57)/SUMIFS('MoodysData(Raw)'!AW$2:AW$180,'MoodysData(Raw)'!$B$2:$B$180,"=EMP",'MoodysData(Raw)'!$D$2:$D$180,"="&amp;'Implied Productivity Ratios'!$C57)</f>
        <v>22.824788739921306</v>
      </c>
      <c r="AU57">
        <f>SUMIFS('MoodysData(Raw)'!AX$2:AX$180,'MoodysData(Raw)'!$B$2:$B$180,"=GDP",'MoodysData(Raw)'!$D$2:$D$180,"="&amp;'Implied Productivity Ratios'!$C57)/SUMIFS('MoodysData(Raw)'!AX$2:AX$180,'MoodysData(Raw)'!$B$2:$B$180,"=EMP",'MoodysData(Raw)'!$D$2:$D$180,"="&amp;'Implied Productivity Ratios'!$C57)</f>
        <v>22.680615757478908</v>
      </c>
      <c r="AV57">
        <f>SUMIFS('MoodysData(Raw)'!AY$2:AY$180,'MoodysData(Raw)'!$B$2:$B$180,"=GDP",'MoodysData(Raw)'!$D$2:$D$180,"="&amp;'Implied Productivity Ratios'!$C57)/SUMIFS('MoodysData(Raw)'!AY$2:AY$180,'MoodysData(Raw)'!$B$2:$B$180,"=EMP",'MoodysData(Raw)'!$D$2:$D$180,"="&amp;'Implied Productivity Ratios'!$C57)</f>
        <v>22.601943114054713</v>
      </c>
      <c r="AW57">
        <f>SUMIFS('MoodysData(Raw)'!AZ$2:AZ$180,'MoodysData(Raw)'!$B$2:$B$180,"=GDP",'MoodysData(Raw)'!$D$2:$D$180,"="&amp;'Implied Productivity Ratios'!$C57)/SUMIFS('MoodysData(Raw)'!AZ$2:AZ$180,'MoodysData(Raw)'!$B$2:$B$180,"=EMP",'MoodysData(Raw)'!$D$2:$D$180,"="&amp;'Implied Productivity Ratios'!$C57)</f>
        <v>22.580347720854117</v>
      </c>
      <c r="AX57">
        <f>SUMIFS('MoodysData(Raw)'!BA$2:BA$180,'MoodysData(Raw)'!$B$2:$B$180,"=GDP",'MoodysData(Raw)'!$D$2:$D$180,"="&amp;'Implied Productivity Ratios'!$C57)/SUMIFS('MoodysData(Raw)'!BA$2:BA$180,'MoodysData(Raw)'!$B$2:$B$180,"=EMP",'MoodysData(Raw)'!$D$2:$D$180,"="&amp;'Implied Productivity Ratios'!$C57)</f>
        <v>22.613075097300669</v>
      </c>
      <c r="AY57">
        <f>SUMIFS('MoodysData(Raw)'!BB$2:BB$180,'MoodysData(Raw)'!$B$2:$B$180,"=GDP",'MoodysData(Raw)'!$D$2:$D$180,"="&amp;'Implied Productivity Ratios'!$C57)/SUMIFS('MoodysData(Raw)'!BB$2:BB$180,'MoodysData(Raw)'!$B$2:$B$180,"=EMP",'MoodysData(Raw)'!$D$2:$D$180,"="&amp;'Implied Productivity Ratios'!$C57)</f>
        <v>22.70366932771919</v>
      </c>
      <c r="AZ57">
        <f>SUMIFS('MoodysData(Raw)'!BC$2:BC$180,'MoodysData(Raw)'!$B$2:$B$180,"=GDP",'MoodysData(Raw)'!$D$2:$D$180,"="&amp;'Implied Productivity Ratios'!$C57)/SUMIFS('MoodysData(Raw)'!BC$2:BC$180,'MoodysData(Raw)'!$B$2:$B$180,"=EMP",'MoodysData(Raw)'!$D$2:$D$180,"="&amp;'Implied Productivity Ratios'!$C57)</f>
        <v>22.864677841805438</v>
      </c>
      <c r="BA57">
        <f>SUMIFS('MoodysData(Raw)'!BD$2:BD$180,'MoodysData(Raw)'!$B$2:$B$180,"=GDP",'MoodysData(Raw)'!$D$2:$D$180,"="&amp;'Implied Productivity Ratios'!$C57)/SUMIFS('MoodysData(Raw)'!BD$2:BD$180,'MoodysData(Raw)'!$B$2:$B$180,"=EMP",'MoodysData(Raw)'!$D$2:$D$180,"="&amp;'Implied Productivity Ratios'!$C57)</f>
        <v>23.091994577582085</v>
      </c>
      <c r="BB57">
        <f>SUMIFS('MoodysData(Raw)'!BE$2:BE$180,'MoodysData(Raw)'!$B$2:$B$180,"=GDP",'MoodysData(Raw)'!$D$2:$D$180,"="&amp;'Implied Productivity Ratios'!$C57)/SUMIFS('MoodysData(Raw)'!BE$2:BE$180,'MoodysData(Raw)'!$B$2:$B$180,"=EMP",'MoodysData(Raw)'!$D$2:$D$180,"="&amp;'Implied Productivity Ratios'!$C57)</f>
        <v>23.389493784638734</v>
      </c>
      <c r="BC57">
        <f>SUMIFS('MoodysData(Raw)'!BF$2:BF$180,'MoodysData(Raw)'!$B$2:$B$180,"=GDP",'MoodysData(Raw)'!$D$2:$D$180,"="&amp;'Implied Productivity Ratios'!$C57)/SUMIFS('MoodysData(Raw)'!BF$2:BF$180,'MoodysData(Raw)'!$B$2:$B$180,"=EMP",'MoodysData(Raw)'!$D$2:$D$180,"="&amp;'Implied Productivity Ratios'!$C57)</f>
        <v>23.751799342543499</v>
      </c>
      <c r="BD57" s="5">
        <f t="shared" ref="BD57:BH57" si="51">BC57+($BC57-$AX57)/5</f>
        <v>23.979544191592066</v>
      </c>
      <c r="BE57" s="5">
        <f t="shared" si="51"/>
        <v>24.207289040640632</v>
      </c>
      <c r="BF57" s="5">
        <f t="shared" si="51"/>
        <v>24.435033889689198</v>
      </c>
      <c r="BG57" s="5">
        <f t="shared" si="51"/>
        <v>24.662778738737764</v>
      </c>
      <c r="BH57" s="5">
        <f t="shared" si="51"/>
        <v>24.89052358778633</v>
      </c>
    </row>
    <row r="58" spans="3:60">
      <c r="C58">
        <v>493</v>
      </c>
      <c r="D58" t="s">
        <v>203</v>
      </c>
      <c r="E58">
        <f>SUMIFS('MoodysData(Raw)'!H$2:H$180,'MoodysData(Raw)'!$B$2:$B$180,"=GDP",'MoodysData(Raw)'!$D$2:$D$180,"="&amp;'Implied Productivity Ratios'!$C58)/SUMIFS('MoodysData(Raw)'!H$2:H$180,'MoodysData(Raw)'!$B$2:$B$180,"=EMP",'MoodysData(Raw)'!$D$2:$D$180,"="&amp;'Implied Productivity Ratios'!$C58)</f>
        <v>59.836159280877737</v>
      </c>
      <c r="F58">
        <f>SUMIFS('MoodysData(Raw)'!I$2:I$180,'MoodysData(Raw)'!$B$2:$B$180,"=GDP",'MoodysData(Raw)'!$D$2:$D$180,"="&amp;'Implied Productivity Ratios'!$C58)/SUMIFS('MoodysData(Raw)'!I$2:I$180,'MoodysData(Raw)'!$B$2:$B$180,"=EMP",'MoodysData(Raw)'!$D$2:$D$180,"="&amp;'Implied Productivity Ratios'!$C58)</f>
        <v>60.329015150235612</v>
      </c>
      <c r="G58">
        <f>SUMIFS('MoodysData(Raw)'!J$2:J$180,'MoodysData(Raw)'!$B$2:$B$180,"=GDP",'MoodysData(Raw)'!$D$2:$D$180,"="&amp;'Implied Productivity Ratios'!$C58)/SUMIFS('MoodysData(Raw)'!J$2:J$180,'MoodysData(Raw)'!$B$2:$B$180,"=EMP",'MoodysData(Raw)'!$D$2:$D$180,"="&amp;'Implied Productivity Ratios'!$C58)</f>
        <v>54.556297115729784</v>
      </c>
      <c r="H58">
        <f>SUMIFS('MoodysData(Raw)'!K$2:K$180,'MoodysData(Raw)'!$B$2:$B$180,"=GDP",'MoodysData(Raw)'!$D$2:$D$180,"="&amp;'Implied Productivity Ratios'!$C58)/SUMIFS('MoodysData(Raw)'!K$2:K$180,'MoodysData(Raw)'!$B$2:$B$180,"=EMP",'MoodysData(Raw)'!$D$2:$D$180,"="&amp;'Implied Productivity Ratios'!$C58)</f>
        <v>57.328446149230956</v>
      </c>
      <c r="I58">
        <f>SUMIFS('MoodysData(Raw)'!L$2:L$180,'MoodysData(Raw)'!$B$2:$B$180,"=GDP",'MoodysData(Raw)'!$D$2:$D$180,"="&amp;'Implied Productivity Ratios'!$C58)/SUMIFS('MoodysData(Raw)'!L$2:L$180,'MoodysData(Raw)'!$B$2:$B$180,"=EMP",'MoodysData(Raw)'!$D$2:$D$180,"="&amp;'Implied Productivity Ratios'!$C58)</f>
        <v>59.201514348266485</v>
      </c>
      <c r="J58">
        <f>SUMIFS('MoodysData(Raw)'!M$2:M$180,'MoodysData(Raw)'!$B$2:$B$180,"=GDP",'MoodysData(Raw)'!$D$2:$D$180,"="&amp;'Implied Productivity Ratios'!$C58)/SUMIFS('MoodysData(Raw)'!M$2:M$180,'MoodysData(Raw)'!$B$2:$B$180,"=EMP",'MoodysData(Raw)'!$D$2:$D$180,"="&amp;'Implied Productivity Ratios'!$C58)</f>
        <v>62.42730416293125</v>
      </c>
      <c r="K58">
        <f>SUMIFS('MoodysData(Raw)'!N$2:N$180,'MoodysData(Raw)'!$B$2:$B$180,"=GDP",'MoodysData(Raw)'!$D$2:$D$180,"="&amp;'Implied Productivity Ratios'!$C58)/SUMIFS('MoodysData(Raw)'!N$2:N$180,'MoodysData(Raw)'!$B$2:$B$180,"=EMP",'MoodysData(Raw)'!$D$2:$D$180,"="&amp;'Implied Productivity Ratios'!$C58)</f>
        <v>63.712934943105211</v>
      </c>
      <c r="L58">
        <f>SUMIFS('MoodysData(Raw)'!O$2:O$180,'MoodysData(Raw)'!$B$2:$B$180,"=GDP",'MoodysData(Raw)'!$D$2:$D$180,"="&amp;'Implied Productivity Ratios'!$C58)/SUMIFS('MoodysData(Raw)'!O$2:O$180,'MoodysData(Raw)'!$B$2:$B$180,"=EMP",'MoodysData(Raw)'!$D$2:$D$180,"="&amp;'Implied Productivity Ratios'!$C58)</f>
        <v>67.057196924930196</v>
      </c>
      <c r="M58">
        <f>SUMIFS('MoodysData(Raw)'!P$2:P$180,'MoodysData(Raw)'!$B$2:$B$180,"=GDP",'MoodysData(Raw)'!$D$2:$D$180,"="&amp;'Implied Productivity Ratios'!$C58)/SUMIFS('MoodysData(Raw)'!P$2:P$180,'MoodysData(Raw)'!$B$2:$B$180,"=EMP",'MoodysData(Raw)'!$D$2:$D$180,"="&amp;'Implied Productivity Ratios'!$C58)</f>
        <v>67.342250662151017</v>
      </c>
      <c r="N58">
        <f>SUMIFS('MoodysData(Raw)'!Q$2:Q$180,'MoodysData(Raw)'!$B$2:$B$180,"=GDP",'MoodysData(Raw)'!$D$2:$D$180,"="&amp;'Implied Productivity Ratios'!$C58)/SUMIFS('MoodysData(Raw)'!Q$2:Q$180,'MoodysData(Raw)'!$B$2:$B$180,"=EMP",'MoodysData(Raw)'!$D$2:$D$180,"="&amp;'Implied Productivity Ratios'!$C58)</f>
        <v>65.64698931084493</v>
      </c>
      <c r="O58">
        <f>SUMIFS('MoodysData(Raw)'!R$2:R$180,'MoodysData(Raw)'!$B$2:$B$180,"=GDP",'MoodysData(Raw)'!$D$2:$D$180,"="&amp;'Implied Productivity Ratios'!$C58)/SUMIFS('MoodysData(Raw)'!R$2:R$180,'MoodysData(Raw)'!$B$2:$B$180,"=EMP",'MoodysData(Raw)'!$D$2:$D$180,"="&amp;'Implied Productivity Ratios'!$C58)</f>
        <v>60.852664100486223</v>
      </c>
      <c r="P58">
        <f>SUMIFS('MoodysData(Raw)'!S$2:S$180,'MoodysData(Raw)'!$B$2:$B$180,"=GDP",'MoodysData(Raw)'!$D$2:$D$180,"="&amp;'Implied Productivity Ratios'!$C58)/SUMIFS('MoodysData(Raw)'!S$2:S$180,'MoodysData(Raw)'!$B$2:$B$180,"=EMP",'MoodysData(Raw)'!$D$2:$D$180,"="&amp;'Implied Productivity Ratios'!$C58)</f>
        <v>58.52582342702437</v>
      </c>
      <c r="Q58">
        <f>SUMIFS('MoodysData(Raw)'!T$2:T$180,'MoodysData(Raw)'!$B$2:$B$180,"=GDP",'MoodysData(Raw)'!$D$2:$D$180,"="&amp;'Implied Productivity Ratios'!$C58)/SUMIFS('MoodysData(Raw)'!T$2:T$180,'MoodysData(Raw)'!$B$2:$B$180,"=EMP",'MoodysData(Raw)'!$D$2:$D$180,"="&amp;'Implied Productivity Ratios'!$C58)</f>
        <v>55.827678940079878</v>
      </c>
      <c r="R58">
        <f>SUMIFS('MoodysData(Raw)'!U$2:U$180,'MoodysData(Raw)'!$B$2:$B$180,"=GDP",'MoodysData(Raw)'!$D$2:$D$180,"="&amp;'Implied Productivity Ratios'!$C58)/SUMIFS('MoodysData(Raw)'!U$2:U$180,'MoodysData(Raw)'!$B$2:$B$180,"=EMP",'MoodysData(Raw)'!$D$2:$D$180,"="&amp;'Implied Productivity Ratios'!$C58)</f>
        <v>56.595167402165139</v>
      </c>
      <c r="S58">
        <f>SUMIFS('MoodysData(Raw)'!V$2:V$180,'MoodysData(Raw)'!$B$2:$B$180,"=GDP",'MoodysData(Raw)'!$D$2:$D$180,"="&amp;'Implied Productivity Ratios'!$C58)/SUMIFS('MoodysData(Raw)'!V$2:V$180,'MoodysData(Raw)'!$B$2:$B$180,"=EMP",'MoodysData(Raw)'!$D$2:$D$180,"="&amp;'Implied Productivity Ratios'!$C58)</f>
        <v>55.524213015953954</v>
      </c>
      <c r="T58">
        <f>SUMIFS('MoodysData(Raw)'!W$2:W$180,'MoodysData(Raw)'!$B$2:$B$180,"=GDP",'MoodysData(Raw)'!$D$2:$D$180,"="&amp;'Implied Productivity Ratios'!$C58)/SUMIFS('MoodysData(Raw)'!W$2:W$180,'MoodysData(Raw)'!$B$2:$B$180,"=EMP",'MoodysData(Raw)'!$D$2:$D$180,"="&amp;'Implied Productivity Ratios'!$C58)</f>
        <v>52.475536779573162</v>
      </c>
      <c r="U58">
        <f>SUMIFS('MoodysData(Raw)'!X$2:X$180,'MoodysData(Raw)'!$B$2:$B$180,"=GDP",'MoodysData(Raw)'!$D$2:$D$180,"="&amp;'Implied Productivity Ratios'!$C58)/SUMIFS('MoodysData(Raw)'!X$2:X$180,'MoodysData(Raw)'!$B$2:$B$180,"=EMP",'MoodysData(Raw)'!$D$2:$D$180,"="&amp;'Implied Productivity Ratios'!$C58)</f>
        <v>54.09710032756071</v>
      </c>
      <c r="V58">
        <f>SUMIFS('MoodysData(Raw)'!Y$2:Y$180,'MoodysData(Raw)'!$B$2:$B$180,"=GDP",'MoodysData(Raw)'!$D$2:$D$180,"="&amp;'Implied Productivity Ratios'!$C58)/SUMIFS('MoodysData(Raw)'!Y$2:Y$180,'MoodysData(Raw)'!$B$2:$B$180,"=EMP",'MoodysData(Raw)'!$D$2:$D$180,"="&amp;'Implied Productivity Ratios'!$C58)</f>
        <v>48.588520857611023</v>
      </c>
      <c r="W58">
        <f>SUMIFS('MoodysData(Raw)'!Z$2:Z$180,'MoodysData(Raw)'!$B$2:$B$180,"=GDP",'MoodysData(Raw)'!$D$2:$D$180,"="&amp;'Implied Productivity Ratios'!$C58)/SUMIFS('MoodysData(Raw)'!Z$2:Z$180,'MoodysData(Raw)'!$B$2:$B$180,"=EMP",'MoodysData(Raw)'!$D$2:$D$180,"="&amp;'Implied Productivity Ratios'!$C58)</f>
        <v>43.561230467966254</v>
      </c>
      <c r="X58">
        <f>SUMIFS('MoodysData(Raw)'!AA$2:AA$180,'MoodysData(Raw)'!$B$2:$B$180,"=GDP",'MoodysData(Raw)'!$D$2:$D$180,"="&amp;'Implied Productivity Ratios'!$C58)/SUMIFS('MoodysData(Raw)'!AA$2:AA$180,'MoodysData(Raw)'!$B$2:$B$180,"=EMP",'MoodysData(Raw)'!$D$2:$D$180,"="&amp;'Implied Productivity Ratios'!$C58)</f>
        <v>42.822791141636763</v>
      </c>
      <c r="Y58">
        <f>SUMIFS('MoodysData(Raw)'!AB$2:AB$180,'MoodysData(Raw)'!$B$2:$B$180,"=GDP",'MoodysData(Raw)'!$D$2:$D$180,"="&amp;'Implied Productivity Ratios'!$C58)/SUMIFS('MoodysData(Raw)'!AB$2:AB$180,'MoodysData(Raw)'!$B$2:$B$180,"=EMP",'MoodysData(Raw)'!$D$2:$D$180,"="&amp;'Implied Productivity Ratios'!$C58)</f>
        <v>42.329056752975532</v>
      </c>
      <c r="Z58">
        <f>SUMIFS('MoodysData(Raw)'!AC$2:AC$180,'MoodysData(Raw)'!$B$2:$B$180,"=GDP",'MoodysData(Raw)'!$D$2:$D$180,"="&amp;'Implied Productivity Ratios'!$C58)/SUMIFS('MoodysData(Raw)'!AC$2:AC$180,'MoodysData(Raw)'!$B$2:$B$180,"=EMP",'MoodysData(Raw)'!$D$2:$D$180,"="&amp;'Implied Productivity Ratios'!$C58)</f>
        <v>42.037490332494478</v>
      </c>
      <c r="AA58">
        <f>SUMIFS('MoodysData(Raw)'!AD$2:AD$180,'MoodysData(Raw)'!$B$2:$B$180,"=GDP",'MoodysData(Raw)'!$D$2:$D$180,"="&amp;'Implied Productivity Ratios'!$C58)/SUMIFS('MoodysData(Raw)'!AD$2:AD$180,'MoodysData(Raw)'!$B$2:$B$180,"=EMP",'MoodysData(Raw)'!$D$2:$D$180,"="&amp;'Implied Productivity Ratios'!$C58)</f>
        <v>42.051302114356893</v>
      </c>
      <c r="AB58">
        <f>SUMIFS('MoodysData(Raw)'!AE$2:AE$180,'MoodysData(Raw)'!$B$2:$B$180,"=GDP",'MoodysData(Raw)'!$D$2:$D$180,"="&amp;'Implied Productivity Ratios'!$C58)/SUMIFS('MoodysData(Raw)'!AE$2:AE$180,'MoodysData(Raw)'!$B$2:$B$180,"=EMP",'MoodysData(Raw)'!$D$2:$D$180,"="&amp;'Implied Productivity Ratios'!$C58)</f>
        <v>42.283439142953213</v>
      </c>
      <c r="AC58">
        <f>SUMIFS('MoodysData(Raw)'!AF$2:AF$180,'MoodysData(Raw)'!$B$2:$B$180,"=GDP",'MoodysData(Raw)'!$D$2:$D$180,"="&amp;'Implied Productivity Ratios'!$C58)/SUMIFS('MoodysData(Raw)'!AF$2:AF$180,'MoodysData(Raw)'!$B$2:$B$180,"=EMP",'MoodysData(Raw)'!$D$2:$D$180,"="&amp;'Implied Productivity Ratios'!$C58)</f>
        <v>42.625907717771867</v>
      </c>
      <c r="AD58">
        <f>SUMIFS('MoodysData(Raw)'!AG$2:AG$180,'MoodysData(Raw)'!$B$2:$B$180,"=GDP",'MoodysData(Raw)'!$D$2:$D$180,"="&amp;'Implied Productivity Ratios'!$C58)/SUMIFS('MoodysData(Raw)'!AG$2:AG$180,'MoodysData(Raw)'!$B$2:$B$180,"=EMP",'MoodysData(Raw)'!$D$2:$D$180,"="&amp;'Implied Productivity Ratios'!$C58)</f>
        <v>43.02172377207971</v>
      </c>
      <c r="AE58">
        <f>SUMIFS('MoodysData(Raw)'!AH$2:AH$180,'MoodysData(Raw)'!$B$2:$B$180,"=GDP",'MoodysData(Raw)'!$D$2:$D$180,"="&amp;'Implied Productivity Ratios'!$C58)/SUMIFS('MoodysData(Raw)'!AH$2:AH$180,'MoodysData(Raw)'!$B$2:$B$180,"=EMP",'MoodysData(Raw)'!$D$2:$D$180,"="&amp;'Implied Productivity Ratios'!$C58)</f>
        <v>43.372446107659592</v>
      </c>
      <c r="AF58">
        <f>SUMIFS('MoodysData(Raw)'!AI$2:AI$180,'MoodysData(Raw)'!$B$2:$B$180,"=GDP",'MoodysData(Raw)'!$D$2:$D$180,"="&amp;'Implied Productivity Ratios'!$C58)/SUMIFS('MoodysData(Raw)'!AI$2:AI$180,'MoodysData(Raw)'!$B$2:$B$180,"=EMP",'MoodysData(Raw)'!$D$2:$D$180,"="&amp;'Implied Productivity Ratios'!$C58)</f>
        <v>43.734169449007105</v>
      </c>
      <c r="AG58">
        <f>SUMIFS('MoodysData(Raw)'!AJ$2:AJ$180,'MoodysData(Raw)'!$B$2:$B$180,"=GDP",'MoodysData(Raw)'!$D$2:$D$180,"="&amp;'Implied Productivity Ratios'!$C58)/SUMIFS('MoodysData(Raw)'!AJ$2:AJ$180,'MoodysData(Raw)'!$B$2:$B$180,"=EMP",'MoodysData(Raw)'!$D$2:$D$180,"="&amp;'Implied Productivity Ratios'!$C58)</f>
        <v>44.102757664108751</v>
      </c>
      <c r="AH58">
        <f>SUMIFS('MoodysData(Raw)'!AK$2:AK$180,'MoodysData(Raw)'!$B$2:$B$180,"=GDP",'MoodysData(Raw)'!$D$2:$D$180,"="&amp;'Implied Productivity Ratios'!$C58)/SUMIFS('MoodysData(Raw)'!AK$2:AK$180,'MoodysData(Raw)'!$B$2:$B$180,"=EMP",'MoodysData(Raw)'!$D$2:$D$180,"="&amp;'Implied Productivity Ratios'!$C58)</f>
        <v>44.438822406399424</v>
      </c>
      <c r="AI58">
        <f>SUMIFS('MoodysData(Raw)'!AL$2:AL$180,'MoodysData(Raw)'!$B$2:$B$180,"=GDP",'MoodysData(Raw)'!$D$2:$D$180,"="&amp;'Implied Productivity Ratios'!$C58)/SUMIFS('MoodysData(Raw)'!AL$2:AL$180,'MoodysData(Raw)'!$B$2:$B$180,"=EMP",'MoodysData(Raw)'!$D$2:$D$180,"="&amp;'Implied Productivity Ratios'!$C58)</f>
        <v>44.754018324762754</v>
      </c>
      <c r="AJ58">
        <f>SUMIFS('MoodysData(Raw)'!AM$2:AM$180,'MoodysData(Raw)'!$B$2:$B$180,"=GDP",'MoodysData(Raw)'!$D$2:$D$180,"="&amp;'Implied Productivity Ratios'!$C58)/SUMIFS('MoodysData(Raw)'!AM$2:AM$180,'MoodysData(Raw)'!$B$2:$B$180,"=EMP",'MoodysData(Raw)'!$D$2:$D$180,"="&amp;'Implied Productivity Ratios'!$C58)</f>
        <v>45.136226370488785</v>
      </c>
      <c r="AK58">
        <f>SUMIFS('MoodysData(Raw)'!AN$2:AN$180,'MoodysData(Raw)'!$B$2:$B$180,"=GDP",'MoodysData(Raw)'!$D$2:$D$180,"="&amp;'Implied Productivity Ratios'!$C58)/SUMIFS('MoodysData(Raw)'!AN$2:AN$180,'MoodysData(Raw)'!$B$2:$B$180,"=EMP",'MoodysData(Raw)'!$D$2:$D$180,"="&amp;'Implied Productivity Ratios'!$C58)</f>
        <v>45.571026672507877</v>
      </c>
      <c r="AL58">
        <f>SUMIFS('MoodysData(Raw)'!AO$2:AO$180,'MoodysData(Raw)'!$B$2:$B$180,"=GDP",'MoodysData(Raw)'!$D$2:$D$180,"="&amp;'Implied Productivity Ratios'!$C58)/SUMIFS('MoodysData(Raw)'!AO$2:AO$180,'MoodysData(Raw)'!$B$2:$B$180,"=EMP",'MoodysData(Raw)'!$D$2:$D$180,"="&amp;'Implied Productivity Ratios'!$C58)</f>
        <v>46.000787728082635</v>
      </c>
      <c r="AM58">
        <f>SUMIFS('MoodysData(Raw)'!AP$2:AP$180,'MoodysData(Raw)'!$B$2:$B$180,"=GDP",'MoodysData(Raw)'!$D$2:$D$180,"="&amp;'Implied Productivity Ratios'!$C58)/SUMIFS('MoodysData(Raw)'!AP$2:AP$180,'MoodysData(Raw)'!$B$2:$B$180,"=EMP",'MoodysData(Raw)'!$D$2:$D$180,"="&amp;'Implied Productivity Ratios'!$C58)</f>
        <v>46.459355865931443</v>
      </c>
      <c r="AN58">
        <f>SUMIFS('MoodysData(Raw)'!AQ$2:AQ$180,'MoodysData(Raw)'!$B$2:$B$180,"=GDP",'MoodysData(Raw)'!$D$2:$D$180,"="&amp;'Implied Productivity Ratios'!$C58)/SUMIFS('MoodysData(Raw)'!AQ$2:AQ$180,'MoodysData(Raw)'!$B$2:$B$180,"=EMP",'MoodysData(Raw)'!$D$2:$D$180,"="&amp;'Implied Productivity Ratios'!$C58)</f>
        <v>46.945925928104984</v>
      </c>
      <c r="AO58">
        <f>SUMIFS('MoodysData(Raw)'!AR$2:AR$180,'MoodysData(Raw)'!$B$2:$B$180,"=GDP",'MoodysData(Raw)'!$D$2:$D$180,"="&amp;'Implied Productivity Ratios'!$C58)/SUMIFS('MoodysData(Raw)'!AR$2:AR$180,'MoodysData(Raw)'!$B$2:$B$180,"=EMP",'MoodysData(Raw)'!$D$2:$D$180,"="&amp;'Implied Productivity Ratios'!$C58)</f>
        <v>47.443052292083756</v>
      </c>
      <c r="AP58">
        <f>SUMIFS('MoodysData(Raw)'!AS$2:AS$180,'MoodysData(Raw)'!$B$2:$B$180,"=GDP",'MoodysData(Raw)'!$D$2:$D$180,"="&amp;'Implied Productivity Ratios'!$C58)/SUMIFS('MoodysData(Raw)'!AS$2:AS$180,'MoodysData(Raw)'!$B$2:$B$180,"=EMP",'MoodysData(Raw)'!$D$2:$D$180,"="&amp;'Implied Productivity Ratios'!$C58)</f>
        <v>47.945097714396155</v>
      </c>
      <c r="AQ58">
        <f>SUMIFS('MoodysData(Raw)'!AT$2:AT$180,'MoodysData(Raw)'!$B$2:$B$180,"=GDP",'MoodysData(Raw)'!$D$2:$D$180,"="&amp;'Implied Productivity Ratios'!$C58)/SUMIFS('MoodysData(Raw)'!AT$2:AT$180,'MoodysData(Raw)'!$B$2:$B$180,"=EMP",'MoodysData(Raw)'!$D$2:$D$180,"="&amp;'Implied Productivity Ratios'!$C58)</f>
        <v>48.451921230504738</v>
      </c>
      <c r="AR58">
        <f>SUMIFS('MoodysData(Raw)'!AU$2:AU$180,'MoodysData(Raw)'!$B$2:$B$180,"=GDP",'MoodysData(Raw)'!$D$2:$D$180,"="&amp;'Implied Productivity Ratios'!$C58)/SUMIFS('MoodysData(Raw)'!AU$2:AU$180,'MoodysData(Raw)'!$B$2:$B$180,"=EMP",'MoodysData(Raw)'!$D$2:$D$180,"="&amp;'Implied Productivity Ratios'!$C58)</f>
        <v>48.948598746972202</v>
      </c>
      <c r="AS58">
        <f>SUMIFS('MoodysData(Raw)'!AV$2:AV$180,'MoodysData(Raw)'!$B$2:$B$180,"=GDP",'MoodysData(Raw)'!$D$2:$D$180,"="&amp;'Implied Productivity Ratios'!$C58)/SUMIFS('MoodysData(Raw)'!AV$2:AV$180,'MoodysData(Raw)'!$B$2:$B$180,"=EMP",'MoodysData(Raw)'!$D$2:$D$180,"="&amp;'Implied Productivity Ratios'!$C58)</f>
        <v>49.443429722403764</v>
      </c>
      <c r="AT58">
        <f>SUMIFS('MoodysData(Raw)'!AW$2:AW$180,'MoodysData(Raw)'!$B$2:$B$180,"=GDP",'MoodysData(Raw)'!$D$2:$D$180,"="&amp;'Implied Productivity Ratios'!$C58)/SUMIFS('MoodysData(Raw)'!AW$2:AW$180,'MoodysData(Raw)'!$B$2:$B$180,"=EMP",'MoodysData(Raw)'!$D$2:$D$180,"="&amp;'Implied Productivity Ratios'!$C58)</f>
        <v>49.946499878933636</v>
      </c>
      <c r="AU58">
        <f>SUMIFS('MoodysData(Raw)'!AX$2:AX$180,'MoodysData(Raw)'!$B$2:$B$180,"=GDP",'MoodysData(Raw)'!$D$2:$D$180,"="&amp;'Implied Productivity Ratios'!$C58)/SUMIFS('MoodysData(Raw)'!AX$2:AX$180,'MoodysData(Raw)'!$B$2:$B$180,"=EMP",'MoodysData(Raw)'!$D$2:$D$180,"="&amp;'Implied Productivity Ratios'!$C58)</f>
        <v>50.507636607043338</v>
      </c>
      <c r="AV58">
        <f>SUMIFS('MoodysData(Raw)'!AY$2:AY$180,'MoodysData(Raw)'!$B$2:$B$180,"=GDP",'MoodysData(Raw)'!$D$2:$D$180,"="&amp;'Implied Productivity Ratios'!$C58)/SUMIFS('MoodysData(Raw)'!AY$2:AY$180,'MoodysData(Raw)'!$B$2:$B$180,"=EMP",'MoodysData(Raw)'!$D$2:$D$180,"="&amp;'Implied Productivity Ratios'!$C58)</f>
        <v>51.118252823969399</v>
      </c>
      <c r="AW58">
        <f>SUMIFS('MoodysData(Raw)'!AZ$2:AZ$180,'MoodysData(Raw)'!$B$2:$B$180,"=GDP",'MoodysData(Raw)'!$D$2:$D$180,"="&amp;'Implied Productivity Ratios'!$C58)/SUMIFS('MoodysData(Raw)'!AZ$2:AZ$180,'MoodysData(Raw)'!$B$2:$B$180,"=EMP",'MoodysData(Raw)'!$D$2:$D$180,"="&amp;'Implied Productivity Ratios'!$C58)</f>
        <v>51.762497775933063</v>
      </c>
      <c r="AX58">
        <f>SUMIFS('MoodysData(Raw)'!BA$2:BA$180,'MoodysData(Raw)'!$B$2:$B$180,"=GDP",'MoodysData(Raw)'!$D$2:$D$180,"="&amp;'Implied Productivity Ratios'!$C58)/SUMIFS('MoodysData(Raw)'!BA$2:BA$180,'MoodysData(Raw)'!$B$2:$B$180,"=EMP",'MoodysData(Raw)'!$D$2:$D$180,"="&amp;'Implied Productivity Ratios'!$C58)</f>
        <v>52.435779944711705</v>
      </c>
      <c r="AY58">
        <f>SUMIFS('MoodysData(Raw)'!BB$2:BB$180,'MoodysData(Raw)'!$B$2:$B$180,"=GDP",'MoodysData(Raw)'!$D$2:$D$180,"="&amp;'Implied Productivity Ratios'!$C58)/SUMIFS('MoodysData(Raw)'!BB$2:BB$180,'MoodysData(Raw)'!$B$2:$B$180,"=EMP",'MoodysData(Raw)'!$D$2:$D$180,"="&amp;'Implied Productivity Ratios'!$C58)</f>
        <v>53.146824436492096</v>
      </c>
      <c r="AZ58">
        <f>SUMIFS('MoodysData(Raw)'!BC$2:BC$180,'MoodysData(Raw)'!$B$2:$B$180,"=GDP",'MoodysData(Raw)'!$D$2:$D$180,"="&amp;'Implied Productivity Ratios'!$C58)/SUMIFS('MoodysData(Raw)'!BC$2:BC$180,'MoodysData(Raw)'!$B$2:$B$180,"=EMP",'MoodysData(Raw)'!$D$2:$D$180,"="&amp;'Implied Productivity Ratios'!$C58)</f>
        <v>53.924468760008239</v>
      </c>
      <c r="BA58">
        <f>SUMIFS('MoodysData(Raw)'!BD$2:BD$180,'MoodysData(Raw)'!$B$2:$B$180,"=GDP",'MoodysData(Raw)'!$D$2:$D$180,"="&amp;'Implied Productivity Ratios'!$C58)/SUMIFS('MoodysData(Raw)'!BD$2:BD$180,'MoodysData(Raw)'!$B$2:$B$180,"=EMP",'MoodysData(Raw)'!$D$2:$D$180,"="&amp;'Implied Productivity Ratios'!$C58)</f>
        <v>54.756737261053978</v>
      </c>
      <c r="BB58">
        <f>SUMIFS('MoodysData(Raw)'!BE$2:BE$180,'MoodysData(Raw)'!$B$2:$B$180,"=GDP",'MoodysData(Raw)'!$D$2:$D$180,"="&amp;'Implied Productivity Ratios'!$C58)/SUMIFS('MoodysData(Raw)'!BE$2:BE$180,'MoodysData(Raw)'!$B$2:$B$180,"=EMP",'MoodysData(Raw)'!$D$2:$D$180,"="&amp;'Implied Productivity Ratios'!$C58)</f>
        <v>55.6517894995688</v>
      </c>
      <c r="BC58">
        <f>SUMIFS('MoodysData(Raw)'!BF$2:BF$180,'MoodysData(Raw)'!$B$2:$B$180,"=GDP",'MoodysData(Raw)'!$D$2:$D$180,"="&amp;'Implied Productivity Ratios'!$C58)/SUMIFS('MoodysData(Raw)'!BF$2:BF$180,'MoodysData(Raw)'!$B$2:$B$180,"=EMP",'MoodysData(Raw)'!$D$2:$D$180,"="&amp;'Implied Productivity Ratios'!$C58)</f>
        <v>56.594657213963501</v>
      </c>
      <c r="BD58" s="5">
        <f t="shared" ref="BD58:BH58" si="52">BC58+($BC58-$AX58)/5</f>
        <v>57.426432667813863</v>
      </c>
      <c r="BE58" s="5">
        <f t="shared" si="52"/>
        <v>58.258208121664225</v>
      </c>
      <c r="BF58" s="5">
        <f t="shared" si="52"/>
        <v>59.089983575514587</v>
      </c>
      <c r="BG58" s="5">
        <f t="shared" si="52"/>
        <v>59.921759029364949</v>
      </c>
      <c r="BH58" s="5">
        <f t="shared" si="52"/>
        <v>60.753534483215311</v>
      </c>
    </row>
    <row r="59" spans="3:60">
      <c r="C59">
        <v>511</v>
      </c>
      <c r="D59" t="s">
        <v>346</v>
      </c>
      <c r="E59">
        <f>SUMIFS('MoodysData(Raw)'!H$2:H$180,'MoodysData(Raw)'!$B$2:$B$180,"=GDP",'MoodysData(Raw)'!$D$2:$D$180,"="&amp;'Implied Productivity Ratios'!$C59)/SUMIFS('MoodysData(Raw)'!H$2:H$180,'MoodysData(Raw)'!$B$2:$B$180,"=EMP",'MoodysData(Raw)'!$D$2:$D$180,"="&amp;'Implied Productivity Ratios'!$C59)</f>
        <v>152.49414548017975</v>
      </c>
      <c r="F59">
        <f>SUMIFS('MoodysData(Raw)'!I$2:I$180,'MoodysData(Raw)'!$B$2:$B$180,"=GDP",'MoodysData(Raw)'!$D$2:$D$180,"="&amp;'Implied Productivity Ratios'!$C59)/SUMIFS('MoodysData(Raw)'!I$2:I$180,'MoodysData(Raw)'!$B$2:$B$180,"=EMP",'MoodysData(Raw)'!$D$2:$D$180,"="&amp;'Implied Productivity Ratios'!$C59)</f>
        <v>143.09473026247252</v>
      </c>
      <c r="G59">
        <f>SUMIFS('MoodysData(Raw)'!J$2:J$180,'MoodysData(Raw)'!$B$2:$B$180,"=GDP",'MoodysData(Raw)'!$D$2:$D$180,"="&amp;'Implied Productivity Ratios'!$C59)/SUMIFS('MoodysData(Raw)'!J$2:J$180,'MoodysData(Raw)'!$B$2:$B$180,"=EMP",'MoodysData(Raw)'!$D$2:$D$180,"="&amp;'Implied Productivity Ratios'!$C59)</f>
        <v>172.16655100930811</v>
      </c>
      <c r="H59">
        <f>SUMIFS('MoodysData(Raw)'!K$2:K$180,'MoodysData(Raw)'!$B$2:$B$180,"=GDP",'MoodysData(Raw)'!$D$2:$D$180,"="&amp;'Implied Productivity Ratios'!$C59)/SUMIFS('MoodysData(Raw)'!K$2:K$180,'MoodysData(Raw)'!$B$2:$B$180,"=EMP",'MoodysData(Raw)'!$D$2:$D$180,"="&amp;'Implied Productivity Ratios'!$C59)</f>
        <v>174.43792389551902</v>
      </c>
      <c r="I59">
        <f>SUMIFS('MoodysData(Raw)'!L$2:L$180,'MoodysData(Raw)'!$B$2:$B$180,"=GDP",'MoodysData(Raw)'!$D$2:$D$180,"="&amp;'Implied Productivity Ratios'!$C59)/SUMIFS('MoodysData(Raw)'!L$2:L$180,'MoodysData(Raw)'!$B$2:$B$180,"=EMP",'MoodysData(Raw)'!$D$2:$D$180,"="&amp;'Implied Productivity Ratios'!$C59)</f>
        <v>181.31670247394212</v>
      </c>
      <c r="J59">
        <f>SUMIFS('MoodysData(Raw)'!M$2:M$180,'MoodysData(Raw)'!$B$2:$B$180,"=GDP",'MoodysData(Raw)'!$D$2:$D$180,"="&amp;'Implied Productivity Ratios'!$C59)/SUMIFS('MoodysData(Raw)'!M$2:M$180,'MoodysData(Raw)'!$B$2:$B$180,"=EMP",'MoodysData(Raw)'!$D$2:$D$180,"="&amp;'Implied Productivity Ratios'!$C59)</f>
        <v>207.45978127937022</v>
      </c>
      <c r="K59">
        <f>SUMIFS('MoodysData(Raw)'!N$2:N$180,'MoodysData(Raw)'!$B$2:$B$180,"=GDP",'MoodysData(Raw)'!$D$2:$D$180,"="&amp;'Implied Productivity Ratios'!$C59)/SUMIFS('MoodysData(Raw)'!N$2:N$180,'MoodysData(Raw)'!$B$2:$B$180,"=EMP",'MoodysData(Raw)'!$D$2:$D$180,"="&amp;'Implied Productivity Ratios'!$C59)</f>
        <v>219.97197371840082</v>
      </c>
      <c r="L59">
        <f>SUMIFS('MoodysData(Raw)'!O$2:O$180,'MoodysData(Raw)'!$B$2:$B$180,"=GDP",'MoodysData(Raw)'!$D$2:$D$180,"="&amp;'Implied Productivity Ratios'!$C59)/SUMIFS('MoodysData(Raw)'!O$2:O$180,'MoodysData(Raw)'!$B$2:$B$180,"=EMP",'MoodysData(Raw)'!$D$2:$D$180,"="&amp;'Implied Productivity Ratios'!$C59)</f>
        <v>232.501395838398</v>
      </c>
      <c r="M59">
        <f>SUMIFS('MoodysData(Raw)'!P$2:P$180,'MoodysData(Raw)'!$B$2:$B$180,"=GDP",'MoodysData(Raw)'!$D$2:$D$180,"="&amp;'Implied Productivity Ratios'!$C59)/SUMIFS('MoodysData(Raw)'!P$2:P$180,'MoodysData(Raw)'!$B$2:$B$180,"=EMP",'MoodysData(Raw)'!$D$2:$D$180,"="&amp;'Implied Productivity Ratios'!$C59)</f>
        <v>246.26201837428087</v>
      </c>
      <c r="N59">
        <f>SUMIFS('MoodysData(Raw)'!Q$2:Q$180,'MoodysData(Raw)'!$B$2:$B$180,"=GDP",'MoodysData(Raw)'!$D$2:$D$180,"="&amp;'Implied Productivity Ratios'!$C59)/SUMIFS('MoodysData(Raw)'!Q$2:Q$180,'MoodysData(Raw)'!$B$2:$B$180,"=EMP",'MoodysData(Raw)'!$D$2:$D$180,"="&amp;'Implied Productivity Ratios'!$C59)</f>
        <v>260.48805430899341</v>
      </c>
      <c r="O59">
        <f>SUMIFS('MoodysData(Raw)'!R$2:R$180,'MoodysData(Raw)'!$B$2:$B$180,"=GDP",'MoodysData(Raw)'!$D$2:$D$180,"="&amp;'Implied Productivity Ratios'!$C59)/SUMIFS('MoodysData(Raw)'!R$2:R$180,'MoodysData(Raw)'!$B$2:$B$180,"=EMP",'MoodysData(Raw)'!$D$2:$D$180,"="&amp;'Implied Productivity Ratios'!$C59)</f>
        <v>270.80039452760684</v>
      </c>
      <c r="P59">
        <f>SUMIFS('MoodysData(Raw)'!S$2:S$180,'MoodysData(Raw)'!$B$2:$B$180,"=GDP",'MoodysData(Raw)'!$D$2:$D$180,"="&amp;'Implied Productivity Ratios'!$C59)/SUMIFS('MoodysData(Raw)'!S$2:S$180,'MoodysData(Raw)'!$B$2:$B$180,"=EMP",'MoodysData(Raw)'!$D$2:$D$180,"="&amp;'Implied Productivity Ratios'!$C59)</f>
        <v>289.66851191857461</v>
      </c>
      <c r="Q59">
        <f>SUMIFS('MoodysData(Raw)'!T$2:T$180,'MoodysData(Raw)'!$B$2:$B$180,"=GDP",'MoodysData(Raw)'!$D$2:$D$180,"="&amp;'Implied Productivity Ratios'!$C59)/SUMIFS('MoodysData(Raw)'!T$2:T$180,'MoodysData(Raw)'!$B$2:$B$180,"=EMP",'MoodysData(Raw)'!$D$2:$D$180,"="&amp;'Implied Productivity Ratios'!$C59)</f>
        <v>316.04301132863765</v>
      </c>
      <c r="R59">
        <f>SUMIFS('MoodysData(Raw)'!U$2:U$180,'MoodysData(Raw)'!$B$2:$B$180,"=GDP",'MoodysData(Raw)'!$D$2:$D$180,"="&amp;'Implied Productivity Ratios'!$C59)/SUMIFS('MoodysData(Raw)'!U$2:U$180,'MoodysData(Raw)'!$B$2:$B$180,"=EMP",'MoodysData(Raw)'!$D$2:$D$180,"="&amp;'Implied Productivity Ratios'!$C59)</f>
        <v>336.46727890568371</v>
      </c>
      <c r="S59">
        <f>SUMIFS('MoodysData(Raw)'!V$2:V$180,'MoodysData(Raw)'!$B$2:$B$180,"=GDP",'MoodysData(Raw)'!$D$2:$D$180,"="&amp;'Implied Productivity Ratios'!$C59)/SUMIFS('MoodysData(Raw)'!V$2:V$180,'MoodysData(Raw)'!$B$2:$B$180,"=EMP",'MoodysData(Raw)'!$D$2:$D$180,"="&amp;'Implied Productivity Ratios'!$C59)</f>
        <v>371.76890125448193</v>
      </c>
      <c r="T59">
        <f>SUMIFS('MoodysData(Raw)'!W$2:W$180,'MoodysData(Raw)'!$B$2:$B$180,"=GDP",'MoodysData(Raw)'!$D$2:$D$180,"="&amp;'Implied Productivity Ratios'!$C59)/SUMIFS('MoodysData(Raw)'!W$2:W$180,'MoodysData(Raw)'!$B$2:$B$180,"=EMP",'MoodysData(Raw)'!$D$2:$D$180,"="&amp;'Implied Productivity Ratios'!$C59)</f>
        <v>404.98574907479207</v>
      </c>
      <c r="U59">
        <f>SUMIFS('MoodysData(Raw)'!X$2:X$180,'MoodysData(Raw)'!$B$2:$B$180,"=GDP",'MoodysData(Raw)'!$D$2:$D$180,"="&amp;'Implied Productivity Ratios'!$C59)/SUMIFS('MoodysData(Raw)'!X$2:X$180,'MoodysData(Raw)'!$B$2:$B$180,"=EMP",'MoodysData(Raw)'!$D$2:$D$180,"="&amp;'Implied Productivity Ratios'!$C59)</f>
        <v>464.28152038396865</v>
      </c>
      <c r="V59">
        <f>SUMIFS('MoodysData(Raw)'!Y$2:Y$180,'MoodysData(Raw)'!$B$2:$B$180,"=GDP",'MoodysData(Raw)'!$D$2:$D$180,"="&amp;'Implied Productivity Ratios'!$C59)/SUMIFS('MoodysData(Raw)'!Y$2:Y$180,'MoodysData(Raw)'!$B$2:$B$180,"=EMP",'MoodysData(Raw)'!$D$2:$D$180,"="&amp;'Implied Productivity Ratios'!$C59)</f>
        <v>464.54369103148673</v>
      </c>
      <c r="W59">
        <f>SUMIFS('MoodysData(Raw)'!Z$2:Z$180,'MoodysData(Raw)'!$B$2:$B$180,"=GDP",'MoodysData(Raw)'!$D$2:$D$180,"="&amp;'Implied Productivity Ratios'!$C59)/SUMIFS('MoodysData(Raw)'!Z$2:Z$180,'MoodysData(Raw)'!$B$2:$B$180,"=EMP",'MoodysData(Raw)'!$D$2:$D$180,"="&amp;'Implied Productivity Ratios'!$C59)</f>
        <v>523.57160947958755</v>
      </c>
      <c r="X59">
        <f>SUMIFS('MoodysData(Raw)'!AA$2:AA$180,'MoodysData(Raw)'!$B$2:$B$180,"=GDP",'MoodysData(Raw)'!$D$2:$D$180,"="&amp;'Implied Productivity Ratios'!$C59)/SUMIFS('MoodysData(Raw)'!AA$2:AA$180,'MoodysData(Raw)'!$B$2:$B$180,"=EMP",'MoodysData(Raw)'!$D$2:$D$180,"="&amp;'Implied Productivity Ratios'!$C59)</f>
        <v>561.19352339711907</v>
      </c>
      <c r="Y59">
        <f>SUMIFS('MoodysData(Raw)'!AB$2:AB$180,'MoodysData(Raw)'!$B$2:$B$180,"=GDP",'MoodysData(Raw)'!$D$2:$D$180,"="&amp;'Implied Productivity Ratios'!$C59)/SUMIFS('MoodysData(Raw)'!AB$2:AB$180,'MoodysData(Raw)'!$B$2:$B$180,"=EMP",'MoodysData(Raw)'!$D$2:$D$180,"="&amp;'Implied Productivity Ratios'!$C59)</f>
        <v>582.43331951529001</v>
      </c>
      <c r="Z59">
        <f>SUMIFS('MoodysData(Raw)'!AC$2:AC$180,'MoodysData(Raw)'!$B$2:$B$180,"=GDP",'MoodysData(Raw)'!$D$2:$D$180,"="&amp;'Implied Productivity Ratios'!$C59)/SUMIFS('MoodysData(Raw)'!AC$2:AC$180,'MoodysData(Raw)'!$B$2:$B$180,"=EMP",'MoodysData(Raw)'!$D$2:$D$180,"="&amp;'Implied Productivity Ratios'!$C59)</f>
        <v>600.00008382059355</v>
      </c>
      <c r="AA59">
        <f>SUMIFS('MoodysData(Raw)'!AD$2:AD$180,'MoodysData(Raw)'!$B$2:$B$180,"=GDP",'MoodysData(Raw)'!$D$2:$D$180,"="&amp;'Implied Productivity Ratios'!$C59)/SUMIFS('MoodysData(Raw)'!AD$2:AD$180,'MoodysData(Raw)'!$B$2:$B$180,"=EMP",'MoodysData(Raw)'!$D$2:$D$180,"="&amp;'Implied Productivity Ratios'!$C59)</f>
        <v>621.43689255766742</v>
      </c>
      <c r="AB59">
        <f>SUMIFS('MoodysData(Raw)'!AE$2:AE$180,'MoodysData(Raw)'!$B$2:$B$180,"=GDP",'MoodysData(Raw)'!$D$2:$D$180,"="&amp;'Implied Productivity Ratios'!$C59)/SUMIFS('MoodysData(Raw)'!AE$2:AE$180,'MoodysData(Raw)'!$B$2:$B$180,"=EMP",'MoodysData(Raw)'!$D$2:$D$180,"="&amp;'Implied Productivity Ratios'!$C59)</f>
        <v>646.77306591442175</v>
      </c>
      <c r="AC59">
        <f>SUMIFS('MoodysData(Raw)'!AF$2:AF$180,'MoodysData(Raw)'!$B$2:$B$180,"=GDP",'MoodysData(Raw)'!$D$2:$D$180,"="&amp;'Implied Productivity Ratios'!$C59)/SUMIFS('MoodysData(Raw)'!AF$2:AF$180,'MoodysData(Raw)'!$B$2:$B$180,"=EMP",'MoodysData(Raw)'!$D$2:$D$180,"="&amp;'Implied Productivity Ratios'!$C59)</f>
        <v>675.1039571204285</v>
      </c>
      <c r="AD59">
        <f>SUMIFS('MoodysData(Raw)'!AG$2:AG$180,'MoodysData(Raw)'!$B$2:$B$180,"=GDP",'MoodysData(Raw)'!$D$2:$D$180,"="&amp;'Implied Productivity Ratios'!$C59)/SUMIFS('MoodysData(Raw)'!AG$2:AG$180,'MoodysData(Raw)'!$B$2:$B$180,"=EMP",'MoodysData(Raw)'!$D$2:$D$180,"="&amp;'Implied Productivity Ratios'!$C59)</f>
        <v>705.80196822908204</v>
      </c>
      <c r="AE59">
        <f>SUMIFS('MoodysData(Raw)'!AH$2:AH$180,'MoodysData(Raw)'!$B$2:$B$180,"=GDP",'MoodysData(Raw)'!$D$2:$D$180,"="&amp;'Implied Productivity Ratios'!$C59)/SUMIFS('MoodysData(Raw)'!AH$2:AH$180,'MoodysData(Raw)'!$B$2:$B$180,"=EMP",'MoodysData(Raw)'!$D$2:$D$180,"="&amp;'Implied Productivity Ratios'!$C59)</f>
        <v>737.04634353968413</v>
      </c>
      <c r="AF59">
        <f>SUMIFS('MoodysData(Raw)'!AI$2:AI$180,'MoodysData(Raw)'!$B$2:$B$180,"=GDP",'MoodysData(Raw)'!$D$2:$D$180,"="&amp;'Implied Productivity Ratios'!$C59)/SUMIFS('MoodysData(Raw)'!AI$2:AI$180,'MoodysData(Raw)'!$B$2:$B$180,"=EMP",'MoodysData(Raw)'!$D$2:$D$180,"="&amp;'Implied Productivity Ratios'!$C59)</f>
        <v>769.66678897597433</v>
      </c>
      <c r="AG59">
        <f>SUMIFS('MoodysData(Raw)'!AJ$2:AJ$180,'MoodysData(Raw)'!$B$2:$B$180,"=GDP",'MoodysData(Raw)'!$D$2:$D$180,"="&amp;'Implied Productivity Ratios'!$C59)/SUMIFS('MoodysData(Raw)'!AJ$2:AJ$180,'MoodysData(Raw)'!$B$2:$B$180,"=EMP",'MoodysData(Raw)'!$D$2:$D$180,"="&amp;'Implied Productivity Ratios'!$C59)</f>
        <v>802.6625068482324</v>
      </c>
      <c r="AH59">
        <f>SUMIFS('MoodysData(Raw)'!AK$2:AK$180,'MoodysData(Raw)'!$B$2:$B$180,"=GDP",'MoodysData(Raw)'!$D$2:$D$180,"="&amp;'Implied Productivity Ratios'!$C59)/SUMIFS('MoodysData(Raw)'!AK$2:AK$180,'MoodysData(Raw)'!$B$2:$B$180,"=EMP",'MoodysData(Raw)'!$D$2:$D$180,"="&amp;'Implied Productivity Ratios'!$C59)</f>
        <v>834.68546800775812</v>
      </c>
      <c r="AI59">
        <f>SUMIFS('MoodysData(Raw)'!AL$2:AL$180,'MoodysData(Raw)'!$B$2:$B$180,"=GDP",'MoodysData(Raw)'!$D$2:$D$180,"="&amp;'Implied Productivity Ratios'!$C59)/SUMIFS('MoodysData(Raw)'!AL$2:AL$180,'MoodysData(Raw)'!$B$2:$B$180,"=EMP",'MoodysData(Raw)'!$D$2:$D$180,"="&amp;'Implied Productivity Ratios'!$C59)</f>
        <v>866.29674469855274</v>
      </c>
      <c r="AJ59">
        <f>SUMIFS('MoodysData(Raw)'!AM$2:AM$180,'MoodysData(Raw)'!$B$2:$B$180,"=GDP",'MoodysData(Raw)'!$D$2:$D$180,"="&amp;'Implied Productivity Ratios'!$C59)/SUMIFS('MoodysData(Raw)'!AM$2:AM$180,'MoodysData(Raw)'!$B$2:$B$180,"=EMP",'MoodysData(Raw)'!$D$2:$D$180,"="&amp;'Implied Productivity Ratios'!$C59)</f>
        <v>899.41348260225413</v>
      </c>
      <c r="AK59">
        <f>SUMIFS('MoodysData(Raw)'!AN$2:AN$180,'MoodysData(Raw)'!$B$2:$B$180,"=GDP",'MoodysData(Raw)'!$D$2:$D$180,"="&amp;'Implied Productivity Ratios'!$C59)/SUMIFS('MoodysData(Raw)'!AN$2:AN$180,'MoodysData(Raw)'!$B$2:$B$180,"=EMP",'MoodysData(Raw)'!$D$2:$D$180,"="&amp;'Implied Productivity Ratios'!$C59)</f>
        <v>934.18515139005535</v>
      </c>
      <c r="AL59">
        <f>SUMIFS('MoodysData(Raw)'!AO$2:AO$180,'MoodysData(Raw)'!$B$2:$B$180,"=GDP",'MoodysData(Raw)'!$D$2:$D$180,"="&amp;'Implied Productivity Ratios'!$C59)/SUMIFS('MoodysData(Raw)'!AO$2:AO$180,'MoodysData(Raw)'!$B$2:$B$180,"=EMP",'MoodysData(Raw)'!$D$2:$D$180,"="&amp;'Implied Productivity Ratios'!$C59)</f>
        <v>969.72752980563666</v>
      </c>
      <c r="AM59">
        <f>SUMIFS('MoodysData(Raw)'!AP$2:AP$180,'MoodysData(Raw)'!$B$2:$B$180,"=GDP",'MoodysData(Raw)'!$D$2:$D$180,"="&amp;'Implied Productivity Ratios'!$C59)/SUMIFS('MoodysData(Raw)'!AP$2:AP$180,'MoodysData(Raw)'!$B$2:$B$180,"=EMP",'MoodysData(Raw)'!$D$2:$D$180,"="&amp;'Implied Productivity Ratios'!$C59)</f>
        <v>1006.7096275759127</v>
      </c>
      <c r="AN59">
        <f>SUMIFS('MoodysData(Raw)'!AQ$2:AQ$180,'MoodysData(Raw)'!$B$2:$B$180,"=GDP",'MoodysData(Raw)'!$D$2:$D$180,"="&amp;'Implied Productivity Ratios'!$C59)/SUMIFS('MoodysData(Raw)'!AQ$2:AQ$180,'MoodysData(Raw)'!$B$2:$B$180,"=EMP",'MoodysData(Raw)'!$D$2:$D$180,"="&amp;'Implied Productivity Ratios'!$C59)</f>
        <v>1044.6868540627884</v>
      </c>
      <c r="AO59">
        <f>SUMIFS('MoodysData(Raw)'!AR$2:AR$180,'MoodysData(Raw)'!$B$2:$B$180,"=GDP",'MoodysData(Raw)'!$D$2:$D$180,"="&amp;'Implied Productivity Ratios'!$C59)/SUMIFS('MoodysData(Raw)'!AR$2:AR$180,'MoodysData(Raw)'!$B$2:$B$180,"=EMP",'MoodysData(Raw)'!$D$2:$D$180,"="&amp;'Implied Productivity Ratios'!$C59)</f>
        <v>1082.7379374054788</v>
      </c>
      <c r="AP59">
        <f>SUMIFS('MoodysData(Raw)'!AS$2:AS$180,'MoodysData(Raw)'!$B$2:$B$180,"=GDP",'MoodysData(Raw)'!$D$2:$D$180,"="&amp;'Implied Productivity Ratios'!$C59)/SUMIFS('MoodysData(Raw)'!AS$2:AS$180,'MoodysData(Raw)'!$B$2:$B$180,"=EMP",'MoodysData(Raw)'!$D$2:$D$180,"="&amp;'Implied Productivity Ratios'!$C59)</f>
        <v>1121.1996721701344</v>
      </c>
      <c r="AQ59">
        <f>SUMIFS('MoodysData(Raw)'!AT$2:AT$180,'MoodysData(Raw)'!$B$2:$B$180,"=GDP",'MoodysData(Raw)'!$D$2:$D$180,"="&amp;'Implied Productivity Ratios'!$C59)/SUMIFS('MoodysData(Raw)'!AT$2:AT$180,'MoodysData(Raw)'!$B$2:$B$180,"=EMP",'MoodysData(Raw)'!$D$2:$D$180,"="&amp;'Implied Productivity Ratios'!$C59)</f>
        <v>1159.7288718696816</v>
      </c>
      <c r="AR59">
        <f>SUMIFS('MoodysData(Raw)'!AU$2:AU$180,'MoodysData(Raw)'!$B$2:$B$180,"=GDP",'MoodysData(Raw)'!$D$2:$D$180,"="&amp;'Implied Productivity Ratios'!$C59)/SUMIFS('MoodysData(Raw)'!AU$2:AU$180,'MoodysData(Raw)'!$B$2:$B$180,"=EMP",'MoodysData(Raw)'!$D$2:$D$180,"="&amp;'Implied Productivity Ratios'!$C59)</f>
        <v>1198.2764624990994</v>
      </c>
      <c r="AS59">
        <f>SUMIFS('MoodysData(Raw)'!AV$2:AV$180,'MoodysData(Raw)'!$B$2:$B$180,"=GDP",'MoodysData(Raw)'!$D$2:$D$180,"="&amp;'Implied Productivity Ratios'!$C59)/SUMIFS('MoodysData(Raw)'!AV$2:AV$180,'MoodysData(Raw)'!$B$2:$B$180,"=EMP",'MoodysData(Raw)'!$D$2:$D$180,"="&amp;'Implied Productivity Ratios'!$C59)</f>
        <v>1237.1087104060157</v>
      </c>
      <c r="AT59">
        <f>SUMIFS('MoodysData(Raw)'!AW$2:AW$180,'MoodysData(Raw)'!$B$2:$B$180,"=GDP",'MoodysData(Raw)'!$D$2:$D$180,"="&amp;'Implied Productivity Ratios'!$C59)/SUMIFS('MoodysData(Raw)'!AW$2:AW$180,'MoodysData(Raw)'!$B$2:$B$180,"=EMP",'MoodysData(Raw)'!$D$2:$D$180,"="&amp;'Implied Productivity Ratios'!$C59)</f>
        <v>1276.3764803423626</v>
      </c>
      <c r="AU59">
        <f>SUMIFS('MoodysData(Raw)'!AX$2:AX$180,'MoodysData(Raw)'!$B$2:$B$180,"=GDP",'MoodysData(Raw)'!$D$2:$D$180,"="&amp;'Implied Productivity Ratios'!$C59)/SUMIFS('MoodysData(Raw)'!AX$2:AX$180,'MoodysData(Raw)'!$B$2:$B$180,"=EMP",'MoodysData(Raw)'!$D$2:$D$180,"="&amp;'Implied Productivity Ratios'!$C59)</f>
        <v>1316.9819681815468</v>
      </c>
      <c r="AV59">
        <f>SUMIFS('MoodysData(Raw)'!AY$2:AY$180,'MoodysData(Raw)'!$B$2:$B$180,"=GDP",'MoodysData(Raw)'!$D$2:$D$180,"="&amp;'Implied Productivity Ratios'!$C59)/SUMIFS('MoodysData(Raw)'!AY$2:AY$180,'MoodysData(Raw)'!$B$2:$B$180,"=EMP",'MoodysData(Raw)'!$D$2:$D$180,"="&amp;'Implied Productivity Ratios'!$C59)</f>
        <v>1358.7275647469885</v>
      </c>
      <c r="AW59">
        <f>SUMIFS('MoodysData(Raw)'!AZ$2:AZ$180,'MoodysData(Raw)'!$B$2:$B$180,"=GDP",'MoodysData(Raw)'!$D$2:$D$180,"="&amp;'Implied Productivity Ratios'!$C59)/SUMIFS('MoodysData(Raw)'!AZ$2:AZ$180,'MoodysData(Raw)'!$B$2:$B$180,"=EMP",'MoodysData(Raw)'!$D$2:$D$180,"="&amp;'Implied Productivity Ratios'!$C59)</f>
        <v>1401.0151758856452</v>
      </c>
      <c r="AX59">
        <f>SUMIFS('MoodysData(Raw)'!BA$2:BA$180,'MoodysData(Raw)'!$B$2:$B$180,"=GDP",'MoodysData(Raw)'!$D$2:$D$180,"="&amp;'Implied Productivity Ratios'!$C59)/SUMIFS('MoodysData(Raw)'!BA$2:BA$180,'MoodysData(Raw)'!$B$2:$B$180,"=EMP",'MoodysData(Raw)'!$D$2:$D$180,"="&amp;'Implied Productivity Ratios'!$C59)</f>
        <v>1443.8757600356796</v>
      </c>
      <c r="AY59">
        <f>SUMIFS('MoodysData(Raw)'!BB$2:BB$180,'MoodysData(Raw)'!$B$2:$B$180,"=GDP",'MoodysData(Raw)'!$D$2:$D$180,"="&amp;'Implied Productivity Ratios'!$C59)/SUMIFS('MoodysData(Raw)'!BB$2:BB$180,'MoodysData(Raw)'!$B$2:$B$180,"=EMP",'MoodysData(Raw)'!$D$2:$D$180,"="&amp;'Implied Productivity Ratios'!$C59)</f>
        <v>1487.0454348152321</v>
      </c>
      <c r="AZ59">
        <f>SUMIFS('MoodysData(Raw)'!BC$2:BC$180,'MoodysData(Raw)'!$B$2:$B$180,"=GDP",'MoodysData(Raw)'!$D$2:$D$180,"="&amp;'Implied Productivity Ratios'!$C59)/SUMIFS('MoodysData(Raw)'!BC$2:BC$180,'MoodysData(Raw)'!$B$2:$B$180,"=EMP",'MoodysData(Raw)'!$D$2:$D$180,"="&amp;'Implied Productivity Ratios'!$C59)</f>
        <v>1530.8924371820165</v>
      </c>
      <c r="BA59">
        <f>SUMIFS('MoodysData(Raw)'!BD$2:BD$180,'MoodysData(Raw)'!$B$2:$B$180,"=GDP",'MoodysData(Raw)'!$D$2:$D$180,"="&amp;'Implied Productivity Ratios'!$C59)/SUMIFS('MoodysData(Raw)'!BD$2:BD$180,'MoodysData(Raw)'!$B$2:$B$180,"=EMP",'MoodysData(Raw)'!$D$2:$D$180,"="&amp;'Implied Productivity Ratios'!$C59)</f>
        <v>1575.3172716170363</v>
      </c>
      <c r="BB59">
        <f>SUMIFS('MoodysData(Raw)'!BE$2:BE$180,'MoodysData(Raw)'!$B$2:$B$180,"=GDP",'MoodysData(Raw)'!$D$2:$D$180,"="&amp;'Implied Productivity Ratios'!$C59)/SUMIFS('MoodysData(Raw)'!BE$2:BE$180,'MoodysData(Raw)'!$B$2:$B$180,"=EMP",'MoodysData(Raw)'!$D$2:$D$180,"="&amp;'Implied Productivity Ratios'!$C59)</f>
        <v>1620.8833767553131</v>
      </c>
      <c r="BC59">
        <f>SUMIFS('MoodysData(Raw)'!BF$2:BF$180,'MoodysData(Raw)'!$B$2:$B$180,"=GDP",'MoodysData(Raw)'!$D$2:$D$180,"="&amp;'Implied Productivity Ratios'!$C59)/SUMIFS('MoodysData(Raw)'!BF$2:BF$180,'MoodysData(Raw)'!$B$2:$B$180,"=EMP",'MoodysData(Raw)'!$D$2:$D$180,"="&amp;'Implied Productivity Ratios'!$C59)</f>
        <v>1667.4621099627618</v>
      </c>
      <c r="BD59" s="5">
        <f t="shared" ref="BD59:BH59" si="53">BC59+($BC59-$AX59)/5</f>
        <v>1712.1793799481782</v>
      </c>
      <c r="BE59" s="5">
        <f t="shared" si="53"/>
        <v>1756.8966499335945</v>
      </c>
      <c r="BF59" s="5">
        <f t="shared" si="53"/>
        <v>1801.6139199190109</v>
      </c>
      <c r="BG59" s="5">
        <f t="shared" si="53"/>
        <v>1846.3311899044272</v>
      </c>
      <c r="BH59" s="5">
        <f t="shared" si="53"/>
        <v>1891.0484598898436</v>
      </c>
    </row>
    <row r="60" spans="3:60">
      <c r="C60">
        <v>512</v>
      </c>
      <c r="D60" t="s">
        <v>350</v>
      </c>
      <c r="E60">
        <f>SUMIFS('MoodysData(Raw)'!H$2:H$180,'MoodysData(Raw)'!$B$2:$B$180,"=GDP",'MoodysData(Raw)'!$D$2:$D$180,"="&amp;'Implied Productivity Ratios'!$C60)/SUMIFS('MoodysData(Raw)'!H$2:H$180,'MoodysData(Raw)'!$B$2:$B$180,"=EMP",'MoodysData(Raw)'!$D$2:$D$180,"="&amp;'Implied Productivity Ratios'!$C60)</f>
        <v>137.93001473535006</v>
      </c>
      <c r="F60">
        <f>SUMIFS('MoodysData(Raw)'!I$2:I$180,'MoodysData(Raw)'!$B$2:$B$180,"=GDP",'MoodysData(Raw)'!$D$2:$D$180,"="&amp;'Implied Productivity Ratios'!$C60)/SUMIFS('MoodysData(Raw)'!I$2:I$180,'MoodysData(Raw)'!$B$2:$B$180,"=EMP",'MoodysData(Raw)'!$D$2:$D$180,"="&amp;'Implied Productivity Ratios'!$C60)</f>
        <v>156.95501801179563</v>
      </c>
      <c r="G60">
        <f>SUMIFS('MoodysData(Raw)'!J$2:J$180,'MoodysData(Raw)'!$B$2:$B$180,"=GDP",'MoodysData(Raw)'!$D$2:$D$180,"="&amp;'Implied Productivity Ratios'!$C60)/SUMIFS('MoodysData(Raw)'!J$2:J$180,'MoodysData(Raw)'!$B$2:$B$180,"=EMP",'MoodysData(Raw)'!$D$2:$D$180,"="&amp;'Implied Productivity Ratios'!$C60)</f>
        <v>180.05635054843441</v>
      </c>
      <c r="H60">
        <f>SUMIFS('MoodysData(Raw)'!K$2:K$180,'MoodysData(Raw)'!$B$2:$B$180,"=GDP",'MoodysData(Raw)'!$D$2:$D$180,"="&amp;'Implied Productivity Ratios'!$C60)/SUMIFS('MoodysData(Raw)'!K$2:K$180,'MoodysData(Raw)'!$B$2:$B$180,"=EMP",'MoodysData(Raw)'!$D$2:$D$180,"="&amp;'Implied Productivity Ratios'!$C60)</f>
        <v>188.89176434769374</v>
      </c>
      <c r="I60">
        <f>SUMIFS('MoodysData(Raw)'!L$2:L$180,'MoodysData(Raw)'!$B$2:$B$180,"=GDP",'MoodysData(Raw)'!$D$2:$D$180,"="&amp;'Implied Productivity Ratios'!$C60)/SUMIFS('MoodysData(Raw)'!L$2:L$180,'MoodysData(Raw)'!$B$2:$B$180,"=EMP",'MoodysData(Raw)'!$D$2:$D$180,"="&amp;'Implied Productivity Ratios'!$C60)</f>
        <v>218.43480852966539</v>
      </c>
      <c r="J60">
        <f>SUMIFS('MoodysData(Raw)'!M$2:M$180,'MoodysData(Raw)'!$B$2:$B$180,"=GDP",'MoodysData(Raw)'!$D$2:$D$180,"="&amp;'Implied Productivity Ratios'!$C60)/SUMIFS('MoodysData(Raw)'!M$2:M$180,'MoodysData(Raw)'!$B$2:$B$180,"=EMP",'MoodysData(Raw)'!$D$2:$D$180,"="&amp;'Implied Productivity Ratios'!$C60)</f>
        <v>239.57887345878615</v>
      </c>
      <c r="K60">
        <f>SUMIFS('MoodysData(Raw)'!N$2:N$180,'MoodysData(Raw)'!$B$2:$B$180,"=GDP",'MoodysData(Raw)'!$D$2:$D$180,"="&amp;'Implied Productivity Ratios'!$C60)/SUMIFS('MoodysData(Raw)'!N$2:N$180,'MoodysData(Raw)'!$B$2:$B$180,"=EMP",'MoodysData(Raw)'!$D$2:$D$180,"="&amp;'Implied Productivity Ratios'!$C60)</f>
        <v>229.48190568371243</v>
      </c>
      <c r="L60">
        <f>SUMIFS('MoodysData(Raw)'!O$2:O$180,'MoodysData(Raw)'!$B$2:$B$180,"=GDP",'MoodysData(Raw)'!$D$2:$D$180,"="&amp;'Implied Productivity Ratios'!$C60)/SUMIFS('MoodysData(Raw)'!O$2:O$180,'MoodysData(Raw)'!$B$2:$B$180,"=EMP",'MoodysData(Raw)'!$D$2:$D$180,"="&amp;'Implied Productivity Ratios'!$C60)</f>
        <v>215.11444972382409</v>
      </c>
      <c r="M60">
        <f>SUMIFS('MoodysData(Raw)'!P$2:P$180,'MoodysData(Raw)'!$B$2:$B$180,"=GDP",'MoodysData(Raw)'!$D$2:$D$180,"="&amp;'Implied Productivity Ratios'!$C60)/SUMIFS('MoodysData(Raw)'!P$2:P$180,'MoodysData(Raw)'!$B$2:$B$180,"=EMP",'MoodysData(Raw)'!$D$2:$D$180,"="&amp;'Implied Productivity Ratios'!$C60)</f>
        <v>215.35169543646725</v>
      </c>
      <c r="N60">
        <f>SUMIFS('MoodysData(Raw)'!Q$2:Q$180,'MoodysData(Raw)'!$B$2:$B$180,"=GDP",'MoodysData(Raw)'!$D$2:$D$180,"="&amp;'Implied Productivity Ratios'!$C60)/SUMIFS('MoodysData(Raw)'!Q$2:Q$180,'MoodysData(Raw)'!$B$2:$B$180,"=EMP",'MoodysData(Raw)'!$D$2:$D$180,"="&amp;'Implied Productivity Ratios'!$C60)</f>
        <v>214.95997217221742</v>
      </c>
      <c r="O60">
        <f>SUMIFS('MoodysData(Raw)'!R$2:R$180,'MoodysData(Raw)'!$B$2:$B$180,"=GDP",'MoodysData(Raw)'!$D$2:$D$180,"="&amp;'Implied Productivity Ratios'!$C60)/SUMIFS('MoodysData(Raw)'!R$2:R$180,'MoodysData(Raw)'!$B$2:$B$180,"=EMP",'MoodysData(Raw)'!$D$2:$D$180,"="&amp;'Implied Productivity Ratios'!$C60)</f>
        <v>222.85931035485677</v>
      </c>
      <c r="P60">
        <f>SUMIFS('MoodysData(Raw)'!S$2:S$180,'MoodysData(Raw)'!$B$2:$B$180,"=GDP",'MoodysData(Raw)'!$D$2:$D$180,"="&amp;'Implied Productivity Ratios'!$C60)/SUMIFS('MoodysData(Raw)'!S$2:S$180,'MoodysData(Raw)'!$B$2:$B$180,"=EMP",'MoodysData(Raw)'!$D$2:$D$180,"="&amp;'Implied Productivity Ratios'!$C60)</f>
        <v>215.76383651187012</v>
      </c>
      <c r="Q60">
        <f>SUMIFS('MoodysData(Raw)'!T$2:T$180,'MoodysData(Raw)'!$B$2:$B$180,"=GDP",'MoodysData(Raw)'!$D$2:$D$180,"="&amp;'Implied Productivity Ratios'!$C60)/SUMIFS('MoodysData(Raw)'!T$2:T$180,'MoodysData(Raw)'!$B$2:$B$180,"=EMP",'MoodysData(Raw)'!$D$2:$D$180,"="&amp;'Implied Productivity Ratios'!$C60)</f>
        <v>219.26724689189098</v>
      </c>
      <c r="R60">
        <f>SUMIFS('MoodysData(Raw)'!U$2:U$180,'MoodysData(Raw)'!$B$2:$B$180,"=GDP",'MoodysData(Raw)'!$D$2:$D$180,"="&amp;'Implied Productivity Ratios'!$C60)/SUMIFS('MoodysData(Raw)'!U$2:U$180,'MoodysData(Raw)'!$B$2:$B$180,"=EMP",'MoodysData(Raw)'!$D$2:$D$180,"="&amp;'Implied Productivity Ratios'!$C60)</f>
        <v>209.73659687301637</v>
      </c>
      <c r="S60">
        <f>SUMIFS('MoodysData(Raw)'!V$2:V$180,'MoodysData(Raw)'!$B$2:$B$180,"=GDP",'MoodysData(Raw)'!$D$2:$D$180,"="&amp;'Implied Productivity Ratios'!$C60)/SUMIFS('MoodysData(Raw)'!V$2:V$180,'MoodysData(Raw)'!$B$2:$B$180,"=EMP",'MoodysData(Raw)'!$D$2:$D$180,"="&amp;'Implied Productivity Ratios'!$C60)</f>
        <v>199.34504204586258</v>
      </c>
      <c r="T60">
        <f>SUMIFS('MoodysData(Raw)'!W$2:W$180,'MoodysData(Raw)'!$B$2:$B$180,"=GDP",'MoodysData(Raw)'!$D$2:$D$180,"="&amp;'Implied Productivity Ratios'!$C60)/SUMIFS('MoodysData(Raw)'!W$2:W$180,'MoodysData(Raw)'!$B$2:$B$180,"=EMP",'MoodysData(Raw)'!$D$2:$D$180,"="&amp;'Implied Productivity Ratios'!$C60)</f>
        <v>256.02327963194773</v>
      </c>
      <c r="U60">
        <f>SUMIFS('MoodysData(Raw)'!X$2:X$180,'MoodysData(Raw)'!$B$2:$B$180,"=GDP",'MoodysData(Raw)'!$D$2:$D$180,"="&amp;'Implied Productivity Ratios'!$C60)/SUMIFS('MoodysData(Raw)'!X$2:X$180,'MoodysData(Raw)'!$B$2:$B$180,"=EMP",'MoodysData(Raw)'!$D$2:$D$180,"="&amp;'Implied Productivity Ratios'!$C60)</f>
        <v>261.1263325493619</v>
      </c>
      <c r="V60">
        <f>SUMIFS('MoodysData(Raw)'!Y$2:Y$180,'MoodysData(Raw)'!$B$2:$B$180,"=GDP",'MoodysData(Raw)'!$D$2:$D$180,"="&amp;'Implied Productivity Ratios'!$C60)/SUMIFS('MoodysData(Raw)'!Y$2:Y$180,'MoodysData(Raw)'!$B$2:$B$180,"=EMP",'MoodysData(Raw)'!$D$2:$D$180,"="&amp;'Implied Productivity Ratios'!$C60)</f>
        <v>257.12014750025293</v>
      </c>
      <c r="W60">
        <f>SUMIFS('MoodysData(Raw)'!Z$2:Z$180,'MoodysData(Raw)'!$B$2:$B$180,"=GDP",'MoodysData(Raw)'!$D$2:$D$180,"="&amp;'Implied Productivity Ratios'!$C60)/SUMIFS('MoodysData(Raw)'!Z$2:Z$180,'MoodysData(Raw)'!$B$2:$B$180,"=EMP",'MoodysData(Raw)'!$D$2:$D$180,"="&amp;'Implied Productivity Ratios'!$C60)</f>
        <v>299.52194619642171</v>
      </c>
      <c r="X60">
        <f>SUMIFS('MoodysData(Raw)'!AA$2:AA$180,'MoodysData(Raw)'!$B$2:$B$180,"=GDP",'MoodysData(Raw)'!$D$2:$D$180,"="&amp;'Implied Productivity Ratios'!$C60)/SUMIFS('MoodysData(Raw)'!AA$2:AA$180,'MoodysData(Raw)'!$B$2:$B$180,"=EMP",'MoodysData(Raw)'!$D$2:$D$180,"="&amp;'Implied Productivity Ratios'!$C60)</f>
        <v>319.64671738595001</v>
      </c>
      <c r="Y60">
        <f>SUMIFS('MoodysData(Raw)'!AB$2:AB$180,'MoodysData(Raw)'!$B$2:$B$180,"=GDP",'MoodysData(Raw)'!$D$2:$D$180,"="&amp;'Implied Productivity Ratios'!$C60)/SUMIFS('MoodysData(Raw)'!AB$2:AB$180,'MoodysData(Raw)'!$B$2:$B$180,"=EMP",'MoodysData(Raw)'!$D$2:$D$180,"="&amp;'Implied Productivity Ratios'!$C60)</f>
        <v>313.92501942819746</v>
      </c>
      <c r="Z60">
        <f>SUMIFS('MoodysData(Raw)'!AC$2:AC$180,'MoodysData(Raw)'!$B$2:$B$180,"=GDP",'MoodysData(Raw)'!$D$2:$D$180,"="&amp;'Implied Productivity Ratios'!$C60)/SUMIFS('MoodysData(Raw)'!AC$2:AC$180,'MoodysData(Raw)'!$B$2:$B$180,"=EMP",'MoodysData(Raw)'!$D$2:$D$180,"="&amp;'Implied Productivity Ratios'!$C60)</f>
        <v>303.24932549752901</v>
      </c>
      <c r="AA60">
        <f>SUMIFS('MoodysData(Raw)'!AD$2:AD$180,'MoodysData(Raw)'!$B$2:$B$180,"=GDP",'MoodysData(Raw)'!$D$2:$D$180,"="&amp;'Implied Productivity Ratios'!$C60)/SUMIFS('MoodysData(Raw)'!AD$2:AD$180,'MoodysData(Raw)'!$B$2:$B$180,"=EMP",'MoodysData(Raw)'!$D$2:$D$180,"="&amp;'Implied Productivity Ratios'!$C60)</f>
        <v>295.26953391834377</v>
      </c>
      <c r="AB60">
        <f>SUMIFS('MoodysData(Raw)'!AE$2:AE$180,'MoodysData(Raw)'!$B$2:$B$180,"=GDP",'MoodysData(Raw)'!$D$2:$D$180,"="&amp;'Implied Productivity Ratios'!$C60)/SUMIFS('MoodysData(Raw)'!AE$2:AE$180,'MoodysData(Raw)'!$B$2:$B$180,"=EMP",'MoodysData(Raw)'!$D$2:$D$180,"="&amp;'Implied Productivity Ratios'!$C60)</f>
        <v>289.83664518601176</v>
      </c>
      <c r="AC60">
        <f>SUMIFS('MoodysData(Raw)'!AF$2:AF$180,'MoodysData(Raw)'!$B$2:$B$180,"=GDP",'MoodysData(Raw)'!$D$2:$D$180,"="&amp;'Implied Productivity Ratios'!$C60)/SUMIFS('MoodysData(Raw)'!AF$2:AF$180,'MoodysData(Raw)'!$B$2:$B$180,"=EMP",'MoodysData(Raw)'!$D$2:$D$180,"="&amp;'Implied Productivity Ratios'!$C60)</f>
        <v>286.11667058799458</v>
      </c>
      <c r="AD60">
        <f>SUMIFS('MoodysData(Raw)'!AG$2:AG$180,'MoodysData(Raw)'!$B$2:$B$180,"=GDP",'MoodysData(Raw)'!$D$2:$D$180,"="&amp;'Implied Productivity Ratios'!$C60)/SUMIFS('MoodysData(Raw)'!AG$2:AG$180,'MoodysData(Raw)'!$B$2:$B$180,"=EMP",'MoodysData(Raw)'!$D$2:$D$180,"="&amp;'Implied Productivity Ratios'!$C60)</f>
        <v>283.57543915592976</v>
      </c>
      <c r="AE60">
        <f>SUMIFS('MoodysData(Raw)'!AH$2:AH$180,'MoodysData(Raw)'!$B$2:$B$180,"=GDP",'MoodysData(Raw)'!$D$2:$D$180,"="&amp;'Implied Productivity Ratios'!$C60)/SUMIFS('MoodysData(Raw)'!AH$2:AH$180,'MoodysData(Raw)'!$B$2:$B$180,"=EMP",'MoodysData(Raw)'!$D$2:$D$180,"="&amp;'Implied Productivity Ratios'!$C60)</f>
        <v>281.13445546638866</v>
      </c>
      <c r="AF60">
        <f>SUMIFS('MoodysData(Raw)'!AI$2:AI$180,'MoodysData(Raw)'!$B$2:$B$180,"=GDP",'MoodysData(Raw)'!$D$2:$D$180,"="&amp;'Implied Productivity Ratios'!$C60)/SUMIFS('MoodysData(Raw)'!AI$2:AI$180,'MoodysData(Raw)'!$B$2:$B$180,"=EMP",'MoodysData(Raw)'!$D$2:$D$180,"="&amp;'Implied Productivity Ratios'!$C60)</f>
        <v>279.18377202134315</v>
      </c>
      <c r="AG60">
        <f>SUMIFS('MoodysData(Raw)'!AJ$2:AJ$180,'MoodysData(Raw)'!$B$2:$B$180,"=GDP",'MoodysData(Raw)'!$D$2:$D$180,"="&amp;'Implied Productivity Ratios'!$C60)/SUMIFS('MoodysData(Raw)'!AJ$2:AJ$180,'MoodysData(Raw)'!$B$2:$B$180,"=EMP",'MoodysData(Raw)'!$D$2:$D$180,"="&amp;'Implied Productivity Ratios'!$C60)</f>
        <v>277.30462343188969</v>
      </c>
      <c r="AH60">
        <f>SUMIFS('MoodysData(Raw)'!AK$2:AK$180,'MoodysData(Raw)'!$B$2:$B$180,"=GDP",'MoodysData(Raw)'!$D$2:$D$180,"="&amp;'Implied Productivity Ratios'!$C60)/SUMIFS('MoodysData(Raw)'!AK$2:AK$180,'MoodysData(Raw)'!$B$2:$B$180,"=EMP",'MoodysData(Raw)'!$D$2:$D$180,"="&amp;'Implied Productivity Ratios'!$C60)</f>
        <v>274.7742423243123</v>
      </c>
      <c r="AI60">
        <f>SUMIFS('MoodysData(Raw)'!AL$2:AL$180,'MoodysData(Raw)'!$B$2:$B$180,"=GDP",'MoodysData(Raw)'!$D$2:$D$180,"="&amp;'Implied Productivity Ratios'!$C60)/SUMIFS('MoodysData(Raw)'!AL$2:AL$180,'MoodysData(Raw)'!$B$2:$B$180,"=EMP",'MoodysData(Raw)'!$D$2:$D$180,"="&amp;'Implied Productivity Ratios'!$C60)</f>
        <v>271.85431442152077</v>
      </c>
      <c r="AJ60">
        <f>SUMIFS('MoodysData(Raw)'!AM$2:AM$180,'MoodysData(Raw)'!$B$2:$B$180,"=GDP",'MoodysData(Raw)'!$D$2:$D$180,"="&amp;'Implied Productivity Ratios'!$C60)/SUMIFS('MoodysData(Raw)'!AM$2:AM$180,'MoodysData(Raw)'!$B$2:$B$180,"=EMP",'MoodysData(Raw)'!$D$2:$D$180,"="&amp;'Implied Productivity Ratios'!$C60)</f>
        <v>269.44229822478349</v>
      </c>
      <c r="AK60">
        <f>SUMIFS('MoodysData(Raw)'!AN$2:AN$180,'MoodysData(Raw)'!$B$2:$B$180,"=GDP",'MoodysData(Raw)'!$D$2:$D$180,"="&amp;'Implied Productivity Ratios'!$C60)/SUMIFS('MoodysData(Raw)'!AN$2:AN$180,'MoodysData(Raw)'!$B$2:$B$180,"=EMP",'MoodysData(Raw)'!$D$2:$D$180,"="&amp;'Implied Productivity Ratios'!$C60)</f>
        <v>267.55659225503769</v>
      </c>
      <c r="AL60">
        <f>SUMIFS('MoodysData(Raw)'!AO$2:AO$180,'MoodysData(Raw)'!$B$2:$B$180,"=GDP",'MoodysData(Raw)'!$D$2:$D$180,"="&amp;'Implied Productivity Ratios'!$C60)/SUMIFS('MoodysData(Raw)'!AO$2:AO$180,'MoodysData(Raw)'!$B$2:$B$180,"=EMP",'MoodysData(Raw)'!$D$2:$D$180,"="&amp;'Implied Productivity Ratios'!$C60)</f>
        <v>265.86353648220881</v>
      </c>
      <c r="AM60">
        <f>SUMIFS('MoodysData(Raw)'!AP$2:AP$180,'MoodysData(Raw)'!$B$2:$B$180,"=GDP",'MoodysData(Raw)'!$D$2:$D$180,"="&amp;'Implied Productivity Ratios'!$C60)/SUMIFS('MoodysData(Raw)'!AP$2:AP$180,'MoodysData(Raw)'!$B$2:$B$180,"=EMP",'MoodysData(Raw)'!$D$2:$D$180,"="&amp;'Implied Productivity Ratios'!$C60)</f>
        <v>264.60543718381518</v>
      </c>
      <c r="AN60">
        <f>SUMIFS('MoodysData(Raw)'!AQ$2:AQ$180,'MoodysData(Raw)'!$B$2:$B$180,"=GDP",'MoodysData(Raw)'!$D$2:$D$180,"="&amp;'Implied Productivity Ratios'!$C60)/SUMIFS('MoodysData(Raw)'!AQ$2:AQ$180,'MoodysData(Raw)'!$B$2:$B$180,"=EMP",'MoodysData(Raw)'!$D$2:$D$180,"="&amp;'Implied Productivity Ratios'!$C60)</f>
        <v>263.60724426734117</v>
      </c>
      <c r="AO60">
        <f>SUMIFS('MoodysData(Raw)'!AR$2:AR$180,'MoodysData(Raw)'!$B$2:$B$180,"=GDP",'MoodysData(Raw)'!$D$2:$D$180,"="&amp;'Implied Productivity Ratios'!$C60)/SUMIFS('MoodysData(Raw)'!AR$2:AR$180,'MoodysData(Raw)'!$B$2:$B$180,"=EMP",'MoodysData(Raw)'!$D$2:$D$180,"="&amp;'Implied Productivity Ratios'!$C60)</f>
        <v>262.59921740662941</v>
      </c>
      <c r="AP60">
        <f>SUMIFS('MoodysData(Raw)'!AS$2:AS$180,'MoodysData(Raw)'!$B$2:$B$180,"=GDP",'MoodysData(Raw)'!$D$2:$D$180,"="&amp;'Implied Productivity Ratios'!$C60)/SUMIFS('MoodysData(Raw)'!AS$2:AS$180,'MoodysData(Raw)'!$B$2:$B$180,"=EMP",'MoodysData(Raw)'!$D$2:$D$180,"="&amp;'Implied Productivity Ratios'!$C60)</f>
        <v>261.6636585864639</v>
      </c>
      <c r="AQ60">
        <f>SUMIFS('MoodysData(Raw)'!AT$2:AT$180,'MoodysData(Raw)'!$B$2:$B$180,"=GDP",'MoodysData(Raw)'!$D$2:$D$180,"="&amp;'Implied Productivity Ratios'!$C60)/SUMIFS('MoodysData(Raw)'!AT$2:AT$180,'MoodysData(Raw)'!$B$2:$B$180,"=EMP",'MoodysData(Raw)'!$D$2:$D$180,"="&amp;'Implied Productivity Ratios'!$C60)</f>
        <v>260.77993858021978</v>
      </c>
      <c r="AR60">
        <f>SUMIFS('MoodysData(Raw)'!AU$2:AU$180,'MoodysData(Raw)'!$B$2:$B$180,"=GDP",'MoodysData(Raw)'!$D$2:$D$180,"="&amp;'Implied Productivity Ratios'!$C60)/SUMIFS('MoodysData(Raw)'!AU$2:AU$180,'MoodysData(Raw)'!$B$2:$B$180,"=EMP",'MoodysData(Raw)'!$D$2:$D$180,"="&amp;'Implied Productivity Ratios'!$C60)</f>
        <v>259.93218509168219</v>
      </c>
      <c r="AS60">
        <f>SUMIFS('MoodysData(Raw)'!AV$2:AV$180,'MoodysData(Raw)'!$B$2:$B$180,"=GDP",'MoodysData(Raw)'!$D$2:$D$180,"="&amp;'Implied Productivity Ratios'!$C60)/SUMIFS('MoodysData(Raw)'!AV$2:AV$180,'MoodysData(Raw)'!$B$2:$B$180,"=EMP",'MoodysData(Raw)'!$D$2:$D$180,"="&amp;'Implied Productivity Ratios'!$C60)</f>
        <v>259.19651923574008</v>
      </c>
      <c r="AT60">
        <f>SUMIFS('MoodysData(Raw)'!AW$2:AW$180,'MoodysData(Raw)'!$B$2:$B$180,"=GDP",'MoodysData(Raw)'!$D$2:$D$180,"="&amp;'Implied Productivity Ratios'!$C60)/SUMIFS('MoodysData(Raw)'!AW$2:AW$180,'MoodysData(Raw)'!$B$2:$B$180,"=EMP",'MoodysData(Raw)'!$D$2:$D$180,"="&amp;'Implied Productivity Ratios'!$C60)</f>
        <v>258.61487457492069</v>
      </c>
      <c r="AU60">
        <f>SUMIFS('MoodysData(Raw)'!AX$2:AX$180,'MoodysData(Raw)'!$B$2:$B$180,"=GDP",'MoodysData(Raw)'!$D$2:$D$180,"="&amp;'Implied Productivity Ratios'!$C60)/SUMIFS('MoodysData(Raw)'!AX$2:AX$180,'MoodysData(Raw)'!$B$2:$B$180,"=EMP",'MoodysData(Raw)'!$D$2:$D$180,"="&amp;'Implied Productivity Ratios'!$C60)</f>
        <v>258.40060338913855</v>
      </c>
      <c r="AV60">
        <f>SUMIFS('MoodysData(Raw)'!AY$2:AY$180,'MoodysData(Raw)'!$B$2:$B$180,"=GDP",'MoodysData(Raw)'!$D$2:$D$180,"="&amp;'Implied Productivity Ratios'!$C60)/SUMIFS('MoodysData(Raw)'!AY$2:AY$180,'MoodysData(Raw)'!$B$2:$B$180,"=EMP",'MoodysData(Raw)'!$D$2:$D$180,"="&amp;'Implied Productivity Ratios'!$C60)</f>
        <v>258.52462725766696</v>
      </c>
      <c r="AW60">
        <f>SUMIFS('MoodysData(Raw)'!AZ$2:AZ$180,'MoodysData(Raw)'!$B$2:$B$180,"=GDP",'MoodysData(Raw)'!$D$2:$D$180,"="&amp;'Implied Productivity Ratios'!$C60)/SUMIFS('MoodysData(Raw)'!AZ$2:AZ$180,'MoodysData(Raw)'!$B$2:$B$180,"=EMP",'MoodysData(Raw)'!$D$2:$D$180,"="&amp;'Implied Productivity Ratios'!$C60)</f>
        <v>258.86198672280949</v>
      </c>
      <c r="AX60">
        <f>SUMIFS('MoodysData(Raw)'!BA$2:BA$180,'MoodysData(Raw)'!$B$2:$B$180,"=GDP",'MoodysData(Raw)'!$D$2:$D$180,"="&amp;'Implied Productivity Ratios'!$C60)/SUMIFS('MoodysData(Raw)'!BA$2:BA$180,'MoodysData(Raw)'!$B$2:$B$180,"=EMP",'MoodysData(Raw)'!$D$2:$D$180,"="&amp;'Implied Productivity Ratios'!$C60)</f>
        <v>259.40802962701537</v>
      </c>
      <c r="AY60">
        <f>SUMIFS('MoodysData(Raw)'!BB$2:BB$180,'MoodysData(Raw)'!$B$2:$B$180,"=GDP",'MoodysData(Raw)'!$D$2:$D$180,"="&amp;'Implied Productivity Ratios'!$C60)/SUMIFS('MoodysData(Raw)'!BB$2:BB$180,'MoodysData(Raw)'!$B$2:$B$180,"=EMP",'MoodysData(Raw)'!$D$2:$D$180,"="&amp;'Implied Productivity Ratios'!$C60)</f>
        <v>260.10950569251798</v>
      </c>
      <c r="AZ60">
        <f>SUMIFS('MoodysData(Raw)'!BC$2:BC$180,'MoodysData(Raw)'!$B$2:$B$180,"=GDP",'MoodysData(Raw)'!$D$2:$D$180,"="&amp;'Implied Productivity Ratios'!$C60)/SUMIFS('MoodysData(Raw)'!BC$2:BC$180,'MoodysData(Raw)'!$B$2:$B$180,"=EMP",'MoodysData(Raw)'!$D$2:$D$180,"="&amp;'Implied Productivity Ratios'!$C60)</f>
        <v>261.04872642752736</v>
      </c>
      <c r="BA60">
        <f>SUMIFS('MoodysData(Raw)'!BD$2:BD$180,'MoodysData(Raw)'!$B$2:$B$180,"=GDP",'MoodysData(Raw)'!$D$2:$D$180,"="&amp;'Implied Productivity Ratios'!$C60)/SUMIFS('MoodysData(Raw)'!BD$2:BD$180,'MoodysData(Raw)'!$B$2:$B$180,"=EMP",'MoodysData(Raw)'!$D$2:$D$180,"="&amp;'Implied Productivity Ratios'!$C60)</f>
        <v>262.20720582119583</v>
      </c>
      <c r="BB60">
        <f>SUMIFS('MoodysData(Raw)'!BE$2:BE$180,'MoodysData(Raw)'!$B$2:$B$180,"=GDP",'MoodysData(Raw)'!$D$2:$D$180,"="&amp;'Implied Productivity Ratios'!$C60)/SUMIFS('MoodysData(Raw)'!BE$2:BE$180,'MoodysData(Raw)'!$B$2:$B$180,"=EMP",'MoodysData(Raw)'!$D$2:$D$180,"="&amp;'Implied Productivity Ratios'!$C60)</f>
        <v>263.6803305593636</v>
      </c>
      <c r="BC60">
        <f>SUMIFS('MoodysData(Raw)'!BF$2:BF$180,'MoodysData(Raw)'!$B$2:$B$180,"=GDP",'MoodysData(Raw)'!$D$2:$D$180,"="&amp;'Implied Productivity Ratios'!$C60)/SUMIFS('MoodysData(Raw)'!BF$2:BF$180,'MoodysData(Raw)'!$B$2:$B$180,"=EMP",'MoodysData(Raw)'!$D$2:$D$180,"="&amp;'Implied Productivity Ratios'!$C60)</f>
        <v>265.46068061456094</v>
      </c>
      <c r="BD60" s="5">
        <f t="shared" ref="BD60:BH60" si="54">BC60+($BC60-$AX60)/5</f>
        <v>266.67121081207006</v>
      </c>
      <c r="BE60" s="5">
        <f t="shared" si="54"/>
        <v>267.88174100957917</v>
      </c>
      <c r="BF60" s="5">
        <f t="shared" si="54"/>
        <v>269.09227120708829</v>
      </c>
      <c r="BG60" s="5">
        <f t="shared" si="54"/>
        <v>270.3028014045974</v>
      </c>
      <c r="BH60" s="5">
        <f t="shared" si="54"/>
        <v>271.51333160210652</v>
      </c>
    </row>
    <row r="61" spans="3:60">
      <c r="C61">
        <v>515</v>
      </c>
      <c r="D61" t="s">
        <v>354</v>
      </c>
      <c r="E61">
        <f>SUMIFS('MoodysData(Raw)'!H$2:H$180,'MoodysData(Raw)'!$B$2:$B$180,"=GDP",'MoodysData(Raw)'!$D$2:$D$180,"="&amp;'Implied Productivity Ratios'!$C61)/SUMIFS('MoodysData(Raw)'!H$2:H$180,'MoodysData(Raw)'!$B$2:$B$180,"=EMP",'MoodysData(Raw)'!$D$2:$D$180,"="&amp;'Implied Productivity Ratios'!$C61)</f>
        <v>218.98868376545593</v>
      </c>
      <c r="F61">
        <f>SUMIFS('MoodysData(Raw)'!I$2:I$180,'MoodysData(Raw)'!$B$2:$B$180,"=GDP",'MoodysData(Raw)'!$D$2:$D$180,"="&amp;'Implied Productivity Ratios'!$C61)/SUMIFS('MoodysData(Raw)'!I$2:I$180,'MoodysData(Raw)'!$B$2:$B$180,"=EMP",'MoodysData(Raw)'!$D$2:$D$180,"="&amp;'Implied Productivity Ratios'!$C61)</f>
        <v>223.48705012208316</v>
      </c>
      <c r="G61">
        <f>SUMIFS('MoodysData(Raw)'!J$2:J$180,'MoodysData(Raw)'!$B$2:$B$180,"=GDP",'MoodysData(Raw)'!$D$2:$D$180,"="&amp;'Implied Productivity Ratios'!$C61)/SUMIFS('MoodysData(Raw)'!J$2:J$180,'MoodysData(Raw)'!$B$2:$B$180,"=EMP",'MoodysData(Raw)'!$D$2:$D$180,"="&amp;'Implied Productivity Ratios'!$C61)</f>
        <v>244.32155204155112</v>
      </c>
      <c r="H61">
        <f>SUMIFS('MoodysData(Raw)'!K$2:K$180,'MoodysData(Raw)'!$B$2:$B$180,"=GDP",'MoodysData(Raw)'!$D$2:$D$180,"="&amp;'Implied Productivity Ratios'!$C61)/SUMIFS('MoodysData(Raw)'!K$2:K$180,'MoodysData(Raw)'!$B$2:$B$180,"=EMP",'MoodysData(Raw)'!$D$2:$D$180,"="&amp;'Implied Productivity Ratios'!$C61)</f>
        <v>265.71922431955971</v>
      </c>
      <c r="I61">
        <f>SUMIFS('MoodysData(Raw)'!L$2:L$180,'MoodysData(Raw)'!$B$2:$B$180,"=GDP",'MoodysData(Raw)'!$D$2:$D$180,"="&amp;'Implied Productivity Ratios'!$C61)/SUMIFS('MoodysData(Raw)'!L$2:L$180,'MoodysData(Raw)'!$B$2:$B$180,"=EMP",'MoodysData(Raw)'!$D$2:$D$180,"="&amp;'Implied Productivity Ratios'!$C61)</f>
        <v>271.33805571855703</v>
      </c>
      <c r="J61">
        <f>SUMIFS('MoodysData(Raw)'!M$2:M$180,'MoodysData(Raw)'!$B$2:$B$180,"=GDP",'MoodysData(Raw)'!$D$2:$D$180,"="&amp;'Implied Productivity Ratios'!$C61)/SUMIFS('MoodysData(Raw)'!M$2:M$180,'MoodysData(Raw)'!$B$2:$B$180,"=EMP",'MoodysData(Raw)'!$D$2:$D$180,"="&amp;'Implied Productivity Ratios'!$C61)</f>
        <v>297.50021357002203</v>
      </c>
      <c r="K61">
        <f>SUMIFS('MoodysData(Raw)'!N$2:N$180,'MoodysData(Raw)'!$B$2:$B$180,"=GDP",'MoodysData(Raw)'!$D$2:$D$180,"="&amp;'Implied Productivity Ratios'!$C61)/SUMIFS('MoodysData(Raw)'!N$2:N$180,'MoodysData(Raw)'!$B$2:$B$180,"=EMP",'MoodysData(Raw)'!$D$2:$D$180,"="&amp;'Implied Productivity Ratios'!$C61)</f>
        <v>299.97705883205958</v>
      </c>
      <c r="L61">
        <f>SUMIFS('MoodysData(Raw)'!O$2:O$180,'MoodysData(Raw)'!$B$2:$B$180,"=GDP",'MoodysData(Raw)'!$D$2:$D$180,"="&amp;'Implied Productivity Ratios'!$C61)/SUMIFS('MoodysData(Raw)'!O$2:O$180,'MoodysData(Raw)'!$B$2:$B$180,"=EMP",'MoodysData(Raw)'!$D$2:$D$180,"="&amp;'Implied Productivity Ratios'!$C61)</f>
        <v>317.23416710824654</v>
      </c>
      <c r="M61">
        <f>SUMIFS('MoodysData(Raw)'!P$2:P$180,'MoodysData(Raw)'!$B$2:$B$180,"=GDP",'MoodysData(Raw)'!$D$2:$D$180,"="&amp;'Implied Productivity Ratios'!$C61)/SUMIFS('MoodysData(Raw)'!P$2:P$180,'MoodysData(Raw)'!$B$2:$B$180,"=EMP",'MoodysData(Raw)'!$D$2:$D$180,"="&amp;'Implied Productivity Ratios'!$C61)</f>
        <v>326.73415335636633</v>
      </c>
      <c r="N61">
        <f>SUMIFS('MoodysData(Raw)'!Q$2:Q$180,'MoodysData(Raw)'!$B$2:$B$180,"=GDP",'MoodysData(Raw)'!$D$2:$D$180,"="&amp;'Implied Productivity Ratios'!$C61)/SUMIFS('MoodysData(Raw)'!Q$2:Q$180,'MoodysData(Raw)'!$B$2:$B$180,"=EMP",'MoodysData(Raw)'!$D$2:$D$180,"="&amp;'Implied Productivity Ratios'!$C61)</f>
        <v>315.01586957140421</v>
      </c>
      <c r="O61">
        <f>SUMIFS('MoodysData(Raw)'!R$2:R$180,'MoodysData(Raw)'!$B$2:$B$180,"=GDP",'MoodysData(Raw)'!$D$2:$D$180,"="&amp;'Implied Productivity Ratios'!$C61)/SUMIFS('MoodysData(Raw)'!R$2:R$180,'MoodysData(Raw)'!$B$2:$B$180,"=EMP",'MoodysData(Raw)'!$D$2:$D$180,"="&amp;'Implied Productivity Ratios'!$C61)</f>
        <v>347.35314487096622</v>
      </c>
      <c r="P61">
        <f>SUMIFS('MoodysData(Raw)'!S$2:S$180,'MoodysData(Raw)'!$B$2:$B$180,"=GDP",'MoodysData(Raw)'!$D$2:$D$180,"="&amp;'Implied Productivity Ratios'!$C61)/SUMIFS('MoodysData(Raw)'!S$2:S$180,'MoodysData(Raw)'!$B$2:$B$180,"=EMP",'MoodysData(Raw)'!$D$2:$D$180,"="&amp;'Implied Productivity Ratios'!$C61)</f>
        <v>357.16389171674712</v>
      </c>
      <c r="Q61">
        <f>SUMIFS('MoodysData(Raw)'!T$2:T$180,'MoodysData(Raw)'!$B$2:$B$180,"=GDP",'MoodysData(Raw)'!$D$2:$D$180,"="&amp;'Implied Productivity Ratios'!$C61)/SUMIFS('MoodysData(Raw)'!T$2:T$180,'MoodysData(Raw)'!$B$2:$B$180,"=EMP",'MoodysData(Raw)'!$D$2:$D$180,"="&amp;'Implied Productivity Ratios'!$C61)</f>
        <v>383.62813701066307</v>
      </c>
      <c r="R61">
        <f>SUMIFS('MoodysData(Raw)'!U$2:U$180,'MoodysData(Raw)'!$B$2:$B$180,"=GDP",'MoodysData(Raw)'!$D$2:$D$180,"="&amp;'Implied Productivity Ratios'!$C61)/SUMIFS('MoodysData(Raw)'!U$2:U$180,'MoodysData(Raw)'!$B$2:$B$180,"=EMP",'MoodysData(Raw)'!$D$2:$D$180,"="&amp;'Implied Productivity Ratios'!$C61)</f>
        <v>402.10530720646329</v>
      </c>
      <c r="S61">
        <f>SUMIFS('MoodysData(Raw)'!V$2:V$180,'MoodysData(Raw)'!$B$2:$B$180,"=GDP",'MoodysData(Raw)'!$D$2:$D$180,"="&amp;'Implied Productivity Ratios'!$C61)/SUMIFS('MoodysData(Raw)'!V$2:V$180,'MoodysData(Raw)'!$B$2:$B$180,"=EMP",'MoodysData(Raw)'!$D$2:$D$180,"="&amp;'Implied Productivity Ratios'!$C61)</f>
        <v>400.80225001878142</v>
      </c>
      <c r="T61">
        <f>SUMIFS('MoodysData(Raw)'!W$2:W$180,'MoodysData(Raw)'!$B$2:$B$180,"=GDP",'MoodysData(Raw)'!$D$2:$D$180,"="&amp;'Implied Productivity Ratios'!$C61)/SUMIFS('MoodysData(Raw)'!W$2:W$180,'MoodysData(Raw)'!$B$2:$B$180,"=EMP",'MoodysData(Raw)'!$D$2:$D$180,"="&amp;'Implied Productivity Ratios'!$C61)</f>
        <v>450.20312254540625</v>
      </c>
      <c r="U61">
        <f>SUMIFS('MoodysData(Raw)'!X$2:X$180,'MoodysData(Raw)'!$B$2:$B$180,"=GDP",'MoodysData(Raw)'!$D$2:$D$180,"="&amp;'Implied Productivity Ratios'!$C61)/SUMIFS('MoodysData(Raw)'!X$2:X$180,'MoodysData(Raw)'!$B$2:$B$180,"=EMP",'MoodysData(Raw)'!$D$2:$D$180,"="&amp;'Implied Productivity Ratios'!$C61)</f>
        <v>480.38210437088759</v>
      </c>
      <c r="V61">
        <f>SUMIFS('MoodysData(Raw)'!Y$2:Y$180,'MoodysData(Raw)'!$B$2:$B$180,"=GDP",'MoodysData(Raw)'!$D$2:$D$180,"="&amp;'Implied Productivity Ratios'!$C61)/SUMIFS('MoodysData(Raw)'!Y$2:Y$180,'MoodysData(Raw)'!$B$2:$B$180,"=EMP",'MoodysData(Raw)'!$D$2:$D$180,"="&amp;'Implied Productivity Ratios'!$C61)</f>
        <v>446.64223220129747</v>
      </c>
      <c r="W61">
        <f>SUMIFS('MoodysData(Raw)'!Z$2:Z$180,'MoodysData(Raw)'!$B$2:$B$180,"=GDP",'MoodysData(Raw)'!$D$2:$D$180,"="&amp;'Implied Productivity Ratios'!$C61)/SUMIFS('MoodysData(Raw)'!Z$2:Z$180,'MoodysData(Raw)'!$B$2:$B$180,"=EMP",'MoodysData(Raw)'!$D$2:$D$180,"="&amp;'Implied Productivity Ratios'!$C61)</f>
        <v>564.99485979697704</v>
      </c>
      <c r="X61">
        <f>SUMIFS('MoodysData(Raw)'!AA$2:AA$180,'MoodysData(Raw)'!$B$2:$B$180,"=GDP",'MoodysData(Raw)'!$D$2:$D$180,"="&amp;'Implied Productivity Ratios'!$C61)/SUMIFS('MoodysData(Raw)'!AA$2:AA$180,'MoodysData(Raw)'!$B$2:$B$180,"=EMP",'MoodysData(Raw)'!$D$2:$D$180,"="&amp;'Implied Productivity Ratios'!$C61)</f>
        <v>632.27437567812535</v>
      </c>
      <c r="Y61">
        <f>SUMIFS('MoodysData(Raw)'!AB$2:AB$180,'MoodysData(Raw)'!$B$2:$B$180,"=GDP",'MoodysData(Raw)'!$D$2:$D$180,"="&amp;'Implied Productivity Ratios'!$C61)/SUMIFS('MoodysData(Raw)'!AB$2:AB$180,'MoodysData(Raw)'!$B$2:$B$180,"=EMP",'MoodysData(Raw)'!$D$2:$D$180,"="&amp;'Implied Productivity Ratios'!$C61)</f>
        <v>663.72937976211961</v>
      </c>
      <c r="Z61">
        <f>SUMIFS('MoodysData(Raw)'!AC$2:AC$180,'MoodysData(Raw)'!$B$2:$B$180,"=GDP",'MoodysData(Raw)'!$D$2:$D$180,"="&amp;'Implied Productivity Ratios'!$C61)/SUMIFS('MoodysData(Raw)'!AC$2:AC$180,'MoodysData(Raw)'!$B$2:$B$180,"=EMP",'MoodysData(Raw)'!$D$2:$D$180,"="&amp;'Implied Productivity Ratios'!$C61)</f>
        <v>690.01792166221014</v>
      </c>
      <c r="AA61">
        <f>SUMIFS('MoodysData(Raw)'!AD$2:AD$180,'MoodysData(Raw)'!$B$2:$B$180,"=GDP",'MoodysData(Raw)'!$D$2:$D$180,"="&amp;'Implied Productivity Ratios'!$C61)/SUMIFS('MoodysData(Raw)'!AD$2:AD$180,'MoodysData(Raw)'!$B$2:$B$180,"=EMP",'MoodysData(Raw)'!$D$2:$D$180,"="&amp;'Implied Productivity Ratios'!$C61)</f>
        <v>720.38439454475804</v>
      </c>
      <c r="AB61">
        <f>SUMIFS('MoodysData(Raw)'!AE$2:AE$180,'MoodysData(Raw)'!$B$2:$B$180,"=GDP",'MoodysData(Raw)'!$D$2:$D$180,"="&amp;'Implied Productivity Ratios'!$C61)/SUMIFS('MoodysData(Raw)'!AE$2:AE$180,'MoodysData(Raw)'!$B$2:$B$180,"=EMP",'MoodysData(Raw)'!$D$2:$D$180,"="&amp;'Implied Productivity Ratios'!$C61)</f>
        <v>755.38820957539178</v>
      </c>
      <c r="AC61">
        <f>SUMIFS('MoodysData(Raw)'!AF$2:AF$180,'MoodysData(Raw)'!$B$2:$B$180,"=GDP",'MoodysData(Raw)'!$D$2:$D$180,"="&amp;'Implied Productivity Ratios'!$C61)/SUMIFS('MoodysData(Raw)'!AF$2:AF$180,'MoodysData(Raw)'!$B$2:$B$180,"=EMP",'MoodysData(Raw)'!$D$2:$D$180,"="&amp;'Implied Productivity Ratios'!$C61)</f>
        <v>793.90809011089334</v>
      </c>
      <c r="AD61">
        <f>SUMIFS('MoodysData(Raw)'!AG$2:AG$180,'MoodysData(Raw)'!$B$2:$B$180,"=GDP",'MoodysData(Raw)'!$D$2:$D$180,"="&amp;'Implied Productivity Ratios'!$C61)/SUMIFS('MoodysData(Raw)'!AG$2:AG$180,'MoodysData(Raw)'!$B$2:$B$180,"=EMP",'MoodysData(Raw)'!$D$2:$D$180,"="&amp;'Implied Productivity Ratios'!$C61)</f>
        <v>835.15295561692756</v>
      </c>
      <c r="AE61">
        <f>SUMIFS('MoodysData(Raw)'!AH$2:AH$180,'MoodysData(Raw)'!$B$2:$B$180,"=GDP",'MoodysData(Raw)'!$D$2:$D$180,"="&amp;'Implied Productivity Ratios'!$C61)/SUMIFS('MoodysData(Raw)'!AH$2:AH$180,'MoodysData(Raw)'!$B$2:$B$180,"=EMP",'MoodysData(Raw)'!$D$2:$D$180,"="&amp;'Implied Productivity Ratios'!$C61)</f>
        <v>876.68795340462373</v>
      </c>
      <c r="AF61">
        <f>SUMIFS('MoodysData(Raw)'!AI$2:AI$180,'MoodysData(Raw)'!$B$2:$B$180,"=GDP",'MoodysData(Raw)'!$D$2:$D$180,"="&amp;'Implied Productivity Ratios'!$C61)/SUMIFS('MoodysData(Raw)'!AI$2:AI$180,'MoodysData(Raw)'!$B$2:$B$180,"=EMP",'MoodysData(Raw)'!$D$2:$D$180,"="&amp;'Implied Productivity Ratios'!$C61)</f>
        <v>919.42870518753261</v>
      </c>
      <c r="AG61">
        <f>SUMIFS('MoodysData(Raw)'!AJ$2:AJ$180,'MoodysData(Raw)'!$B$2:$B$180,"=GDP",'MoodysData(Raw)'!$D$2:$D$180,"="&amp;'Implied Productivity Ratios'!$C61)/SUMIFS('MoodysData(Raw)'!AJ$2:AJ$180,'MoodysData(Raw)'!$B$2:$B$180,"=EMP",'MoodysData(Raw)'!$D$2:$D$180,"="&amp;'Implied Productivity Ratios'!$C61)</f>
        <v>962.01893120667819</v>
      </c>
      <c r="AH61">
        <f>SUMIFS('MoodysData(Raw)'!AK$2:AK$180,'MoodysData(Raw)'!$B$2:$B$180,"=GDP",'MoodysData(Raw)'!$D$2:$D$180,"="&amp;'Implied Productivity Ratios'!$C61)/SUMIFS('MoodysData(Raw)'!AK$2:AK$180,'MoodysData(Raw)'!$B$2:$B$180,"=EMP",'MoodysData(Raw)'!$D$2:$D$180,"="&amp;'Implied Productivity Ratios'!$C61)</f>
        <v>1002.5468230430484</v>
      </c>
      <c r="AI61">
        <f>SUMIFS('MoodysData(Raw)'!AL$2:AL$180,'MoodysData(Raw)'!$B$2:$B$180,"=GDP",'MoodysData(Raw)'!$D$2:$D$180,"="&amp;'Implied Productivity Ratios'!$C61)/SUMIFS('MoodysData(Raw)'!AL$2:AL$180,'MoodysData(Raw)'!$B$2:$B$180,"=EMP",'MoodysData(Raw)'!$D$2:$D$180,"="&amp;'Implied Productivity Ratios'!$C61)</f>
        <v>1041.5268446360469</v>
      </c>
      <c r="AJ61">
        <f>SUMIFS('MoodysData(Raw)'!AM$2:AM$180,'MoodysData(Raw)'!$B$2:$B$180,"=GDP",'MoodysData(Raw)'!$D$2:$D$180,"="&amp;'Implied Productivity Ratios'!$C61)/SUMIFS('MoodysData(Raw)'!AM$2:AM$180,'MoodysData(Raw)'!$B$2:$B$180,"=EMP",'MoodysData(Raw)'!$D$2:$D$180,"="&amp;'Implied Productivity Ratios'!$C61)</f>
        <v>1081.4069835138114</v>
      </c>
      <c r="AK61">
        <f>SUMIFS('MoodysData(Raw)'!AN$2:AN$180,'MoodysData(Raw)'!$B$2:$B$180,"=GDP",'MoodysData(Raw)'!$D$2:$D$180,"="&amp;'Implied Productivity Ratios'!$C61)/SUMIFS('MoodysData(Raw)'!AN$2:AN$180,'MoodysData(Raw)'!$B$2:$B$180,"=EMP",'MoodysData(Raw)'!$D$2:$D$180,"="&amp;'Implied Productivity Ratios'!$C61)</f>
        <v>1122.2862313717728</v>
      </c>
      <c r="AL61">
        <f>SUMIFS('MoodysData(Raw)'!AO$2:AO$180,'MoodysData(Raw)'!$B$2:$B$180,"=GDP",'MoodysData(Raw)'!$D$2:$D$180,"="&amp;'Implied Productivity Ratios'!$C61)/SUMIFS('MoodysData(Raw)'!AO$2:AO$180,'MoodysData(Raw)'!$B$2:$B$180,"=EMP",'MoodysData(Raw)'!$D$2:$D$180,"="&amp;'Implied Productivity Ratios'!$C61)</f>
        <v>1162.928890152675</v>
      </c>
      <c r="AM61">
        <f>SUMIFS('MoodysData(Raw)'!AP$2:AP$180,'MoodysData(Raw)'!$B$2:$B$180,"=GDP",'MoodysData(Raw)'!$D$2:$D$180,"="&amp;'Implied Productivity Ratios'!$C61)/SUMIFS('MoodysData(Raw)'!AP$2:AP$180,'MoodysData(Raw)'!$B$2:$B$180,"=EMP",'MoodysData(Raw)'!$D$2:$D$180,"="&amp;'Implied Productivity Ratios'!$C61)</f>
        <v>1204.0642566359716</v>
      </c>
      <c r="AN61">
        <f>SUMIFS('MoodysData(Raw)'!AQ$2:AQ$180,'MoodysData(Raw)'!$B$2:$B$180,"=GDP",'MoodysData(Raw)'!$D$2:$D$180,"="&amp;'Implied Productivity Ratios'!$C61)/SUMIFS('MoodysData(Raw)'!AQ$2:AQ$180,'MoodysData(Raw)'!$B$2:$B$180,"=EMP",'MoodysData(Raw)'!$D$2:$D$180,"="&amp;'Implied Productivity Ratios'!$C61)</f>
        <v>1245.0138917862303</v>
      </c>
      <c r="AO61">
        <f>SUMIFS('MoodysData(Raw)'!AR$2:AR$180,'MoodysData(Raw)'!$B$2:$B$180,"=GDP",'MoodysData(Raw)'!$D$2:$D$180,"="&amp;'Implied Productivity Ratios'!$C61)/SUMIFS('MoodysData(Raw)'!AR$2:AR$180,'MoodysData(Raw)'!$B$2:$B$180,"=EMP",'MoodysData(Raw)'!$D$2:$D$180,"="&amp;'Implied Productivity Ratios'!$C61)</f>
        <v>1284.5115629636093</v>
      </c>
      <c r="AP61">
        <f>SUMIFS('MoodysData(Raw)'!AS$2:AS$180,'MoodysData(Raw)'!$B$2:$B$180,"=GDP",'MoodysData(Raw)'!$D$2:$D$180,"="&amp;'Implied Productivity Ratios'!$C61)/SUMIFS('MoodysData(Raw)'!AS$2:AS$180,'MoodysData(Raw)'!$B$2:$B$180,"=EMP",'MoodysData(Raw)'!$D$2:$D$180,"="&amp;'Implied Productivity Ratios'!$C61)</f>
        <v>1322.8378967576098</v>
      </c>
      <c r="AQ61">
        <f>SUMIFS('MoodysData(Raw)'!AT$2:AT$180,'MoodysData(Raw)'!$B$2:$B$180,"=GDP",'MoodysData(Raw)'!$D$2:$D$180,"="&amp;'Implied Productivity Ratios'!$C61)/SUMIFS('MoodysData(Raw)'!AT$2:AT$180,'MoodysData(Raw)'!$B$2:$B$180,"=EMP",'MoodysData(Raw)'!$D$2:$D$180,"="&amp;'Implied Productivity Ratios'!$C61)</f>
        <v>1359.441334920939</v>
      </c>
      <c r="AR61">
        <f>SUMIFS('MoodysData(Raw)'!AU$2:AU$180,'MoodysData(Raw)'!$B$2:$B$180,"=GDP",'MoodysData(Raw)'!$D$2:$D$180,"="&amp;'Implied Productivity Ratios'!$C61)/SUMIFS('MoodysData(Raw)'!AU$2:AU$180,'MoodysData(Raw)'!$B$2:$B$180,"=EMP",'MoodysData(Raw)'!$D$2:$D$180,"="&amp;'Implied Productivity Ratios'!$C61)</f>
        <v>1394.1651280131375</v>
      </c>
      <c r="AS61">
        <f>SUMIFS('MoodysData(Raw)'!AV$2:AV$180,'MoodysData(Raw)'!$B$2:$B$180,"=GDP",'MoodysData(Raw)'!$D$2:$D$180,"="&amp;'Implied Productivity Ratios'!$C61)/SUMIFS('MoodysData(Raw)'!AV$2:AV$180,'MoodysData(Raw)'!$B$2:$B$180,"=EMP",'MoodysData(Raw)'!$D$2:$D$180,"="&amp;'Implied Productivity Ratios'!$C61)</f>
        <v>1427.2487693496437</v>
      </c>
      <c r="AT61">
        <f>SUMIFS('MoodysData(Raw)'!AW$2:AW$180,'MoodysData(Raw)'!$B$2:$B$180,"=GDP",'MoodysData(Raw)'!$D$2:$D$180,"="&amp;'Implied Productivity Ratios'!$C61)/SUMIFS('MoodysData(Raw)'!AW$2:AW$180,'MoodysData(Raw)'!$B$2:$B$180,"=EMP",'MoodysData(Raw)'!$D$2:$D$180,"="&amp;'Implied Productivity Ratios'!$C61)</f>
        <v>1458.7706053555789</v>
      </c>
      <c r="AU61">
        <f>SUMIFS('MoodysData(Raw)'!AX$2:AX$180,'MoodysData(Raw)'!$B$2:$B$180,"=GDP",'MoodysData(Raw)'!$D$2:$D$180,"="&amp;'Implied Productivity Ratios'!$C61)/SUMIFS('MoodysData(Raw)'!AX$2:AX$180,'MoodysData(Raw)'!$B$2:$B$180,"=EMP",'MoodysData(Raw)'!$D$2:$D$180,"="&amp;'Implied Productivity Ratios'!$C61)</f>
        <v>1489.6847726249439</v>
      </c>
      <c r="AV61">
        <f>SUMIFS('MoodysData(Raw)'!AY$2:AY$180,'MoodysData(Raw)'!$B$2:$B$180,"=GDP",'MoodysData(Raw)'!$D$2:$D$180,"="&amp;'Implied Productivity Ratios'!$C61)/SUMIFS('MoodysData(Raw)'!AY$2:AY$180,'MoodysData(Raw)'!$B$2:$B$180,"=EMP",'MoodysData(Raw)'!$D$2:$D$180,"="&amp;'Implied Productivity Ratios'!$C61)</f>
        <v>1519.7173570814039</v>
      </c>
      <c r="AW61">
        <f>SUMIFS('MoodysData(Raw)'!AZ$2:AZ$180,'MoodysData(Raw)'!$B$2:$B$180,"=GDP",'MoodysData(Raw)'!$D$2:$D$180,"="&amp;'Implied Productivity Ratios'!$C61)/SUMIFS('MoodysData(Raw)'!AZ$2:AZ$180,'MoodysData(Raw)'!$B$2:$B$180,"=EMP",'MoodysData(Raw)'!$D$2:$D$180,"="&amp;'Implied Productivity Ratios'!$C61)</f>
        <v>1548.0797890122954</v>
      </c>
      <c r="AX61">
        <f>SUMIFS('MoodysData(Raw)'!BA$2:BA$180,'MoodysData(Raw)'!$B$2:$B$180,"=GDP",'MoodysData(Raw)'!$D$2:$D$180,"="&amp;'Implied Productivity Ratios'!$C61)/SUMIFS('MoodysData(Raw)'!BA$2:BA$180,'MoodysData(Raw)'!$B$2:$B$180,"=EMP",'MoodysData(Raw)'!$D$2:$D$180,"="&amp;'Implied Productivity Ratios'!$C61)</f>
        <v>1574.670109784664</v>
      </c>
      <c r="AY61">
        <f>SUMIFS('MoodysData(Raw)'!BB$2:BB$180,'MoodysData(Raw)'!$B$2:$B$180,"=GDP",'MoodysData(Raw)'!$D$2:$D$180,"="&amp;'Implied Productivity Ratios'!$C61)/SUMIFS('MoodysData(Raw)'!BB$2:BB$180,'MoodysData(Raw)'!$B$2:$B$180,"=EMP",'MoodysData(Raw)'!$D$2:$D$180,"="&amp;'Implied Productivity Ratios'!$C61)</f>
        <v>1599.0909393642428</v>
      </c>
      <c r="AZ61">
        <f>SUMIFS('MoodysData(Raw)'!BC$2:BC$180,'MoodysData(Raw)'!$B$2:$B$180,"=GDP",'MoodysData(Raw)'!$D$2:$D$180,"="&amp;'Implied Productivity Ratios'!$C61)/SUMIFS('MoodysData(Raw)'!BC$2:BC$180,'MoodysData(Raw)'!$B$2:$B$180,"=EMP",'MoodysData(Raw)'!$D$2:$D$180,"="&amp;'Implied Productivity Ratios'!$C61)</f>
        <v>1621.6715415437538</v>
      </c>
      <c r="BA61">
        <f>SUMIFS('MoodysData(Raw)'!BD$2:BD$180,'MoodysData(Raw)'!$B$2:$B$180,"=GDP",'MoodysData(Raw)'!$D$2:$D$180,"="&amp;'Implied Productivity Ratios'!$C61)/SUMIFS('MoodysData(Raw)'!BD$2:BD$180,'MoodysData(Raw)'!$B$2:$B$180,"=EMP",'MoodysData(Raw)'!$D$2:$D$180,"="&amp;'Implied Productivity Ratios'!$C61)</f>
        <v>1642.1979961046134</v>
      </c>
      <c r="BB61">
        <f>SUMIFS('MoodysData(Raw)'!BE$2:BE$180,'MoodysData(Raw)'!$B$2:$B$180,"=GDP",'MoodysData(Raw)'!$D$2:$D$180,"="&amp;'Implied Productivity Ratios'!$C61)/SUMIFS('MoodysData(Raw)'!BE$2:BE$180,'MoodysData(Raw)'!$B$2:$B$180,"=EMP",'MoodysData(Raw)'!$D$2:$D$180,"="&amp;'Implied Productivity Ratios'!$C61)</f>
        <v>1661.2308690899151</v>
      </c>
      <c r="BC61">
        <f>SUMIFS('MoodysData(Raw)'!BF$2:BF$180,'MoodysData(Raw)'!$B$2:$B$180,"=GDP",'MoodysData(Raw)'!$D$2:$D$180,"="&amp;'Implied Productivity Ratios'!$C61)/SUMIFS('MoodysData(Raw)'!BF$2:BF$180,'MoodysData(Raw)'!$B$2:$B$180,"=EMP",'MoodysData(Raw)'!$D$2:$D$180,"="&amp;'Implied Productivity Ratios'!$C61)</f>
        <v>1678.640119007875</v>
      </c>
      <c r="BD61" s="5">
        <f t="shared" ref="BD61:BH61" si="55">BC61+($BC61-$AX61)/5</f>
        <v>1699.4341208525173</v>
      </c>
      <c r="BE61" s="5">
        <f t="shared" si="55"/>
        <v>1720.2281226971595</v>
      </c>
      <c r="BF61" s="5">
        <f t="shared" si="55"/>
        <v>1741.0221245418018</v>
      </c>
      <c r="BG61" s="5">
        <f t="shared" si="55"/>
        <v>1761.816126386444</v>
      </c>
      <c r="BH61" s="5">
        <f t="shared" si="55"/>
        <v>1782.6101282310863</v>
      </c>
    </row>
    <row r="62" spans="3:60">
      <c r="C62">
        <v>517</v>
      </c>
      <c r="D62" t="s">
        <v>358</v>
      </c>
      <c r="E62">
        <f>SUMIFS('MoodysData(Raw)'!H$2:H$180,'MoodysData(Raw)'!$B$2:$B$180,"=GDP",'MoodysData(Raw)'!$D$2:$D$180,"="&amp;'Implied Productivity Ratios'!$C62)/SUMIFS('MoodysData(Raw)'!H$2:H$180,'MoodysData(Raw)'!$B$2:$B$180,"=EMP",'MoodysData(Raw)'!$D$2:$D$180,"="&amp;'Implied Productivity Ratios'!$C62)</f>
        <v>186.7832539857512</v>
      </c>
      <c r="F62">
        <f>SUMIFS('MoodysData(Raw)'!I$2:I$180,'MoodysData(Raw)'!$B$2:$B$180,"=GDP",'MoodysData(Raw)'!$D$2:$D$180,"="&amp;'Implied Productivity Ratios'!$C62)/SUMIFS('MoodysData(Raw)'!I$2:I$180,'MoodysData(Raw)'!$B$2:$B$180,"=EMP",'MoodysData(Raw)'!$D$2:$D$180,"="&amp;'Implied Productivity Ratios'!$C62)</f>
        <v>200.08940818388254</v>
      </c>
      <c r="G62">
        <f>SUMIFS('MoodysData(Raw)'!J$2:J$180,'MoodysData(Raw)'!$B$2:$B$180,"=GDP",'MoodysData(Raw)'!$D$2:$D$180,"="&amp;'Implied Productivity Ratios'!$C62)/SUMIFS('MoodysData(Raw)'!J$2:J$180,'MoodysData(Raw)'!$B$2:$B$180,"=EMP",'MoodysData(Raw)'!$D$2:$D$180,"="&amp;'Implied Productivity Ratios'!$C62)</f>
        <v>222.43029699058408</v>
      </c>
      <c r="H62">
        <f>SUMIFS('MoodysData(Raw)'!K$2:K$180,'MoodysData(Raw)'!$B$2:$B$180,"=GDP",'MoodysData(Raw)'!$D$2:$D$180,"="&amp;'Implied Productivity Ratios'!$C62)/SUMIFS('MoodysData(Raw)'!K$2:K$180,'MoodysData(Raw)'!$B$2:$B$180,"=EMP",'MoodysData(Raw)'!$D$2:$D$180,"="&amp;'Implied Productivity Ratios'!$C62)</f>
        <v>242.16190669150677</v>
      </c>
      <c r="I62">
        <f>SUMIFS('MoodysData(Raw)'!L$2:L$180,'MoodysData(Raw)'!$B$2:$B$180,"=GDP",'MoodysData(Raw)'!$D$2:$D$180,"="&amp;'Implied Productivity Ratios'!$C62)/SUMIFS('MoodysData(Raw)'!L$2:L$180,'MoodysData(Raw)'!$B$2:$B$180,"=EMP",'MoodysData(Raw)'!$D$2:$D$180,"="&amp;'Implied Productivity Ratios'!$C62)</f>
        <v>239.96421338262186</v>
      </c>
      <c r="J62">
        <f>SUMIFS('MoodysData(Raw)'!M$2:M$180,'MoodysData(Raw)'!$B$2:$B$180,"=GDP",'MoodysData(Raw)'!$D$2:$D$180,"="&amp;'Implied Productivity Ratios'!$C62)/SUMIFS('MoodysData(Raw)'!M$2:M$180,'MoodysData(Raw)'!$B$2:$B$180,"=EMP",'MoodysData(Raw)'!$D$2:$D$180,"="&amp;'Implied Productivity Ratios'!$C62)</f>
        <v>262.58503553504067</v>
      </c>
      <c r="K62">
        <f>SUMIFS('MoodysData(Raw)'!N$2:N$180,'MoodysData(Raw)'!$B$2:$B$180,"=GDP",'MoodysData(Raw)'!$D$2:$D$180,"="&amp;'Implied Productivity Ratios'!$C62)/SUMIFS('MoodysData(Raw)'!N$2:N$180,'MoodysData(Raw)'!$B$2:$B$180,"=EMP",'MoodysData(Raw)'!$D$2:$D$180,"="&amp;'Implied Productivity Ratios'!$C62)</f>
        <v>267.17061717454561</v>
      </c>
      <c r="L62">
        <f>SUMIFS('MoodysData(Raw)'!O$2:O$180,'MoodysData(Raw)'!$B$2:$B$180,"=GDP",'MoodysData(Raw)'!$D$2:$D$180,"="&amp;'Implied Productivity Ratios'!$C62)/SUMIFS('MoodysData(Raw)'!O$2:O$180,'MoodysData(Raw)'!$B$2:$B$180,"=EMP",'MoodysData(Raw)'!$D$2:$D$180,"="&amp;'Implied Productivity Ratios'!$C62)</f>
        <v>276.03258062170255</v>
      </c>
      <c r="M62">
        <f>SUMIFS('MoodysData(Raw)'!P$2:P$180,'MoodysData(Raw)'!$B$2:$B$180,"=GDP",'MoodysData(Raw)'!$D$2:$D$180,"="&amp;'Implied Productivity Ratios'!$C62)/SUMIFS('MoodysData(Raw)'!P$2:P$180,'MoodysData(Raw)'!$B$2:$B$180,"=EMP",'MoodysData(Raw)'!$D$2:$D$180,"="&amp;'Implied Productivity Ratios'!$C62)</f>
        <v>312.74823168258939</v>
      </c>
      <c r="N62">
        <f>SUMIFS('MoodysData(Raw)'!Q$2:Q$180,'MoodysData(Raw)'!$B$2:$B$180,"=GDP",'MoodysData(Raw)'!$D$2:$D$180,"="&amp;'Implied Productivity Ratios'!$C62)/SUMIFS('MoodysData(Raw)'!Q$2:Q$180,'MoodysData(Raw)'!$B$2:$B$180,"=EMP",'MoodysData(Raw)'!$D$2:$D$180,"="&amp;'Implied Productivity Ratios'!$C62)</f>
        <v>318.31806153046273</v>
      </c>
      <c r="O62">
        <f>SUMIFS('MoodysData(Raw)'!R$2:R$180,'MoodysData(Raw)'!$B$2:$B$180,"=GDP",'MoodysData(Raw)'!$D$2:$D$180,"="&amp;'Implied Productivity Ratios'!$C62)/SUMIFS('MoodysData(Raw)'!R$2:R$180,'MoodysData(Raw)'!$B$2:$B$180,"=EMP",'MoodysData(Raw)'!$D$2:$D$180,"="&amp;'Implied Productivity Ratios'!$C62)</f>
        <v>379.26192531570638</v>
      </c>
      <c r="P62">
        <f>SUMIFS('MoodysData(Raw)'!S$2:S$180,'MoodysData(Raw)'!$B$2:$B$180,"=GDP",'MoodysData(Raw)'!$D$2:$D$180,"="&amp;'Implied Productivity Ratios'!$C62)/SUMIFS('MoodysData(Raw)'!S$2:S$180,'MoodysData(Raw)'!$B$2:$B$180,"=EMP",'MoodysData(Raw)'!$D$2:$D$180,"="&amp;'Implied Productivity Ratios'!$C62)</f>
        <v>426.66440312099473</v>
      </c>
      <c r="Q62">
        <f>SUMIFS('MoodysData(Raw)'!T$2:T$180,'MoodysData(Raw)'!$B$2:$B$180,"=GDP",'MoodysData(Raw)'!$D$2:$D$180,"="&amp;'Implied Productivity Ratios'!$C62)/SUMIFS('MoodysData(Raw)'!T$2:T$180,'MoodysData(Raw)'!$B$2:$B$180,"=EMP",'MoodysData(Raw)'!$D$2:$D$180,"="&amp;'Implied Productivity Ratios'!$C62)</f>
        <v>458.58933209576134</v>
      </c>
      <c r="R62">
        <f>SUMIFS('MoodysData(Raw)'!U$2:U$180,'MoodysData(Raw)'!$B$2:$B$180,"=GDP",'MoodysData(Raw)'!$D$2:$D$180,"="&amp;'Implied Productivity Ratios'!$C62)/SUMIFS('MoodysData(Raw)'!U$2:U$180,'MoodysData(Raw)'!$B$2:$B$180,"=EMP",'MoodysData(Raw)'!$D$2:$D$180,"="&amp;'Implied Productivity Ratios'!$C62)</f>
        <v>495.99449460325366</v>
      </c>
      <c r="S62">
        <f>SUMIFS('MoodysData(Raw)'!V$2:V$180,'MoodysData(Raw)'!$B$2:$B$180,"=GDP",'MoodysData(Raw)'!$D$2:$D$180,"="&amp;'Implied Productivity Ratios'!$C62)/SUMIFS('MoodysData(Raw)'!V$2:V$180,'MoodysData(Raw)'!$B$2:$B$180,"=EMP",'MoodysData(Raw)'!$D$2:$D$180,"="&amp;'Implied Productivity Ratios'!$C62)</f>
        <v>565.42972719347438</v>
      </c>
      <c r="T62">
        <f>SUMIFS('MoodysData(Raw)'!W$2:W$180,'MoodysData(Raw)'!$B$2:$B$180,"=GDP",'MoodysData(Raw)'!$D$2:$D$180,"="&amp;'Implied Productivity Ratios'!$C62)/SUMIFS('MoodysData(Raw)'!W$2:W$180,'MoodysData(Raw)'!$B$2:$B$180,"=EMP",'MoodysData(Raw)'!$D$2:$D$180,"="&amp;'Implied Productivity Ratios'!$C62)</f>
        <v>565.99151466686055</v>
      </c>
      <c r="U62">
        <f>SUMIFS('MoodysData(Raw)'!X$2:X$180,'MoodysData(Raw)'!$B$2:$B$180,"=GDP",'MoodysData(Raw)'!$D$2:$D$180,"="&amp;'Implied Productivity Ratios'!$C62)/SUMIFS('MoodysData(Raw)'!X$2:X$180,'MoodysData(Raw)'!$B$2:$B$180,"=EMP",'MoodysData(Raw)'!$D$2:$D$180,"="&amp;'Implied Productivity Ratios'!$C62)</f>
        <v>615.85648248964117</v>
      </c>
      <c r="V62">
        <f>SUMIFS('MoodysData(Raw)'!Y$2:Y$180,'MoodysData(Raw)'!$B$2:$B$180,"=GDP",'MoodysData(Raw)'!$D$2:$D$180,"="&amp;'Implied Productivity Ratios'!$C62)/SUMIFS('MoodysData(Raw)'!Y$2:Y$180,'MoodysData(Raw)'!$B$2:$B$180,"=EMP",'MoodysData(Raw)'!$D$2:$D$180,"="&amp;'Implied Productivity Ratios'!$C62)</f>
        <v>613.73358554455149</v>
      </c>
      <c r="W62">
        <f>SUMIFS('MoodysData(Raw)'!Z$2:Z$180,'MoodysData(Raw)'!$B$2:$B$180,"=GDP",'MoodysData(Raw)'!$D$2:$D$180,"="&amp;'Implied Productivity Ratios'!$C62)/SUMIFS('MoodysData(Raw)'!Z$2:Z$180,'MoodysData(Raw)'!$B$2:$B$180,"=EMP",'MoodysData(Raw)'!$D$2:$D$180,"="&amp;'Implied Productivity Ratios'!$C62)</f>
        <v>607.91736133621191</v>
      </c>
      <c r="X62">
        <f>SUMIFS('MoodysData(Raw)'!AA$2:AA$180,'MoodysData(Raw)'!$B$2:$B$180,"=GDP",'MoodysData(Raw)'!$D$2:$D$180,"="&amp;'Implied Productivity Ratios'!$C62)/SUMIFS('MoodysData(Raw)'!AA$2:AA$180,'MoodysData(Raw)'!$B$2:$B$180,"=EMP",'MoodysData(Raw)'!$D$2:$D$180,"="&amp;'Implied Productivity Ratios'!$C62)</f>
        <v>615.38302721735818</v>
      </c>
      <c r="Y62">
        <f>SUMIFS('MoodysData(Raw)'!AB$2:AB$180,'MoodysData(Raw)'!$B$2:$B$180,"=GDP",'MoodysData(Raw)'!$D$2:$D$180,"="&amp;'Implied Productivity Ratios'!$C62)/SUMIFS('MoodysData(Raw)'!AB$2:AB$180,'MoodysData(Raw)'!$B$2:$B$180,"=EMP",'MoodysData(Raw)'!$D$2:$D$180,"="&amp;'Implied Productivity Ratios'!$C62)</f>
        <v>658.59432222955149</v>
      </c>
      <c r="Z62">
        <f>SUMIFS('MoodysData(Raw)'!AC$2:AC$180,'MoodysData(Raw)'!$B$2:$B$180,"=GDP",'MoodysData(Raw)'!$D$2:$D$180,"="&amp;'Implied Productivity Ratios'!$C62)/SUMIFS('MoodysData(Raw)'!AC$2:AC$180,'MoodysData(Raw)'!$B$2:$B$180,"=EMP",'MoodysData(Raw)'!$D$2:$D$180,"="&amp;'Implied Productivity Ratios'!$C62)</f>
        <v>705.25560789476378</v>
      </c>
      <c r="AA62">
        <f>SUMIFS('MoodysData(Raw)'!AD$2:AD$180,'MoodysData(Raw)'!$B$2:$B$180,"=GDP",'MoodysData(Raw)'!$D$2:$D$180,"="&amp;'Implied Productivity Ratios'!$C62)/SUMIFS('MoodysData(Raw)'!AD$2:AD$180,'MoodysData(Raw)'!$B$2:$B$180,"=EMP",'MoodysData(Raw)'!$D$2:$D$180,"="&amp;'Implied Productivity Ratios'!$C62)</f>
        <v>758.0329006586561</v>
      </c>
      <c r="AB62">
        <f>SUMIFS('MoodysData(Raw)'!AE$2:AE$180,'MoodysData(Raw)'!$B$2:$B$180,"=GDP",'MoodysData(Raw)'!$D$2:$D$180,"="&amp;'Implied Productivity Ratios'!$C62)/SUMIFS('MoodysData(Raw)'!AE$2:AE$180,'MoodysData(Raw)'!$B$2:$B$180,"=EMP",'MoodysData(Raw)'!$D$2:$D$180,"="&amp;'Implied Productivity Ratios'!$C62)</f>
        <v>817.89100712461743</v>
      </c>
      <c r="AC62">
        <f>SUMIFS('MoodysData(Raw)'!AF$2:AF$180,'MoodysData(Raw)'!$B$2:$B$180,"=GDP",'MoodysData(Raw)'!$D$2:$D$180,"="&amp;'Implied Productivity Ratios'!$C62)/SUMIFS('MoodysData(Raw)'!AF$2:AF$180,'MoodysData(Raw)'!$B$2:$B$180,"=EMP",'MoodysData(Raw)'!$D$2:$D$180,"="&amp;'Implied Productivity Ratios'!$C62)</f>
        <v>883.91918302257579</v>
      </c>
      <c r="AD62">
        <f>SUMIFS('MoodysData(Raw)'!AG$2:AG$180,'MoodysData(Raw)'!$B$2:$B$180,"=GDP",'MoodysData(Raw)'!$D$2:$D$180,"="&amp;'Implied Productivity Ratios'!$C62)/SUMIFS('MoodysData(Raw)'!AG$2:AG$180,'MoodysData(Raw)'!$B$2:$B$180,"=EMP",'MoodysData(Raw)'!$D$2:$D$180,"="&amp;'Implied Productivity Ratios'!$C62)</f>
        <v>955.53828613475696</v>
      </c>
      <c r="AE62">
        <f>SUMIFS('MoodysData(Raw)'!AH$2:AH$180,'MoodysData(Raw)'!$B$2:$B$180,"=GDP",'MoodysData(Raw)'!$D$2:$D$180,"="&amp;'Implied Productivity Ratios'!$C62)/SUMIFS('MoodysData(Raw)'!AH$2:AH$180,'MoodysData(Raw)'!$B$2:$B$180,"=EMP",'MoodysData(Raw)'!$D$2:$D$180,"="&amp;'Implied Productivity Ratios'!$C62)</f>
        <v>1030.26195725345</v>
      </c>
      <c r="AF62">
        <f>SUMIFS('MoodysData(Raw)'!AI$2:AI$180,'MoodysData(Raw)'!$B$2:$B$180,"=GDP",'MoodysData(Raw)'!$D$2:$D$180,"="&amp;'Implied Productivity Ratios'!$C62)/SUMIFS('MoodysData(Raw)'!AI$2:AI$180,'MoodysData(Raw)'!$B$2:$B$180,"=EMP",'MoodysData(Raw)'!$D$2:$D$180,"="&amp;'Implied Productivity Ratios'!$C62)</f>
        <v>1109.35108858235</v>
      </c>
      <c r="AG62">
        <f>SUMIFS('MoodysData(Raw)'!AJ$2:AJ$180,'MoodysData(Raw)'!$B$2:$B$180,"=GDP",'MoodysData(Raw)'!$D$2:$D$180,"="&amp;'Implied Productivity Ratios'!$C62)/SUMIFS('MoodysData(Raw)'!AJ$2:AJ$180,'MoodysData(Raw)'!$B$2:$B$180,"=EMP",'MoodysData(Raw)'!$D$2:$D$180,"="&amp;'Implied Productivity Ratios'!$C62)</f>
        <v>1191.1863786516139</v>
      </c>
      <c r="AH62">
        <f>SUMIFS('MoodysData(Raw)'!AK$2:AK$180,'MoodysData(Raw)'!$B$2:$B$180,"=GDP",'MoodysData(Raw)'!$D$2:$D$180,"="&amp;'Implied Productivity Ratios'!$C62)/SUMIFS('MoodysData(Raw)'!AK$2:AK$180,'MoodysData(Raw)'!$B$2:$B$180,"=EMP",'MoodysData(Raw)'!$D$2:$D$180,"="&amp;'Implied Productivity Ratios'!$C62)</f>
        <v>1273.4234379517943</v>
      </c>
      <c r="AI62">
        <f>SUMIFS('MoodysData(Raw)'!AL$2:AL$180,'MoodysData(Raw)'!$B$2:$B$180,"=GDP",'MoodysData(Raw)'!$D$2:$D$180,"="&amp;'Implied Productivity Ratios'!$C62)/SUMIFS('MoodysData(Raw)'!AL$2:AL$180,'MoodysData(Raw)'!$B$2:$B$180,"=EMP",'MoodysData(Raw)'!$D$2:$D$180,"="&amp;'Implied Productivity Ratios'!$C62)</f>
        <v>1356.6475227226797</v>
      </c>
      <c r="AJ62">
        <f>SUMIFS('MoodysData(Raw)'!AM$2:AM$180,'MoodysData(Raw)'!$B$2:$B$180,"=GDP",'MoodysData(Raw)'!$D$2:$D$180,"="&amp;'Implied Productivity Ratios'!$C62)/SUMIFS('MoodysData(Raw)'!AM$2:AM$180,'MoodysData(Raw)'!$B$2:$B$180,"=EMP",'MoodysData(Raw)'!$D$2:$D$180,"="&amp;'Implied Productivity Ratios'!$C62)</f>
        <v>1444.0152608457861</v>
      </c>
      <c r="AK62">
        <f>SUMIFS('MoodysData(Raw)'!AN$2:AN$180,'MoodysData(Raw)'!$B$2:$B$180,"=GDP",'MoodysData(Raw)'!$D$2:$D$180,"="&amp;'Implied Productivity Ratios'!$C62)/SUMIFS('MoodysData(Raw)'!AN$2:AN$180,'MoodysData(Raw)'!$B$2:$B$180,"=EMP",'MoodysData(Raw)'!$D$2:$D$180,"="&amp;'Implied Productivity Ratios'!$C62)</f>
        <v>1535.8053277780239</v>
      </c>
      <c r="AL62">
        <f>SUMIFS('MoodysData(Raw)'!AO$2:AO$180,'MoodysData(Raw)'!$B$2:$B$180,"=GDP",'MoodysData(Raw)'!$D$2:$D$180,"="&amp;'Implied Productivity Ratios'!$C62)/SUMIFS('MoodysData(Raw)'!AO$2:AO$180,'MoodysData(Raw)'!$B$2:$B$180,"=EMP",'MoodysData(Raw)'!$D$2:$D$180,"="&amp;'Implied Productivity Ratios'!$C62)</f>
        <v>1630.4316342616921</v>
      </c>
      <c r="AM62">
        <f>SUMIFS('MoodysData(Raw)'!AP$2:AP$180,'MoodysData(Raw)'!$B$2:$B$180,"=GDP",'MoodysData(Raw)'!$D$2:$D$180,"="&amp;'Implied Productivity Ratios'!$C62)/SUMIFS('MoodysData(Raw)'!AP$2:AP$180,'MoodysData(Raw)'!$B$2:$B$180,"=EMP",'MoodysData(Raw)'!$D$2:$D$180,"="&amp;'Implied Productivity Ratios'!$C62)</f>
        <v>1729.0009040685868</v>
      </c>
      <c r="AN62">
        <f>SUMIFS('MoodysData(Raw)'!AQ$2:AQ$180,'MoodysData(Raw)'!$B$2:$B$180,"=GDP",'MoodysData(Raw)'!$D$2:$D$180,"="&amp;'Implied Productivity Ratios'!$C62)/SUMIFS('MoodysData(Raw)'!AQ$2:AQ$180,'MoodysData(Raw)'!$B$2:$B$180,"=EMP",'MoodysData(Raw)'!$D$2:$D$180,"="&amp;'Implied Productivity Ratios'!$C62)</f>
        <v>1830.5962557876176</v>
      </c>
      <c r="AO62">
        <f>SUMIFS('MoodysData(Raw)'!AR$2:AR$180,'MoodysData(Raw)'!$B$2:$B$180,"=GDP",'MoodysData(Raw)'!$D$2:$D$180,"="&amp;'Implied Productivity Ratios'!$C62)/SUMIFS('MoodysData(Raw)'!AR$2:AR$180,'MoodysData(Raw)'!$B$2:$B$180,"=EMP",'MoodysData(Raw)'!$D$2:$D$180,"="&amp;'Implied Productivity Ratios'!$C62)</f>
        <v>1933.2719404305515</v>
      </c>
      <c r="AP62">
        <f>SUMIFS('MoodysData(Raw)'!AS$2:AS$180,'MoodysData(Raw)'!$B$2:$B$180,"=GDP",'MoodysData(Raw)'!$D$2:$D$180,"="&amp;'Implied Productivity Ratios'!$C62)/SUMIFS('MoodysData(Raw)'!AS$2:AS$180,'MoodysData(Raw)'!$B$2:$B$180,"=EMP",'MoodysData(Raw)'!$D$2:$D$180,"="&amp;'Implied Productivity Ratios'!$C62)</f>
        <v>2037.4133654370344</v>
      </c>
      <c r="AQ62">
        <f>SUMIFS('MoodysData(Raw)'!AT$2:AT$180,'MoodysData(Raw)'!$B$2:$B$180,"=GDP",'MoodysData(Raw)'!$D$2:$D$180,"="&amp;'Implied Productivity Ratios'!$C62)/SUMIFS('MoodysData(Raw)'!AT$2:AT$180,'MoodysData(Raw)'!$B$2:$B$180,"=EMP",'MoodysData(Raw)'!$D$2:$D$180,"="&amp;'Implied Productivity Ratios'!$C62)</f>
        <v>2141.951318408037</v>
      </c>
      <c r="AR62">
        <f>SUMIFS('MoodysData(Raw)'!AU$2:AU$180,'MoodysData(Raw)'!$B$2:$B$180,"=GDP",'MoodysData(Raw)'!$D$2:$D$180,"="&amp;'Implied Productivity Ratios'!$C62)/SUMIFS('MoodysData(Raw)'!AU$2:AU$180,'MoodysData(Raw)'!$B$2:$B$180,"=EMP",'MoodysData(Raw)'!$D$2:$D$180,"="&amp;'Implied Productivity Ratios'!$C62)</f>
        <v>2246.5058149692973</v>
      </c>
      <c r="AS62">
        <f>SUMIFS('MoodysData(Raw)'!AV$2:AV$180,'MoodysData(Raw)'!$B$2:$B$180,"=GDP",'MoodysData(Raw)'!$D$2:$D$180,"="&amp;'Implied Productivity Ratios'!$C62)/SUMIFS('MoodysData(Raw)'!AV$2:AV$180,'MoodysData(Raw)'!$B$2:$B$180,"=EMP",'MoodysData(Raw)'!$D$2:$D$180,"="&amp;'Implied Productivity Ratios'!$C62)</f>
        <v>2351.248654121358</v>
      </c>
      <c r="AT62">
        <f>SUMIFS('MoodysData(Raw)'!AW$2:AW$180,'MoodysData(Raw)'!$B$2:$B$180,"=GDP",'MoodysData(Raw)'!$D$2:$D$180,"="&amp;'Implied Productivity Ratios'!$C62)/SUMIFS('MoodysData(Raw)'!AW$2:AW$180,'MoodysData(Raw)'!$B$2:$B$180,"=EMP",'MoodysData(Raw)'!$D$2:$D$180,"="&amp;'Implied Productivity Ratios'!$C62)</f>
        <v>2456.2648197795652</v>
      </c>
      <c r="AU62">
        <f>SUMIFS('MoodysData(Raw)'!AX$2:AX$180,'MoodysData(Raw)'!$B$2:$B$180,"=GDP",'MoodysData(Raw)'!$D$2:$D$180,"="&amp;'Implied Productivity Ratios'!$C62)/SUMIFS('MoodysData(Raw)'!AX$2:AX$180,'MoodysData(Raw)'!$B$2:$B$180,"=EMP",'MoodysData(Raw)'!$D$2:$D$180,"="&amp;'Implied Productivity Ratios'!$C62)</f>
        <v>2563.096438073464</v>
      </c>
      <c r="AV62">
        <f>SUMIFS('MoodysData(Raw)'!AY$2:AY$180,'MoodysData(Raw)'!$B$2:$B$180,"=GDP",'MoodysData(Raw)'!$D$2:$D$180,"="&amp;'Implied Productivity Ratios'!$C62)/SUMIFS('MoodysData(Raw)'!AY$2:AY$180,'MoodysData(Raw)'!$B$2:$B$180,"=EMP",'MoodysData(Raw)'!$D$2:$D$180,"="&amp;'Implied Productivity Ratios'!$C62)</f>
        <v>2671.2550788364383</v>
      </c>
      <c r="AW62">
        <f>SUMIFS('MoodysData(Raw)'!AZ$2:AZ$180,'MoodysData(Raw)'!$B$2:$B$180,"=GDP",'MoodysData(Raw)'!$D$2:$D$180,"="&amp;'Implied Productivity Ratios'!$C62)/SUMIFS('MoodysData(Raw)'!AZ$2:AZ$180,'MoodysData(Raw)'!$B$2:$B$180,"=EMP",'MoodysData(Raw)'!$D$2:$D$180,"="&amp;'Implied Productivity Ratios'!$C62)</f>
        <v>2779.125951899272</v>
      </c>
      <c r="AX62">
        <f>SUMIFS('MoodysData(Raw)'!BA$2:BA$180,'MoodysData(Raw)'!$B$2:$B$180,"=GDP",'MoodysData(Raw)'!$D$2:$D$180,"="&amp;'Implied Productivity Ratios'!$C62)/SUMIFS('MoodysData(Raw)'!BA$2:BA$180,'MoodysData(Raw)'!$B$2:$B$180,"=EMP",'MoodysData(Raw)'!$D$2:$D$180,"="&amp;'Implied Productivity Ratios'!$C62)</f>
        <v>2886.3243019115607</v>
      </c>
      <c r="AY62">
        <f>SUMIFS('MoodysData(Raw)'!BB$2:BB$180,'MoodysData(Raw)'!$B$2:$B$180,"=GDP",'MoodysData(Raw)'!$D$2:$D$180,"="&amp;'Implied Productivity Ratios'!$C62)/SUMIFS('MoodysData(Raw)'!BB$2:BB$180,'MoodysData(Raw)'!$B$2:$B$180,"=EMP",'MoodysData(Raw)'!$D$2:$D$180,"="&amp;'Implied Productivity Ratios'!$C62)</f>
        <v>2992.0212159832072</v>
      </c>
      <c r="AZ62">
        <f>SUMIFS('MoodysData(Raw)'!BC$2:BC$180,'MoodysData(Raw)'!$B$2:$B$180,"=GDP",'MoodysData(Raw)'!$D$2:$D$180,"="&amp;'Implied Productivity Ratios'!$C62)/SUMIFS('MoodysData(Raw)'!BC$2:BC$180,'MoodysData(Raw)'!$B$2:$B$180,"=EMP",'MoodysData(Raw)'!$D$2:$D$180,"="&amp;'Implied Productivity Ratios'!$C62)</f>
        <v>3096.5721595026994</v>
      </c>
      <c r="BA62">
        <f>SUMIFS('MoodysData(Raw)'!BD$2:BD$180,'MoodysData(Raw)'!$B$2:$B$180,"=GDP",'MoodysData(Raw)'!$D$2:$D$180,"="&amp;'Implied Productivity Ratios'!$C62)/SUMIFS('MoodysData(Raw)'!BD$2:BD$180,'MoodysData(Raw)'!$B$2:$B$180,"=EMP",'MoodysData(Raw)'!$D$2:$D$180,"="&amp;'Implied Productivity Ratios'!$C62)</f>
        <v>3199.1331178510923</v>
      </c>
      <c r="BB62">
        <f>SUMIFS('MoodysData(Raw)'!BE$2:BE$180,'MoodysData(Raw)'!$B$2:$B$180,"=GDP",'MoodysData(Raw)'!$D$2:$D$180,"="&amp;'Implied Productivity Ratios'!$C62)/SUMIFS('MoodysData(Raw)'!BE$2:BE$180,'MoodysData(Raw)'!$B$2:$B$180,"=EMP",'MoodysData(Raw)'!$D$2:$D$180,"="&amp;'Implied Productivity Ratios'!$C62)</f>
        <v>3300.6957019994361</v>
      </c>
      <c r="BC62">
        <f>SUMIFS('MoodysData(Raw)'!BF$2:BF$180,'MoodysData(Raw)'!$B$2:$B$180,"=GDP",'MoodysData(Raw)'!$D$2:$D$180,"="&amp;'Implied Productivity Ratios'!$C62)/SUMIFS('MoodysData(Raw)'!BF$2:BF$180,'MoodysData(Raw)'!$B$2:$B$180,"=EMP",'MoodysData(Raw)'!$D$2:$D$180,"="&amp;'Implied Productivity Ratios'!$C62)</f>
        <v>3400.8097305058536</v>
      </c>
      <c r="BD62" s="5">
        <f t="shared" ref="BD62:BH62" si="56">BC62+($BC62-$AX62)/5</f>
        <v>3503.7068162247124</v>
      </c>
      <c r="BE62" s="5">
        <f t="shared" si="56"/>
        <v>3606.6039019435711</v>
      </c>
      <c r="BF62" s="5">
        <f t="shared" si="56"/>
        <v>3709.5009876624299</v>
      </c>
      <c r="BG62" s="5">
        <f t="shared" si="56"/>
        <v>3812.3980733812887</v>
      </c>
      <c r="BH62" s="5">
        <f t="shared" si="56"/>
        <v>3915.2951591001474</v>
      </c>
    </row>
    <row r="63" spans="3:60">
      <c r="C63">
        <v>518</v>
      </c>
      <c r="D63" t="s">
        <v>362</v>
      </c>
      <c r="E63">
        <f>SUMIFS('MoodysData(Raw)'!H$2:H$180,'MoodysData(Raw)'!$B$2:$B$180,"=GDP",'MoodysData(Raw)'!$D$2:$D$180,"="&amp;'Implied Productivity Ratios'!$C63)/SUMIFS('MoodysData(Raw)'!H$2:H$180,'MoodysData(Raw)'!$B$2:$B$180,"=EMP",'MoodysData(Raw)'!$D$2:$D$180,"="&amp;'Implied Productivity Ratios'!$C63)</f>
        <v>196.78412973443295</v>
      </c>
      <c r="F63">
        <f>SUMIFS('MoodysData(Raw)'!I$2:I$180,'MoodysData(Raw)'!$B$2:$B$180,"=GDP",'MoodysData(Raw)'!$D$2:$D$180,"="&amp;'Implied Productivity Ratios'!$C63)/SUMIFS('MoodysData(Raw)'!I$2:I$180,'MoodysData(Raw)'!$B$2:$B$180,"=EMP",'MoodysData(Raw)'!$D$2:$D$180,"="&amp;'Implied Productivity Ratios'!$C63)</f>
        <v>224.04637371714449</v>
      </c>
      <c r="G63">
        <f>SUMIFS('MoodysData(Raw)'!J$2:J$180,'MoodysData(Raw)'!$B$2:$B$180,"=GDP",'MoodysData(Raw)'!$D$2:$D$180,"="&amp;'Implied Productivity Ratios'!$C63)/SUMIFS('MoodysData(Raw)'!J$2:J$180,'MoodysData(Raw)'!$B$2:$B$180,"=EMP",'MoodysData(Raw)'!$D$2:$D$180,"="&amp;'Implied Productivity Ratios'!$C63)</f>
        <v>160.32253958303073</v>
      </c>
      <c r="H63">
        <f>SUMIFS('MoodysData(Raw)'!K$2:K$180,'MoodysData(Raw)'!$B$2:$B$180,"=GDP",'MoodysData(Raw)'!$D$2:$D$180,"="&amp;'Implied Productivity Ratios'!$C63)/SUMIFS('MoodysData(Raw)'!K$2:K$180,'MoodysData(Raw)'!$B$2:$B$180,"=EMP",'MoodysData(Raw)'!$D$2:$D$180,"="&amp;'Implied Productivity Ratios'!$C63)</f>
        <v>187.88180005915186</v>
      </c>
      <c r="I63">
        <f>SUMIFS('MoodysData(Raw)'!L$2:L$180,'MoodysData(Raw)'!$B$2:$B$180,"=GDP",'MoodysData(Raw)'!$D$2:$D$180,"="&amp;'Implied Productivity Ratios'!$C63)/SUMIFS('MoodysData(Raw)'!L$2:L$180,'MoodysData(Raw)'!$B$2:$B$180,"=EMP",'MoodysData(Raw)'!$D$2:$D$180,"="&amp;'Implied Productivity Ratios'!$C63)</f>
        <v>210.77800294842689</v>
      </c>
      <c r="J63">
        <f>SUMIFS('MoodysData(Raw)'!M$2:M$180,'MoodysData(Raw)'!$B$2:$B$180,"=GDP",'MoodysData(Raw)'!$D$2:$D$180,"="&amp;'Implied Productivity Ratios'!$C63)/SUMIFS('MoodysData(Raw)'!M$2:M$180,'MoodysData(Raw)'!$B$2:$B$180,"=EMP",'MoodysData(Raw)'!$D$2:$D$180,"="&amp;'Implied Productivity Ratios'!$C63)</f>
        <v>257.56943333210239</v>
      </c>
      <c r="K63">
        <f>SUMIFS('MoodysData(Raw)'!N$2:N$180,'MoodysData(Raw)'!$B$2:$B$180,"=GDP",'MoodysData(Raw)'!$D$2:$D$180,"="&amp;'Implied Productivity Ratios'!$C63)/SUMIFS('MoodysData(Raw)'!N$2:N$180,'MoodysData(Raw)'!$B$2:$B$180,"=EMP",'MoodysData(Raw)'!$D$2:$D$180,"="&amp;'Implied Productivity Ratios'!$C63)</f>
        <v>277.99646374325317</v>
      </c>
      <c r="L63">
        <f>SUMIFS('MoodysData(Raw)'!O$2:O$180,'MoodysData(Raw)'!$B$2:$B$180,"=GDP",'MoodysData(Raw)'!$D$2:$D$180,"="&amp;'Implied Productivity Ratios'!$C63)/SUMIFS('MoodysData(Raw)'!O$2:O$180,'MoodysData(Raw)'!$B$2:$B$180,"=EMP",'MoodysData(Raw)'!$D$2:$D$180,"="&amp;'Implied Productivity Ratios'!$C63)</f>
        <v>235.76233138123237</v>
      </c>
      <c r="M63">
        <f>SUMIFS('MoodysData(Raw)'!P$2:P$180,'MoodysData(Raw)'!$B$2:$B$180,"=GDP",'MoodysData(Raw)'!$D$2:$D$180,"="&amp;'Implied Productivity Ratios'!$C63)/SUMIFS('MoodysData(Raw)'!P$2:P$180,'MoodysData(Raw)'!$B$2:$B$180,"=EMP",'MoodysData(Raw)'!$D$2:$D$180,"="&amp;'Implied Productivity Ratios'!$C63)</f>
        <v>252.99085234691645</v>
      </c>
      <c r="N63">
        <f>SUMIFS('MoodysData(Raw)'!Q$2:Q$180,'MoodysData(Raw)'!$B$2:$B$180,"=GDP",'MoodysData(Raw)'!$D$2:$D$180,"="&amp;'Implied Productivity Ratios'!$C63)/SUMIFS('MoodysData(Raw)'!Q$2:Q$180,'MoodysData(Raw)'!$B$2:$B$180,"=EMP",'MoodysData(Raw)'!$D$2:$D$180,"="&amp;'Implied Productivity Ratios'!$C63)</f>
        <v>269.64407507980297</v>
      </c>
      <c r="O63">
        <f>SUMIFS('MoodysData(Raw)'!R$2:R$180,'MoodysData(Raw)'!$B$2:$B$180,"=GDP",'MoodysData(Raw)'!$D$2:$D$180,"="&amp;'Implied Productivity Ratios'!$C63)/SUMIFS('MoodysData(Raw)'!R$2:R$180,'MoodysData(Raw)'!$B$2:$B$180,"=EMP",'MoodysData(Raw)'!$D$2:$D$180,"="&amp;'Implied Productivity Ratios'!$C63)</f>
        <v>261.15443901244976</v>
      </c>
      <c r="P63">
        <f>SUMIFS('MoodysData(Raw)'!S$2:S$180,'MoodysData(Raw)'!$B$2:$B$180,"=GDP",'MoodysData(Raw)'!$D$2:$D$180,"="&amp;'Implied Productivity Ratios'!$C63)/SUMIFS('MoodysData(Raw)'!S$2:S$180,'MoodysData(Raw)'!$B$2:$B$180,"=EMP",'MoodysData(Raw)'!$D$2:$D$180,"="&amp;'Implied Productivity Ratios'!$C63)</f>
        <v>293.85572714509868</v>
      </c>
      <c r="Q63">
        <f>SUMIFS('MoodysData(Raw)'!T$2:T$180,'MoodysData(Raw)'!$B$2:$B$180,"=GDP",'MoodysData(Raw)'!$D$2:$D$180,"="&amp;'Implied Productivity Ratios'!$C63)/SUMIFS('MoodysData(Raw)'!T$2:T$180,'MoodysData(Raw)'!$B$2:$B$180,"=EMP",'MoodysData(Raw)'!$D$2:$D$180,"="&amp;'Implied Productivity Ratios'!$C63)</f>
        <v>305.91635165630385</v>
      </c>
      <c r="R63">
        <f>SUMIFS('MoodysData(Raw)'!U$2:U$180,'MoodysData(Raw)'!$B$2:$B$180,"=GDP",'MoodysData(Raw)'!$D$2:$D$180,"="&amp;'Implied Productivity Ratios'!$C63)/SUMIFS('MoodysData(Raw)'!U$2:U$180,'MoodysData(Raw)'!$B$2:$B$180,"=EMP",'MoodysData(Raw)'!$D$2:$D$180,"="&amp;'Implied Productivity Ratios'!$C63)</f>
        <v>336.68019753264207</v>
      </c>
      <c r="S63">
        <f>SUMIFS('MoodysData(Raw)'!V$2:V$180,'MoodysData(Raw)'!$B$2:$B$180,"=GDP",'MoodysData(Raw)'!$D$2:$D$180,"="&amp;'Implied Productivity Ratios'!$C63)/SUMIFS('MoodysData(Raw)'!V$2:V$180,'MoodysData(Raw)'!$B$2:$B$180,"=EMP",'MoodysData(Raw)'!$D$2:$D$180,"="&amp;'Implied Productivity Ratios'!$C63)</f>
        <v>390.0332723152269</v>
      </c>
      <c r="T63">
        <f>SUMIFS('MoodysData(Raw)'!W$2:W$180,'MoodysData(Raw)'!$B$2:$B$180,"=GDP",'MoodysData(Raw)'!$D$2:$D$180,"="&amp;'Implied Productivity Ratios'!$C63)/SUMIFS('MoodysData(Raw)'!W$2:W$180,'MoodysData(Raw)'!$B$2:$B$180,"=EMP",'MoodysData(Raw)'!$D$2:$D$180,"="&amp;'Implied Productivity Ratios'!$C63)</f>
        <v>435.65279208016625</v>
      </c>
      <c r="U63">
        <f>SUMIFS('MoodysData(Raw)'!X$2:X$180,'MoodysData(Raw)'!$B$2:$B$180,"=GDP",'MoodysData(Raw)'!$D$2:$D$180,"="&amp;'Implied Productivity Ratios'!$C63)/SUMIFS('MoodysData(Raw)'!X$2:X$180,'MoodysData(Raw)'!$B$2:$B$180,"=EMP",'MoodysData(Raw)'!$D$2:$D$180,"="&amp;'Implied Productivity Ratios'!$C63)</f>
        <v>495.08716034614974</v>
      </c>
      <c r="V63">
        <f>SUMIFS('MoodysData(Raw)'!Y$2:Y$180,'MoodysData(Raw)'!$B$2:$B$180,"=GDP",'MoodysData(Raw)'!$D$2:$D$180,"="&amp;'Implied Productivity Ratios'!$C63)/SUMIFS('MoodysData(Raw)'!Y$2:Y$180,'MoodysData(Raw)'!$B$2:$B$180,"=EMP",'MoodysData(Raw)'!$D$2:$D$180,"="&amp;'Implied Productivity Ratios'!$C63)</f>
        <v>587.04035912745792</v>
      </c>
      <c r="W63">
        <f>SUMIFS('MoodysData(Raw)'!Z$2:Z$180,'MoodysData(Raw)'!$B$2:$B$180,"=GDP",'MoodysData(Raw)'!$D$2:$D$180,"="&amp;'Implied Productivity Ratios'!$C63)/SUMIFS('MoodysData(Raw)'!Z$2:Z$180,'MoodysData(Raw)'!$B$2:$B$180,"=EMP",'MoodysData(Raw)'!$D$2:$D$180,"="&amp;'Implied Productivity Ratios'!$C63)</f>
        <v>665.9905401912639</v>
      </c>
      <c r="X63">
        <f>SUMIFS('MoodysData(Raw)'!AA$2:AA$180,'MoodysData(Raw)'!$B$2:$B$180,"=GDP",'MoodysData(Raw)'!$D$2:$D$180,"="&amp;'Implied Productivity Ratios'!$C63)/SUMIFS('MoodysData(Raw)'!AA$2:AA$180,'MoodysData(Raw)'!$B$2:$B$180,"=EMP",'MoodysData(Raw)'!$D$2:$D$180,"="&amp;'Implied Productivity Ratios'!$C63)</f>
        <v>746.52078366240892</v>
      </c>
      <c r="Y63">
        <f>SUMIFS('MoodysData(Raw)'!AB$2:AB$180,'MoodysData(Raw)'!$B$2:$B$180,"=GDP",'MoodysData(Raw)'!$D$2:$D$180,"="&amp;'Implied Productivity Ratios'!$C63)/SUMIFS('MoodysData(Raw)'!AB$2:AB$180,'MoodysData(Raw)'!$B$2:$B$180,"=EMP",'MoodysData(Raw)'!$D$2:$D$180,"="&amp;'Implied Productivity Ratios'!$C63)</f>
        <v>742.38553100378294</v>
      </c>
      <c r="Z63">
        <f>SUMIFS('MoodysData(Raw)'!AC$2:AC$180,'MoodysData(Raw)'!$B$2:$B$180,"=GDP",'MoodysData(Raw)'!$D$2:$D$180,"="&amp;'Implied Productivity Ratios'!$C63)/SUMIFS('MoodysData(Raw)'!AC$2:AC$180,'MoodysData(Raw)'!$B$2:$B$180,"=EMP",'MoodysData(Raw)'!$D$2:$D$180,"="&amp;'Implied Productivity Ratios'!$C63)</f>
        <v>715.37506753929472</v>
      </c>
      <c r="AA63">
        <f>SUMIFS('MoodysData(Raw)'!AD$2:AD$180,'MoodysData(Raw)'!$B$2:$B$180,"=GDP",'MoodysData(Raw)'!$D$2:$D$180,"="&amp;'Implied Productivity Ratios'!$C63)/SUMIFS('MoodysData(Raw)'!AD$2:AD$180,'MoodysData(Raw)'!$B$2:$B$180,"=EMP",'MoodysData(Raw)'!$D$2:$D$180,"="&amp;'Implied Productivity Ratios'!$C63)</f>
        <v>694.47562273082633</v>
      </c>
      <c r="AB63">
        <f>SUMIFS('MoodysData(Raw)'!AE$2:AE$180,'MoodysData(Raw)'!$B$2:$B$180,"=GDP",'MoodysData(Raw)'!$D$2:$D$180,"="&amp;'Implied Productivity Ratios'!$C63)/SUMIFS('MoodysData(Raw)'!AE$2:AE$180,'MoodysData(Raw)'!$B$2:$B$180,"=EMP",'MoodysData(Raw)'!$D$2:$D$180,"="&amp;'Implied Productivity Ratios'!$C63)</f>
        <v>679.58435961291354</v>
      </c>
      <c r="AC63">
        <f>SUMIFS('MoodysData(Raw)'!AF$2:AF$180,'MoodysData(Raw)'!$B$2:$B$180,"=GDP",'MoodysData(Raw)'!$D$2:$D$180,"="&amp;'Implied Productivity Ratios'!$C63)/SUMIFS('MoodysData(Raw)'!AF$2:AF$180,'MoodysData(Raw)'!$B$2:$B$180,"=EMP",'MoodysData(Raw)'!$D$2:$D$180,"="&amp;'Implied Productivity Ratios'!$C63)</f>
        <v>668.82523415005471</v>
      </c>
      <c r="AD63">
        <f>SUMIFS('MoodysData(Raw)'!AG$2:AG$180,'MoodysData(Raw)'!$B$2:$B$180,"=GDP",'MoodysData(Raw)'!$D$2:$D$180,"="&amp;'Implied Productivity Ratios'!$C63)/SUMIFS('MoodysData(Raw)'!AG$2:AG$180,'MoodysData(Raw)'!$B$2:$B$180,"=EMP",'MoodysData(Raw)'!$D$2:$D$180,"="&amp;'Implied Productivity Ratios'!$C63)</f>
        <v>661.01558996549079</v>
      </c>
      <c r="AE63">
        <f>SUMIFS('MoodysData(Raw)'!AH$2:AH$180,'MoodysData(Raw)'!$B$2:$B$180,"=GDP",'MoodysData(Raw)'!$D$2:$D$180,"="&amp;'Implied Productivity Ratios'!$C63)/SUMIFS('MoodysData(Raw)'!AH$2:AH$180,'MoodysData(Raw)'!$B$2:$B$180,"=EMP",'MoodysData(Raw)'!$D$2:$D$180,"="&amp;'Implied Productivity Ratios'!$C63)</f>
        <v>653.95944350612035</v>
      </c>
      <c r="AF63">
        <f>SUMIFS('MoodysData(Raw)'!AI$2:AI$180,'MoodysData(Raw)'!$B$2:$B$180,"=GDP",'MoodysData(Raw)'!$D$2:$D$180,"="&amp;'Implied Productivity Ratios'!$C63)/SUMIFS('MoodysData(Raw)'!AI$2:AI$180,'MoodysData(Raw)'!$B$2:$B$180,"=EMP",'MoodysData(Raw)'!$D$2:$D$180,"="&amp;'Implied Productivity Ratios'!$C63)</f>
        <v>648.46515897195525</v>
      </c>
      <c r="AG63">
        <f>SUMIFS('MoodysData(Raw)'!AJ$2:AJ$180,'MoodysData(Raw)'!$B$2:$B$180,"=GDP",'MoodysData(Raw)'!$D$2:$D$180,"="&amp;'Implied Productivity Ratios'!$C63)/SUMIFS('MoodysData(Raw)'!AJ$2:AJ$180,'MoodysData(Raw)'!$B$2:$B$180,"=EMP",'MoodysData(Raw)'!$D$2:$D$180,"="&amp;'Implied Productivity Ratios'!$C63)</f>
        <v>643.54106031949163</v>
      </c>
      <c r="AH63">
        <f>SUMIFS('MoodysData(Raw)'!AK$2:AK$180,'MoodysData(Raw)'!$B$2:$B$180,"=GDP",'MoodysData(Raw)'!$D$2:$D$180,"="&amp;'Implied Productivity Ratios'!$C63)/SUMIFS('MoodysData(Raw)'!AK$2:AK$180,'MoodysData(Raw)'!$B$2:$B$180,"=EMP",'MoodysData(Raw)'!$D$2:$D$180,"="&amp;'Implied Productivity Ratios'!$C63)</f>
        <v>637.91423729582425</v>
      </c>
      <c r="AI63">
        <f>SUMIFS('MoodysData(Raw)'!AL$2:AL$180,'MoodysData(Raw)'!$B$2:$B$180,"=GDP",'MoodysData(Raw)'!$D$2:$D$180,"="&amp;'Implied Productivity Ratios'!$C63)/SUMIFS('MoodysData(Raw)'!AL$2:AL$180,'MoodysData(Raw)'!$B$2:$B$180,"=EMP",'MoodysData(Raw)'!$D$2:$D$180,"="&amp;'Implied Productivity Ratios'!$C63)</f>
        <v>632.17427397086362</v>
      </c>
      <c r="AJ63">
        <f>SUMIFS('MoodysData(Raw)'!AM$2:AM$180,'MoodysData(Raw)'!$B$2:$B$180,"=GDP",'MoodysData(Raw)'!$D$2:$D$180,"="&amp;'Implied Productivity Ratios'!$C63)/SUMIFS('MoodysData(Raw)'!AM$2:AM$180,'MoodysData(Raw)'!$B$2:$B$180,"=EMP",'MoodysData(Raw)'!$D$2:$D$180,"="&amp;'Implied Productivity Ratios'!$C63)</f>
        <v>628.04620563321487</v>
      </c>
      <c r="AK63">
        <f>SUMIFS('MoodysData(Raw)'!AN$2:AN$180,'MoodysData(Raw)'!$B$2:$B$180,"=GDP",'MoodysData(Raw)'!$D$2:$D$180,"="&amp;'Implied Productivity Ratios'!$C63)/SUMIFS('MoodysData(Raw)'!AN$2:AN$180,'MoodysData(Raw)'!$B$2:$B$180,"=EMP",'MoodysData(Raw)'!$D$2:$D$180,"="&amp;'Implied Productivity Ratios'!$C63)</f>
        <v>625.55058968442916</v>
      </c>
      <c r="AL63">
        <f>SUMIFS('MoodysData(Raw)'!AO$2:AO$180,'MoodysData(Raw)'!$B$2:$B$180,"=GDP",'MoodysData(Raw)'!$D$2:$D$180,"="&amp;'Implied Productivity Ratios'!$C63)/SUMIFS('MoodysData(Raw)'!AO$2:AO$180,'MoodysData(Raw)'!$B$2:$B$180,"=EMP",'MoodysData(Raw)'!$D$2:$D$180,"="&amp;'Implied Productivity Ratios'!$C63)</f>
        <v>623.96889873068051</v>
      </c>
      <c r="AM63">
        <f>SUMIFS('MoodysData(Raw)'!AP$2:AP$180,'MoodysData(Raw)'!$B$2:$B$180,"=GDP",'MoodysData(Raw)'!$D$2:$D$180,"="&amp;'Implied Productivity Ratios'!$C63)/SUMIFS('MoodysData(Raw)'!AP$2:AP$180,'MoodysData(Raw)'!$B$2:$B$180,"=EMP",'MoodysData(Raw)'!$D$2:$D$180,"="&amp;'Implied Productivity Ratios'!$C63)</f>
        <v>623.77417726194324</v>
      </c>
      <c r="AN63">
        <f>SUMIFS('MoodysData(Raw)'!AQ$2:AQ$180,'MoodysData(Raw)'!$B$2:$B$180,"=GDP",'MoodysData(Raw)'!$D$2:$D$180,"="&amp;'Implied Productivity Ratios'!$C63)/SUMIFS('MoodysData(Raw)'!AQ$2:AQ$180,'MoodysData(Raw)'!$B$2:$B$180,"=EMP",'MoodysData(Raw)'!$D$2:$D$180,"="&amp;'Implied Productivity Ratios'!$C63)</f>
        <v>624.60542457548331</v>
      </c>
      <c r="AO63">
        <f>SUMIFS('MoodysData(Raw)'!AR$2:AR$180,'MoodysData(Raw)'!$B$2:$B$180,"=GDP",'MoodysData(Raw)'!$D$2:$D$180,"="&amp;'Implied Productivity Ratios'!$C63)/SUMIFS('MoodysData(Raw)'!AR$2:AR$180,'MoodysData(Raw)'!$B$2:$B$180,"=EMP",'MoodysData(Raw)'!$D$2:$D$180,"="&amp;'Implied Productivity Ratios'!$C63)</f>
        <v>625.86256282466377</v>
      </c>
      <c r="AP63">
        <f>SUMIFS('MoodysData(Raw)'!AS$2:AS$180,'MoodysData(Raw)'!$B$2:$B$180,"=GDP",'MoodysData(Raw)'!$D$2:$D$180,"="&amp;'Implied Productivity Ratios'!$C63)/SUMIFS('MoodysData(Raw)'!AS$2:AS$180,'MoodysData(Raw)'!$B$2:$B$180,"=EMP",'MoodysData(Raw)'!$D$2:$D$180,"="&amp;'Implied Productivity Ratios'!$C63)</f>
        <v>627.77311370423433</v>
      </c>
      <c r="AQ63">
        <f>SUMIFS('MoodysData(Raw)'!AT$2:AT$180,'MoodysData(Raw)'!$B$2:$B$180,"=GDP",'MoodysData(Raw)'!$D$2:$D$180,"="&amp;'Implied Productivity Ratios'!$C63)/SUMIFS('MoodysData(Raw)'!AT$2:AT$180,'MoodysData(Raw)'!$B$2:$B$180,"=EMP",'MoodysData(Raw)'!$D$2:$D$180,"="&amp;'Implied Productivity Ratios'!$C63)</f>
        <v>630.18359043905753</v>
      </c>
      <c r="AR63">
        <f>SUMIFS('MoodysData(Raw)'!AU$2:AU$180,'MoodysData(Raw)'!$B$2:$B$180,"=GDP",'MoodysData(Raw)'!$D$2:$D$180,"="&amp;'Implied Productivity Ratios'!$C63)/SUMIFS('MoodysData(Raw)'!AU$2:AU$180,'MoodysData(Raw)'!$B$2:$B$180,"=EMP",'MoodysData(Raw)'!$D$2:$D$180,"="&amp;'Implied Productivity Ratios'!$C63)</f>
        <v>633.10137616427562</v>
      </c>
      <c r="AS63">
        <f>SUMIFS('MoodysData(Raw)'!AV$2:AV$180,'MoodysData(Raw)'!$B$2:$B$180,"=GDP",'MoodysData(Raw)'!$D$2:$D$180,"="&amp;'Implied Productivity Ratios'!$C63)/SUMIFS('MoodysData(Raw)'!AV$2:AV$180,'MoodysData(Raw)'!$B$2:$B$180,"=EMP",'MoodysData(Raw)'!$D$2:$D$180,"="&amp;'Implied Productivity Ratios'!$C63)</f>
        <v>636.70685261944345</v>
      </c>
      <c r="AT63">
        <f>SUMIFS('MoodysData(Raw)'!AW$2:AW$180,'MoodysData(Raw)'!$B$2:$B$180,"=GDP",'MoodysData(Raw)'!$D$2:$D$180,"="&amp;'Implied Productivity Ratios'!$C63)/SUMIFS('MoodysData(Raw)'!AW$2:AW$180,'MoodysData(Raw)'!$B$2:$B$180,"=EMP",'MoodysData(Raw)'!$D$2:$D$180,"="&amp;'Implied Productivity Ratios'!$C63)</f>
        <v>641.13081495664176</v>
      </c>
      <c r="AU63">
        <f>SUMIFS('MoodysData(Raw)'!AX$2:AX$180,'MoodysData(Raw)'!$B$2:$B$180,"=GDP",'MoodysData(Raw)'!$D$2:$D$180,"="&amp;'Implied Productivity Ratios'!$C63)/SUMIFS('MoodysData(Raw)'!AX$2:AX$180,'MoodysData(Raw)'!$B$2:$B$180,"=EMP",'MoodysData(Raw)'!$D$2:$D$180,"="&amp;'Implied Productivity Ratios'!$C63)</f>
        <v>646.88904316864466</v>
      </c>
      <c r="AV63">
        <f>SUMIFS('MoodysData(Raw)'!AY$2:AY$180,'MoodysData(Raw)'!$B$2:$B$180,"=GDP",'MoodysData(Raw)'!$D$2:$D$180,"="&amp;'Implied Productivity Ratios'!$C63)/SUMIFS('MoodysData(Raw)'!AY$2:AY$180,'MoodysData(Raw)'!$B$2:$B$180,"=EMP",'MoodysData(Raw)'!$D$2:$D$180,"="&amp;'Implied Productivity Ratios'!$C63)</f>
        <v>653.91936126533665</v>
      </c>
      <c r="AW63">
        <f>SUMIFS('MoodysData(Raw)'!AZ$2:AZ$180,'MoodysData(Raw)'!$B$2:$B$180,"=GDP",'MoodysData(Raw)'!$D$2:$D$180,"="&amp;'Implied Productivity Ratios'!$C63)/SUMIFS('MoodysData(Raw)'!AZ$2:AZ$180,'MoodysData(Raw)'!$B$2:$B$180,"=EMP",'MoodysData(Raw)'!$D$2:$D$180,"="&amp;'Implied Productivity Ratios'!$C63)</f>
        <v>661.92562070917779</v>
      </c>
      <c r="AX63">
        <f>SUMIFS('MoodysData(Raw)'!BA$2:BA$180,'MoodysData(Raw)'!$B$2:$B$180,"=GDP",'MoodysData(Raw)'!$D$2:$D$180,"="&amp;'Implied Productivity Ratios'!$C63)/SUMIFS('MoodysData(Raw)'!BA$2:BA$180,'MoodysData(Raw)'!$B$2:$B$180,"=EMP",'MoodysData(Raw)'!$D$2:$D$180,"="&amp;'Implied Productivity Ratios'!$C63)</f>
        <v>670.93659422028395</v>
      </c>
      <c r="AY63">
        <f>SUMIFS('MoodysData(Raw)'!BB$2:BB$180,'MoodysData(Raw)'!$B$2:$B$180,"=GDP",'MoodysData(Raw)'!$D$2:$D$180,"="&amp;'Implied Productivity Ratios'!$C63)/SUMIFS('MoodysData(Raw)'!BB$2:BB$180,'MoodysData(Raw)'!$B$2:$B$180,"=EMP",'MoodysData(Raw)'!$D$2:$D$180,"="&amp;'Implied Productivity Ratios'!$C63)</f>
        <v>680.86803379346884</v>
      </c>
      <c r="AZ63">
        <f>SUMIFS('MoodysData(Raw)'!BC$2:BC$180,'MoodysData(Raw)'!$B$2:$B$180,"=GDP",'MoodysData(Raw)'!$D$2:$D$180,"="&amp;'Implied Productivity Ratios'!$C63)/SUMIFS('MoodysData(Raw)'!BC$2:BC$180,'MoodysData(Raw)'!$B$2:$B$180,"=EMP",'MoodysData(Raw)'!$D$2:$D$180,"="&amp;'Implied Productivity Ratios'!$C63)</f>
        <v>691.94268907240996</v>
      </c>
      <c r="BA63">
        <f>SUMIFS('MoodysData(Raw)'!BD$2:BD$180,'MoodysData(Raw)'!$B$2:$B$180,"=GDP",'MoodysData(Raw)'!$D$2:$D$180,"="&amp;'Implied Productivity Ratios'!$C63)/SUMIFS('MoodysData(Raw)'!BD$2:BD$180,'MoodysData(Raw)'!$B$2:$B$180,"=EMP",'MoodysData(Raw)'!$D$2:$D$180,"="&amp;'Implied Productivity Ratios'!$C63)</f>
        <v>704.10298857250086</v>
      </c>
      <c r="BB63">
        <f>SUMIFS('MoodysData(Raw)'!BE$2:BE$180,'MoodysData(Raw)'!$B$2:$B$180,"=GDP",'MoodysData(Raw)'!$D$2:$D$180,"="&amp;'Implied Productivity Ratios'!$C63)/SUMIFS('MoodysData(Raw)'!BE$2:BE$180,'MoodysData(Raw)'!$B$2:$B$180,"=EMP",'MoodysData(Raw)'!$D$2:$D$180,"="&amp;'Implied Productivity Ratios'!$C63)</f>
        <v>717.69052139142036</v>
      </c>
      <c r="BC63">
        <f>SUMIFS('MoodysData(Raw)'!BF$2:BF$180,'MoodysData(Raw)'!$B$2:$B$180,"=GDP",'MoodysData(Raw)'!$D$2:$D$180,"="&amp;'Implied Productivity Ratios'!$C63)/SUMIFS('MoodysData(Raw)'!BF$2:BF$180,'MoodysData(Raw)'!$B$2:$B$180,"=EMP",'MoodysData(Raw)'!$D$2:$D$180,"="&amp;'Implied Productivity Ratios'!$C63)</f>
        <v>732.74139201606658</v>
      </c>
      <c r="BD63" s="5">
        <f t="shared" ref="BD63:BH63" si="57">BC63+($BC63-$AX63)/5</f>
        <v>745.10235157522311</v>
      </c>
      <c r="BE63" s="5">
        <f t="shared" si="57"/>
        <v>757.46331113437964</v>
      </c>
      <c r="BF63" s="5">
        <f t="shared" si="57"/>
        <v>769.82427069353616</v>
      </c>
      <c r="BG63" s="5">
        <f t="shared" si="57"/>
        <v>782.18523025269269</v>
      </c>
      <c r="BH63" s="5">
        <f t="shared" si="57"/>
        <v>794.54618981184922</v>
      </c>
    </row>
    <row r="64" spans="3:60">
      <c r="C64">
        <v>519</v>
      </c>
      <c r="D64" t="s">
        <v>366</v>
      </c>
      <c r="E64">
        <f>SUMIFS('MoodysData(Raw)'!H$2:H$180,'MoodysData(Raw)'!$B$2:$B$180,"=GDP",'MoodysData(Raw)'!$D$2:$D$180,"="&amp;'Implied Productivity Ratios'!$C64)/SUMIFS('MoodysData(Raw)'!H$2:H$180,'MoodysData(Raw)'!$B$2:$B$180,"=EMP",'MoodysData(Raw)'!$D$2:$D$180,"="&amp;'Implied Productivity Ratios'!$C64)</f>
        <v>123.22104099445951</v>
      </c>
      <c r="F64">
        <f>SUMIFS('MoodysData(Raw)'!I$2:I$180,'MoodysData(Raw)'!$B$2:$B$180,"=GDP",'MoodysData(Raw)'!$D$2:$D$180,"="&amp;'Implied Productivity Ratios'!$C64)/SUMIFS('MoodysData(Raw)'!I$2:I$180,'MoodysData(Raw)'!$B$2:$B$180,"=EMP",'MoodysData(Raw)'!$D$2:$D$180,"="&amp;'Implied Productivity Ratios'!$C64)</f>
        <v>150.67155068750981</v>
      </c>
      <c r="G64">
        <f>SUMIFS('MoodysData(Raw)'!J$2:J$180,'MoodysData(Raw)'!$B$2:$B$180,"=GDP",'MoodysData(Raw)'!$D$2:$D$180,"="&amp;'Implied Productivity Ratios'!$C64)/SUMIFS('MoodysData(Raw)'!J$2:J$180,'MoodysData(Raw)'!$B$2:$B$180,"=EMP",'MoodysData(Raw)'!$D$2:$D$180,"="&amp;'Implied Productivity Ratios'!$C64)</f>
        <v>191.83357248440709</v>
      </c>
      <c r="H64">
        <f>SUMIFS('MoodysData(Raw)'!K$2:K$180,'MoodysData(Raw)'!$B$2:$B$180,"=GDP",'MoodysData(Raw)'!$D$2:$D$180,"="&amp;'Implied Productivity Ratios'!$C64)/SUMIFS('MoodysData(Raw)'!K$2:K$180,'MoodysData(Raw)'!$B$2:$B$180,"=EMP",'MoodysData(Raw)'!$D$2:$D$180,"="&amp;'Implied Productivity Ratios'!$C64)</f>
        <v>246.27659289964564</v>
      </c>
      <c r="I64">
        <f>SUMIFS('MoodysData(Raw)'!L$2:L$180,'MoodysData(Raw)'!$B$2:$B$180,"=GDP",'MoodysData(Raw)'!$D$2:$D$180,"="&amp;'Implied Productivity Ratios'!$C64)/SUMIFS('MoodysData(Raw)'!L$2:L$180,'MoodysData(Raw)'!$B$2:$B$180,"=EMP",'MoodysData(Raw)'!$D$2:$D$180,"="&amp;'Implied Productivity Ratios'!$C64)</f>
        <v>250.14827975534914</v>
      </c>
      <c r="J64">
        <f>SUMIFS('MoodysData(Raw)'!M$2:M$180,'MoodysData(Raw)'!$B$2:$B$180,"=GDP",'MoodysData(Raw)'!$D$2:$D$180,"="&amp;'Implied Productivity Ratios'!$C64)/SUMIFS('MoodysData(Raw)'!M$2:M$180,'MoodysData(Raw)'!$B$2:$B$180,"=EMP",'MoodysData(Raw)'!$D$2:$D$180,"="&amp;'Implied Productivity Ratios'!$C64)</f>
        <v>269.53068340306834</v>
      </c>
      <c r="K64">
        <f>SUMIFS('MoodysData(Raw)'!N$2:N$180,'MoodysData(Raw)'!$B$2:$B$180,"=GDP",'MoodysData(Raw)'!$D$2:$D$180,"="&amp;'Implied Productivity Ratios'!$C64)/SUMIFS('MoodysData(Raw)'!N$2:N$180,'MoodysData(Raw)'!$B$2:$B$180,"=EMP",'MoodysData(Raw)'!$D$2:$D$180,"="&amp;'Implied Productivity Ratios'!$C64)</f>
        <v>303.0639919722899</v>
      </c>
      <c r="L64">
        <f>SUMIFS('MoodysData(Raw)'!O$2:O$180,'MoodysData(Raw)'!$B$2:$B$180,"=GDP",'MoodysData(Raw)'!$D$2:$D$180,"="&amp;'Implied Productivity Ratios'!$C64)/SUMIFS('MoodysData(Raw)'!O$2:O$180,'MoodysData(Raw)'!$B$2:$B$180,"=EMP",'MoodysData(Raw)'!$D$2:$D$180,"="&amp;'Implied Productivity Ratios'!$C64)</f>
        <v>281.70029342659461</v>
      </c>
      <c r="M64">
        <f>SUMIFS('MoodysData(Raw)'!P$2:P$180,'MoodysData(Raw)'!$B$2:$B$180,"=GDP",'MoodysData(Raw)'!$D$2:$D$180,"="&amp;'Implied Productivity Ratios'!$C64)/SUMIFS('MoodysData(Raw)'!P$2:P$180,'MoodysData(Raw)'!$B$2:$B$180,"=EMP",'MoodysData(Raw)'!$D$2:$D$180,"="&amp;'Implied Productivity Ratios'!$C64)</f>
        <v>366.73894486425974</v>
      </c>
      <c r="N64">
        <f>SUMIFS('MoodysData(Raw)'!Q$2:Q$180,'MoodysData(Raw)'!$B$2:$B$180,"=GDP",'MoodysData(Raw)'!$D$2:$D$180,"="&amp;'Implied Productivity Ratios'!$C64)/SUMIFS('MoodysData(Raw)'!Q$2:Q$180,'MoodysData(Raw)'!$B$2:$B$180,"=EMP",'MoodysData(Raw)'!$D$2:$D$180,"="&amp;'Implied Productivity Ratios'!$C64)</f>
        <v>364.76988050535334</v>
      </c>
      <c r="O64">
        <f>SUMIFS('MoodysData(Raw)'!R$2:R$180,'MoodysData(Raw)'!$B$2:$B$180,"=GDP",'MoodysData(Raw)'!$D$2:$D$180,"="&amp;'Implied Productivity Ratios'!$C64)/SUMIFS('MoodysData(Raw)'!R$2:R$180,'MoodysData(Raw)'!$B$2:$B$180,"=EMP",'MoodysData(Raw)'!$D$2:$D$180,"="&amp;'Implied Productivity Ratios'!$C64)</f>
        <v>392.23697982268669</v>
      </c>
      <c r="P64">
        <f>SUMIFS('MoodysData(Raw)'!S$2:S$180,'MoodysData(Raw)'!$B$2:$B$180,"=GDP",'MoodysData(Raw)'!$D$2:$D$180,"="&amp;'Implied Productivity Ratios'!$C64)/SUMIFS('MoodysData(Raw)'!S$2:S$180,'MoodysData(Raw)'!$B$2:$B$180,"=EMP",'MoodysData(Raw)'!$D$2:$D$180,"="&amp;'Implied Productivity Ratios'!$C64)</f>
        <v>404.39059996909117</v>
      </c>
      <c r="Q64">
        <f>SUMIFS('MoodysData(Raw)'!T$2:T$180,'MoodysData(Raw)'!$B$2:$B$180,"=GDP",'MoodysData(Raw)'!$D$2:$D$180,"="&amp;'Implied Productivity Ratios'!$C64)/SUMIFS('MoodysData(Raw)'!T$2:T$180,'MoodysData(Raw)'!$B$2:$B$180,"=EMP",'MoodysData(Raw)'!$D$2:$D$180,"="&amp;'Implied Productivity Ratios'!$C64)</f>
        <v>410.86070654885037</v>
      </c>
      <c r="R64">
        <f>SUMIFS('MoodysData(Raw)'!U$2:U$180,'MoodysData(Raw)'!$B$2:$B$180,"=GDP",'MoodysData(Raw)'!$D$2:$D$180,"="&amp;'Implied Productivity Ratios'!$C64)/SUMIFS('MoodysData(Raw)'!U$2:U$180,'MoodysData(Raw)'!$B$2:$B$180,"=EMP",'MoodysData(Raw)'!$D$2:$D$180,"="&amp;'Implied Productivity Ratios'!$C64)</f>
        <v>407.15897346233049</v>
      </c>
      <c r="S64">
        <f>SUMIFS('MoodysData(Raw)'!V$2:V$180,'MoodysData(Raw)'!$B$2:$B$180,"=GDP",'MoodysData(Raw)'!$D$2:$D$180,"="&amp;'Implied Productivity Ratios'!$C64)/SUMIFS('MoodysData(Raw)'!V$2:V$180,'MoodysData(Raw)'!$B$2:$B$180,"=EMP",'MoodysData(Raw)'!$D$2:$D$180,"="&amp;'Implied Productivity Ratios'!$C64)</f>
        <v>445.57489398595129</v>
      </c>
      <c r="T64">
        <f>SUMIFS('MoodysData(Raw)'!W$2:W$180,'MoodysData(Raw)'!$B$2:$B$180,"=GDP",'MoodysData(Raw)'!$D$2:$D$180,"="&amp;'Implied Productivity Ratios'!$C64)/SUMIFS('MoodysData(Raw)'!W$2:W$180,'MoodysData(Raw)'!$B$2:$B$180,"=EMP",'MoodysData(Raw)'!$D$2:$D$180,"="&amp;'Implied Productivity Ratios'!$C64)</f>
        <v>483.80786631945898</v>
      </c>
      <c r="U64">
        <f>SUMIFS('MoodysData(Raw)'!X$2:X$180,'MoodysData(Raw)'!$B$2:$B$180,"=GDP",'MoodysData(Raw)'!$D$2:$D$180,"="&amp;'Implied Productivity Ratios'!$C64)/SUMIFS('MoodysData(Raw)'!X$2:X$180,'MoodysData(Raw)'!$B$2:$B$180,"=EMP",'MoodysData(Raw)'!$D$2:$D$180,"="&amp;'Implied Productivity Ratios'!$C64)</f>
        <v>529.22125638638306</v>
      </c>
      <c r="V64">
        <f>SUMIFS('MoodysData(Raw)'!Y$2:Y$180,'MoodysData(Raw)'!$B$2:$B$180,"=GDP",'MoodysData(Raw)'!$D$2:$D$180,"="&amp;'Implied Productivity Ratios'!$C64)/SUMIFS('MoodysData(Raw)'!Y$2:Y$180,'MoodysData(Raw)'!$B$2:$B$180,"=EMP",'MoodysData(Raw)'!$D$2:$D$180,"="&amp;'Implied Productivity Ratios'!$C64)</f>
        <v>474.56902618783312</v>
      </c>
      <c r="W64">
        <f>SUMIFS('MoodysData(Raw)'!Z$2:Z$180,'MoodysData(Raw)'!$B$2:$B$180,"=GDP",'MoodysData(Raw)'!$D$2:$D$180,"="&amp;'Implied Productivity Ratios'!$C64)/SUMIFS('MoodysData(Raw)'!Z$2:Z$180,'MoodysData(Raw)'!$B$2:$B$180,"=EMP",'MoodysData(Raw)'!$D$2:$D$180,"="&amp;'Implied Productivity Ratios'!$C64)</f>
        <v>564.90881345285675</v>
      </c>
      <c r="X64">
        <f>SUMIFS('MoodysData(Raw)'!AA$2:AA$180,'MoodysData(Raw)'!$B$2:$B$180,"=GDP",'MoodysData(Raw)'!$D$2:$D$180,"="&amp;'Implied Productivity Ratios'!$C64)/SUMIFS('MoodysData(Raw)'!AA$2:AA$180,'MoodysData(Raw)'!$B$2:$B$180,"=EMP",'MoodysData(Raw)'!$D$2:$D$180,"="&amp;'Implied Productivity Ratios'!$C64)</f>
        <v>642.96543612955884</v>
      </c>
      <c r="Y64">
        <f>SUMIFS('MoodysData(Raw)'!AB$2:AB$180,'MoodysData(Raw)'!$B$2:$B$180,"=GDP",'MoodysData(Raw)'!$D$2:$D$180,"="&amp;'Implied Productivity Ratios'!$C64)/SUMIFS('MoodysData(Raw)'!AB$2:AB$180,'MoodysData(Raw)'!$B$2:$B$180,"=EMP",'MoodysData(Raw)'!$D$2:$D$180,"="&amp;'Implied Productivity Ratios'!$C64)</f>
        <v>647.96857118784828</v>
      </c>
      <c r="Z64">
        <f>SUMIFS('MoodysData(Raw)'!AC$2:AC$180,'MoodysData(Raw)'!$B$2:$B$180,"=GDP",'MoodysData(Raw)'!$D$2:$D$180,"="&amp;'Implied Productivity Ratios'!$C64)/SUMIFS('MoodysData(Raw)'!AC$2:AC$180,'MoodysData(Raw)'!$B$2:$B$180,"=EMP",'MoodysData(Raw)'!$D$2:$D$180,"="&amp;'Implied Productivity Ratios'!$C64)</f>
        <v>638.98458590196481</v>
      </c>
      <c r="AA64">
        <f>SUMIFS('MoodysData(Raw)'!AD$2:AD$180,'MoodysData(Raw)'!$B$2:$B$180,"=GDP",'MoodysData(Raw)'!$D$2:$D$180,"="&amp;'Implied Productivity Ratios'!$C64)/SUMIFS('MoodysData(Raw)'!AD$2:AD$180,'MoodysData(Raw)'!$B$2:$B$180,"=EMP",'MoodysData(Raw)'!$D$2:$D$180,"="&amp;'Implied Productivity Ratios'!$C64)</f>
        <v>635.16895275855086</v>
      </c>
      <c r="AB64">
        <f>SUMIFS('MoodysData(Raw)'!AE$2:AE$180,'MoodysData(Raw)'!$B$2:$B$180,"=GDP",'MoodysData(Raw)'!$D$2:$D$180,"="&amp;'Implied Productivity Ratios'!$C64)/SUMIFS('MoodysData(Raw)'!AE$2:AE$180,'MoodysData(Raw)'!$B$2:$B$180,"=EMP",'MoodysData(Raw)'!$D$2:$D$180,"="&amp;'Implied Productivity Ratios'!$C64)</f>
        <v>636.39945008405675</v>
      </c>
      <c r="AC64">
        <f>SUMIFS('MoodysData(Raw)'!AF$2:AF$180,'MoodysData(Raw)'!$B$2:$B$180,"=GDP",'MoodysData(Raw)'!$D$2:$D$180,"="&amp;'Implied Productivity Ratios'!$C64)/SUMIFS('MoodysData(Raw)'!AF$2:AF$180,'MoodysData(Raw)'!$B$2:$B$180,"=EMP",'MoodysData(Raw)'!$D$2:$D$180,"="&amp;'Implied Productivity Ratios'!$C64)</f>
        <v>641.05400675084388</v>
      </c>
      <c r="AD64">
        <f>SUMIFS('MoodysData(Raw)'!AG$2:AG$180,'MoodysData(Raw)'!$B$2:$B$180,"=GDP",'MoodysData(Raw)'!$D$2:$D$180,"="&amp;'Implied Productivity Ratios'!$C64)/SUMIFS('MoodysData(Raw)'!AG$2:AG$180,'MoodysData(Raw)'!$B$2:$B$180,"=EMP",'MoodysData(Raw)'!$D$2:$D$180,"="&amp;'Implied Productivity Ratios'!$C64)</f>
        <v>648.0739584472168</v>
      </c>
      <c r="AE64">
        <f>SUMIFS('MoodysData(Raw)'!AH$2:AH$180,'MoodysData(Raw)'!$B$2:$B$180,"=GDP",'MoodysData(Raw)'!$D$2:$D$180,"="&amp;'Implied Productivity Ratios'!$C64)/SUMIFS('MoodysData(Raw)'!AH$2:AH$180,'MoodysData(Raw)'!$B$2:$B$180,"=EMP",'MoodysData(Raw)'!$D$2:$D$180,"="&amp;'Implied Productivity Ratios'!$C64)</f>
        <v>655.07245791511116</v>
      </c>
      <c r="AF64">
        <f>SUMIFS('MoodysData(Raw)'!AI$2:AI$180,'MoodysData(Raw)'!$B$2:$B$180,"=GDP",'MoodysData(Raw)'!$D$2:$D$180,"="&amp;'Implied Productivity Ratios'!$C64)/SUMIFS('MoodysData(Raw)'!AI$2:AI$180,'MoodysData(Raw)'!$B$2:$B$180,"=EMP",'MoodysData(Raw)'!$D$2:$D$180,"="&amp;'Implied Productivity Ratios'!$C64)</f>
        <v>663.03354881319683</v>
      </c>
      <c r="AG64">
        <f>SUMIFS('MoodysData(Raw)'!AJ$2:AJ$180,'MoodysData(Raw)'!$B$2:$B$180,"=GDP",'MoodysData(Raw)'!$D$2:$D$180,"="&amp;'Implied Productivity Ratios'!$C64)/SUMIFS('MoodysData(Raw)'!AJ$2:AJ$180,'MoodysData(Raw)'!$B$2:$B$180,"=EMP",'MoodysData(Raw)'!$D$2:$D$180,"="&amp;'Implied Productivity Ratios'!$C64)</f>
        <v>671.02648996699997</v>
      </c>
      <c r="AH64">
        <f>SUMIFS('MoodysData(Raw)'!AK$2:AK$180,'MoodysData(Raw)'!$B$2:$B$180,"=GDP",'MoodysData(Raw)'!$D$2:$D$180,"="&amp;'Implied Productivity Ratios'!$C64)/SUMIFS('MoodysData(Raw)'!AK$2:AK$180,'MoodysData(Raw)'!$B$2:$B$180,"=EMP",'MoodysData(Raw)'!$D$2:$D$180,"="&amp;'Implied Productivity Ratios'!$C64)</f>
        <v>677.24920062340402</v>
      </c>
      <c r="AI64">
        <f>SUMIFS('MoodysData(Raw)'!AL$2:AL$180,'MoodysData(Raw)'!$B$2:$B$180,"=GDP",'MoodysData(Raw)'!$D$2:$D$180,"="&amp;'Implied Productivity Ratios'!$C64)/SUMIFS('MoodysData(Raw)'!AL$2:AL$180,'MoodysData(Raw)'!$B$2:$B$180,"=EMP",'MoodysData(Raw)'!$D$2:$D$180,"="&amp;'Implied Productivity Ratios'!$C64)</f>
        <v>682.31449483203437</v>
      </c>
      <c r="AJ64">
        <f>SUMIFS('MoodysData(Raw)'!AM$2:AM$180,'MoodysData(Raw)'!$B$2:$B$180,"=GDP",'MoodysData(Raw)'!$D$2:$D$180,"="&amp;'Implied Productivity Ratios'!$C64)/SUMIFS('MoodysData(Raw)'!AM$2:AM$180,'MoodysData(Raw)'!$B$2:$B$180,"=EMP",'MoodysData(Raw)'!$D$2:$D$180,"="&amp;'Implied Productivity Ratios'!$C64)</f>
        <v>688.54530959994236</v>
      </c>
      <c r="AK64">
        <f>SUMIFS('MoodysData(Raw)'!AN$2:AN$180,'MoodysData(Raw)'!$B$2:$B$180,"=GDP",'MoodysData(Raw)'!$D$2:$D$180,"="&amp;'Implied Productivity Ratios'!$C64)/SUMIFS('MoodysData(Raw)'!AN$2:AN$180,'MoodysData(Raw)'!$B$2:$B$180,"=EMP",'MoodysData(Raw)'!$D$2:$D$180,"="&amp;'Implied Productivity Ratios'!$C64)</f>
        <v>696.062615295147</v>
      </c>
      <c r="AL64">
        <f>SUMIFS('MoodysData(Raw)'!AO$2:AO$180,'MoodysData(Raw)'!$B$2:$B$180,"=GDP",'MoodysData(Raw)'!$D$2:$D$180,"="&amp;'Implied Productivity Ratios'!$C64)/SUMIFS('MoodysData(Raw)'!AO$2:AO$180,'MoodysData(Raw)'!$B$2:$B$180,"=EMP",'MoodysData(Raw)'!$D$2:$D$180,"="&amp;'Implied Productivity Ratios'!$C64)</f>
        <v>704.05899152240022</v>
      </c>
      <c r="AM64">
        <f>SUMIFS('MoodysData(Raw)'!AP$2:AP$180,'MoodysData(Raw)'!$B$2:$B$180,"=GDP",'MoodysData(Raw)'!$D$2:$D$180,"="&amp;'Implied Productivity Ratios'!$C64)/SUMIFS('MoodysData(Raw)'!AP$2:AP$180,'MoodysData(Raw)'!$B$2:$B$180,"=EMP",'MoodysData(Raw)'!$D$2:$D$180,"="&amp;'Implied Productivity Ratios'!$C64)</f>
        <v>713.28397609412264</v>
      </c>
      <c r="AN64">
        <f>SUMIFS('MoodysData(Raw)'!AQ$2:AQ$180,'MoodysData(Raw)'!$B$2:$B$180,"=GDP",'MoodysData(Raw)'!$D$2:$D$180,"="&amp;'Implied Productivity Ratios'!$C64)/SUMIFS('MoodysData(Raw)'!AQ$2:AQ$180,'MoodysData(Raw)'!$B$2:$B$180,"=EMP",'MoodysData(Raw)'!$D$2:$D$180,"="&amp;'Implied Productivity Ratios'!$C64)</f>
        <v>723.34970497646589</v>
      </c>
      <c r="AO64">
        <f>SUMIFS('MoodysData(Raw)'!AR$2:AR$180,'MoodysData(Raw)'!$B$2:$B$180,"=GDP",'MoodysData(Raw)'!$D$2:$D$180,"="&amp;'Implied Productivity Ratios'!$C64)/SUMIFS('MoodysData(Raw)'!AR$2:AR$180,'MoodysData(Raw)'!$B$2:$B$180,"=EMP",'MoodysData(Raw)'!$D$2:$D$180,"="&amp;'Implied Productivity Ratios'!$C64)</f>
        <v>733.53608535322689</v>
      </c>
      <c r="AP64">
        <f>SUMIFS('MoodysData(Raw)'!AS$2:AS$180,'MoodysData(Raw)'!$B$2:$B$180,"=GDP",'MoodysData(Raw)'!$D$2:$D$180,"="&amp;'Implied Productivity Ratios'!$C64)/SUMIFS('MoodysData(Raw)'!AS$2:AS$180,'MoodysData(Raw)'!$B$2:$B$180,"=EMP",'MoodysData(Raw)'!$D$2:$D$180,"="&amp;'Implied Productivity Ratios'!$C64)</f>
        <v>744.0820729806768</v>
      </c>
      <c r="AQ64">
        <f>SUMIFS('MoodysData(Raw)'!AT$2:AT$180,'MoodysData(Raw)'!$B$2:$B$180,"=GDP",'MoodysData(Raw)'!$D$2:$D$180,"="&amp;'Implied Productivity Ratios'!$C64)/SUMIFS('MoodysData(Raw)'!AT$2:AT$180,'MoodysData(Raw)'!$B$2:$B$180,"=EMP",'MoodysData(Raw)'!$D$2:$D$180,"="&amp;'Implied Productivity Ratios'!$C64)</f>
        <v>754.95543021402386</v>
      </c>
      <c r="AR64">
        <f>SUMIFS('MoodysData(Raw)'!AU$2:AU$180,'MoodysData(Raw)'!$B$2:$B$180,"=GDP",'MoodysData(Raw)'!$D$2:$D$180,"="&amp;'Implied Productivity Ratios'!$C64)/SUMIFS('MoodysData(Raw)'!AU$2:AU$180,'MoodysData(Raw)'!$B$2:$B$180,"=EMP",'MoodysData(Raw)'!$D$2:$D$180,"="&amp;'Implied Productivity Ratios'!$C64)</f>
        <v>766.15625504950492</v>
      </c>
      <c r="AS64">
        <f>SUMIFS('MoodysData(Raw)'!AV$2:AV$180,'MoodysData(Raw)'!$B$2:$B$180,"=GDP",'MoodysData(Raw)'!$D$2:$D$180,"="&amp;'Implied Productivity Ratios'!$C64)/SUMIFS('MoodysData(Raw)'!AV$2:AV$180,'MoodysData(Raw)'!$B$2:$B$180,"=EMP",'MoodysData(Raw)'!$D$2:$D$180,"="&amp;'Implied Productivity Ratios'!$C64)</f>
        <v>777.93902224373505</v>
      </c>
      <c r="AT64">
        <f>SUMIFS('MoodysData(Raw)'!AW$2:AW$180,'MoodysData(Raw)'!$B$2:$B$180,"=GDP",'MoodysData(Raw)'!$D$2:$D$180,"="&amp;'Implied Productivity Ratios'!$C64)/SUMIFS('MoodysData(Raw)'!AW$2:AW$180,'MoodysData(Raw)'!$B$2:$B$180,"=EMP",'MoodysData(Raw)'!$D$2:$D$180,"="&amp;'Implied Productivity Ratios'!$C64)</f>
        <v>790.45727839950291</v>
      </c>
      <c r="AU64">
        <f>SUMIFS('MoodysData(Raw)'!AX$2:AX$180,'MoodysData(Raw)'!$B$2:$B$180,"=GDP",'MoodysData(Raw)'!$D$2:$D$180,"="&amp;'Implied Productivity Ratios'!$C64)/SUMIFS('MoodysData(Raw)'!AX$2:AX$180,'MoodysData(Raw)'!$B$2:$B$180,"=EMP",'MoodysData(Raw)'!$D$2:$D$180,"="&amp;'Implied Productivity Ratios'!$C64)</f>
        <v>804.41373424553285</v>
      </c>
      <c r="AV64">
        <f>SUMIFS('MoodysData(Raw)'!AY$2:AY$180,'MoodysData(Raw)'!$B$2:$B$180,"=GDP",'MoodysData(Raw)'!$D$2:$D$180,"="&amp;'Implied Productivity Ratios'!$C64)/SUMIFS('MoodysData(Raw)'!AY$2:AY$180,'MoodysData(Raw)'!$B$2:$B$180,"=EMP",'MoodysData(Raw)'!$D$2:$D$180,"="&amp;'Implied Productivity Ratios'!$C64)</f>
        <v>819.83418672788412</v>
      </c>
      <c r="AW64">
        <f>SUMIFS('MoodysData(Raw)'!AZ$2:AZ$180,'MoodysData(Raw)'!$B$2:$B$180,"=GDP",'MoodysData(Raw)'!$D$2:$D$180,"="&amp;'Implied Productivity Ratios'!$C64)/SUMIFS('MoodysData(Raw)'!AZ$2:AZ$180,'MoodysData(Raw)'!$B$2:$B$180,"=EMP",'MoodysData(Raw)'!$D$2:$D$180,"="&amp;'Implied Productivity Ratios'!$C64)</f>
        <v>836.40582653632453</v>
      </c>
      <c r="AX64">
        <f>SUMIFS('MoodysData(Raw)'!BA$2:BA$180,'MoodysData(Raw)'!$B$2:$B$180,"=GDP",'MoodysData(Raw)'!$D$2:$D$180,"="&amp;'Implied Productivity Ratios'!$C64)/SUMIFS('MoodysData(Raw)'!BA$2:BA$180,'MoodysData(Raw)'!$B$2:$B$180,"=EMP",'MoodysData(Raw)'!$D$2:$D$180,"="&amp;'Implied Productivity Ratios'!$C64)</f>
        <v>854.17033481187798</v>
      </c>
      <c r="AY64">
        <f>SUMIFS('MoodysData(Raw)'!BB$2:BB$180,'MoodysData(Raw)'!$B$2:$B$180,"=GDP",'MoodysData(Raw)'!$D$2:$D$180,"="&amp;'Implied Productivity Ratios'!$C64)/SUMIFS('MoodysData(Raw)'!BB$2:BB$180,'MoodysData(Raw)'!$B$2:$B$180,"=EMP",'MoodysData(Raw)'!$D$2:$D$180,"="&amp;'Implied Productivity Ratios'!$C64)</f>
        <v>873.01072496125175</v>
      </c>
      <c r="AZ64">
        <f>SUMIFS('MoodysData(Raw)'!BC$2:BC$180,'MoodysData(Raw)'!$B$2:$B$180,"=GDP",'MoodysData(Raw)'!$D$2:$D$180,"="&amp;'Implied Productivity Ratios'!$C64)/SUMIFS('MoodysData(Raw)'!BC$2:BC$180,'MoodysData(Raw)'!$B$2:$B$180,"=EMP",'MoodysData(Raw)'!$D$2:$D$180,"="&amp;'Implied Productivity Ratios'!$C64)</f>
        <v>893.2795975778381</v>
      </c>
      <c r="BA64">
        <f>SUMIFS('MoodysData(Raw)'!BD$2:BD$180,'MoodysData(Raw)'!$B$2:$B$180,"=GDP",'MoodysData(Raw)'!$D$2:$D$180,"="&amp;'Implied Productivity Ratios'!$C64)/SUMIFS('MoodysData(Raw)'!BD$2:BD$180,'MoodysData(Raw)'!$B$2:$B$180,"=EMP",'MoodysData(Raw)'!$D$2:$D$180,"="&amp;'Implied Productivity Ratios'!$C64)</f>
        <v>915.08352873389674</v>
      </c>
      <c r="BB64">
        <f>SUMIFS('MoodysData(Raw)'!BE$2:BE$180,'MoodysData(Raw)'!$B$2:$B$180,"=GDP",'MoodysData(Raw)'!$D$2:$D$180,"="&amp;'Implied Productivity Ratios'!$C64)/SUMIFS('MoodysData(Raw)'!BE$2:BE$180,'MoodysData(Raw)'!$B$2:$B$180,"=EMP",'MoodysData(Raw)'!$D$2:$D$180,"="&amp;'Implied Productivity Ratios'!$C64)</f>
        <v>938.79426211518421</v>
      </c>
      <c r="BC64">
        <f>SUMIFS('MoodysData(Raw)'!BF$2:BF$180,'MoodysData(Raw)'!$B$2:$B$180,"=GDP",'MoodysData(Raw)'!$D$2:$D$180,"="&amp;'Implied Productivity Ratios'!$C64)/SUMIFS('MoodysData(Raw)'!BF$2:BF$180,'MoodysData(Raw)'!$B$2:$B$180,"=EMP",'MoodysData(Raw)'!$D$2:$D$180,"="&amp;'Implied Productivity Ratios'!$C64)</f>
        <v>964.45306905172276</v>
      </c>
      <c r="BD64" s="5">
        <f t="shared" ref="BD64:BH64" si="58">BC64+($BC64-$AX64)/5</f>
        <v>986.50961589969177</v>
      </c>
      <c r="BE64" s="5">
        <f t="shared" si="58"/>
        <v>1008.5661627476608</v>
      </c>
      <c r="BF64" s="5">
        <f t="shared" si="58"/>
        <v>1030.6227095956297</v>
      </c>
      <c r="BG64" s="5">
        <f t="shared" si="58"/>
        <v>1052.6792564435987</v>
      </c>
      <c r="BH64" s="5">
        <f t="shared" si="58"/>
        <v>1074.7358032915677</v>
      </c>
    </row>
    <row r="65" spans="3:60">
      <c r="C65">
        <v>521</v>
      </c>
      <c r="D65" t="s">
        <v>370</v>
      </c>
      <c r="E65">
        <f>SUMIFS('MoodysData(Raw)'!H$2:H$180,'MoodysData(Raw)'!$B$2:$B$180,"=GDP",'MoodysData(Raw)'!$D$2:$D$180,"="&amp;'Implied Productivity Ratios'!$C65)/SUMIFS('MoodysData(Raw)'!H$2:H$180,'MoodysData(Raw)'!$B$2:$B$180,"=EMP",'MoodysData(Raw)'!$D$2:$D$180,"="&amp;'Implied Productivity Ratios'!$C65)</f>
        <v>255.82545652766424</v>
      </c>
      <c r="F65">
        <f>SUMIFS('MoodysData(Raw)'!I$2:I$180,'MoodysData(Raw)'!$B$2:$B$180,"=GDP",'MoodysData(Raw)'!$D$2:$D$180,"="&amp;'Implied Productivity Ratios'!$C65)/SUMIFS('MoodysData(Raw)'!I$2:I$180,'MoodysData(Raw)'!$B$2:$B$180,"=EMP",'MoodysData(Raw)'!$D$2:$D$180,"="&amp;'Implied Productivity Ratios'!$C65)</f>
        <v>245.14019824949906</v>
      </c>
      <c r="G65">
        <f>SUMIFS('MoodysData(Raw)'!J$2:J$180,'MoodysData(Raw)'!$B$2:$B$180,"=GDP",'MoodysData(Raw)'!$D$2:$D$180,"="&amp;'Implied Productivity Ratios'!$C65)/SUMIFS('MoodysData(Raw)'!J$2:J$180,'MoodysData(Raw)'!$B$2:$B$180,"=EMP",'MoodysData(Raw)'!$D$2:$D$180,"="&amp;'Implied Productivity Ratios'!$C65)</f>
        <v>237.23547560529207</v>
      </c>
      <c r="H65">
        <f>SUMIFS('MoodysData(Raw)'!K$2:K$180,'MoodysData(Raw)'!$B$2:$B$180,"=GDP",'MoodysData(Raw)'!$D$2:$D$180,"="&amp;'Implied Productivity Ratios'!$C65)/SUMIFS('MoodysData(Raw)'!K$2:K$180,'MoodysData(Raw)'!$B$2:$B$180,"=EMP",'MoodysData(Raw)'!$D$2:$D$180,"="&amp;'Implied Productivity Ratios'!$C65)</f>
        <v>301.11797075624963</v>
      </c>
      <c r="I65">
        <f>SUMIFS('MoodysData(Raw)'!L$2:L$180,'MoodysData(Raw)'!$B$2:$B$180,"=GDP",'MoodysData(Raw)'!$D$2:$D$180,"="&amp;'Implied Productivity Ratios'!$C65)/SUMIFS('MoodysData(Raw)'!L$2:L$180,'MoodysData(Raw)'!$B$2:$B$180,"=EMP",'MoodysData(Raw)'!$D$2:$D$180,"="&amp;'Implied Productivity Ratios'!$C65)</f>
        <v>436.73224917309813</v>
      </c>
      <c r="J65">
        <f>SUMIFS('MoodysData(Raw)'!M$2:M$180,'MoodysData(Raw)'!$B$2:$B$180,"=GDP",'MoodysData(Raw)'!$D$2:$D$180,"="&amp;'Implied Productivity Ratios'!$C65)/SUMIFS('MoodysData(Raw)'!M$2:M$180,'MoodysData(Raw)'!$B$2:$B$180,"=EMP",'MoodysData(Raw)'!$D$2:$D$180,"="&amp;'Implied Productivity Ratios'!$C65)</f>
        <v>414.92346737352653</v>
      </c>
      <c r="K65">
        <f>SUMIFS('MoodysData(Raw)'!N$2:N$180,'MoodysData(Raw)'!$B$2:$B$180,"=GDP",'MoodysData(Raw)'!$D$2:$D$180,"="&amp;'Implied Productivity Ratios'!$C65)/SUMIFS('MoodysData(Raw)'!N$2:N$180,'MoodysData(Raw)'!$B$2:$B$180,"=EMP",'MoodysData(Raw)'!$D$2:$D$180,"="&amp;'Implied Productivity Ratios'!$C65)</f>
        <v>430.89123657776241</v>
      </c>
      <c r="L65">
        <f>SUMIFS('MoodysData(Raw)'!O$2:O$180,'MoodysData(Raw)'!$B$2:$B$180,"=GDP",'MoodysData(Raw)'!$D$2:$D$180,"="&amp;'Implied Productivity Ratios'!$C65)/SUMIFS('MoodysData(Raw)'!O$2:O$180,'MoodysData(Raw)'!$B$2:$B$180,"=EMP",'MoodysData(Raw)'!$D$2:$D$180,"="&amp;'Implied Productivity Ratios'!$C65)</f>
        <v>445.83820440496913</v>
      </c>
      <c r="M65">
        <f>SUMIFS('MoodysData(Raw)'!P$2:P$180,'MoodysData(Raw)'!$B$2:$B$180,"=GDP",'MoodysData(Raw)'!$D$2:$D$180,"="&amp;'Implied Productivity Ratios'!$C65)/SUMIFS('MoodysData(Raw)'!P$2:P$180,'MoodysData(Raw)'!$B$2:$B$180,"=EMP",'MoodysData(Raw)'!$D$2:$D$180,"="&amp;'Implied Productivity Ratios'!$C65)</f>
        <v>451.47900545477609</v>
      </c>
      <c r="N65">
        <f>SUMIFS('MoodysData(Raw)'!Q$2:Q$180,'MoodysData(Raw)'!$B$2:$B$180,"=GDP",'MoodysData(Raw)'!$D$2:$D$180,"="&amp;'Implied Productivity Ratios'!$C65)/SUMIFS('MoodysData(Raw)'!Q$2:Q$180,'MoodysData(Raw)'!$B$2:$B$180,"=EMP",'MoodysData(Raw)'!$D$2:$D$180,"="&amp;'Implied Productivity Ratios'!$C65)</f>
        <v>476.09816067252387</v>
      </c>
      <c r="O65">
        <f>SUMIFS('MoodysData(Raw)'!R$2:R$180,'MoodysData(Raw)'!$B$2:$B$180,"=GDP",'MoodysData(Raw)'!$D$2:$D$180,"="&amp;'Implied Productivity Ratios'!$C65)/SUMIFS('MoodysData(Raw)'!R$2:R$180,'MoodysData(Raw)'!$B$2:$B$180,"=EMP",'MoodysData(Raw)'!$D$2:$D$180,"="&amp;'Implied Productivity Ratios'!$C65)</f>
        <v>459.1662905854331</v>
      </c>
      <c r="P65">
        <f>SUMIFS('MoodysData(Raw)'!S$2:S$180,'MoodysData(Raw)'!$B$2:$B$180,"=GDP",'MoodysData(Raw)'!$D$2:$D$180,"="&amp;'Implied Productivity Ratios'!$C65)/SUMIFS('MoodysData(Raw)'!S$2:S$180,'MoodysData(Raw)'!$B$2:$B$180,"=EMP",'MoodysData(Raw)'!$D$2:$D$180,"="&amp;'Implied Productivity Ratios'!$C65)</f>
        <v>443.57908068701346</v>
      </c>
      <c r="Q65">
        <f>SUMIFS('MoodysData(Raw)'!T$2:T$180,'MoodysData(Raw)'!$B$2:$B$180,"=GDP",'MoodysData(Raw)'!$D$2:$D$180,"="&amp;'Implied Productivity Ratios'!$C65)/SUMIFS('MoodysData(Raw)'!T$2:T$180,'MoodysData(Raw)'!$B$2:$B$180,"=EMP",'MoodysData(Raw)'!$D$2:$D$180,"="&amp;'Implied Productivity Ratios'!$C65)</f>
        <v>417.13990304964102</v>
      </c>
      <c r="R65">
        <f>SUMIFS('MoodysData(Raw)'!U$2:U$180,'MoodysData(Raw)'!$B$2:$B$180,"=GDP",'MoodysData(Raw)'!$D$2:$D$180,"="&amp;'Implied Productivity Ratios'!$C65)/SUMIFS('MoodysData(Raw)'!U$2:U$180,'MoodysData(Raw)'!$B$2:$B$180,"=EMP",'MoodysData(Raw)'!$D$2:$D$180,"="&amp;'Implied Productivity Ratios'!$C65)</f>
        <v>399.06268818499336</v>
      </c>
      <c r="S65">
        <f>SUMIFS('MoodysData(Raw)'!V$2:V$180,'MoodysData(Raw)'!$B$2:$B$180,"=GDP",'MoodysData(Raw)'!$D$2:$D$180,"="&amp;'Implied Productivity Ratios'!$C65)/SUMIFS('MoodysData(Raw)'!V$2:V$180,'MoodysData(Raw)'!$B$2:$B$180,"=EMP",'MoodysData(Raw)'!$D$2:$D$180,"="&amp;'Implied Productivity Ratios'!$C65)</f>
        <v>404.17763506746013</v>
      </c>
      <c r="T65">
        <f>SUMIFS('MoodysData(Raw)'!W$2:W$180,'MoodysData(Raw)'!$B$2:$B$180,"=GDP",'MoodysData(Raw)'!$D$2:$D$180,"="&amp;'Implied Productivity Ratios'!$C65)/SUMIFS('MoodysData(Raw)'!W$2:W$180,'MoodysData(Raw)'!$B$2:$B$180,"=EMP",'MoodysData(Raw)'!$D$2:$D$180,"="&amp;'Implied Productivity Ratios'!$C65)</f>
        <v>407.17136861739334</v>
      </c>
      <c r="U65">
        <f>SUMIFS('MoodysData(Raw)'!X$2:X$180,'MoodysData(Raw)'!$B$2:$B$180,"=GDP",'MoodysData(Raw)'!$D$2:$D$180,"="&amp;'Implied Productivity Ratios'!$C65)/SUMIFS('MoodysData(Raw)'!X$2:X$180,'MoodysData(Raw)'!$B$2:$B$180,"=EMP",'MoodysData(Raw)'!$D$2:$D$180,"="&amp;'Implied Productivity Ratios'!$C65)</f>
        <v>406.47395214661464</v>
      </c>
      <c r="V65">
        <f>SUMIFS('MoodysData(Raw)'!Y$2:Y$180,'MoodysData(Raw)'!$B$2:$B$180,"=GDP",'MoodysData(Raw)'!$D$2:$D$180,"="&amp;'Implied Productivity Ratios'!$C65)/SUMIFS('MoodysData(Raw)'!Y$2:Y$180,'MoodysData(Raw)'!$B$2:$B$180,"=EMP",'MoodysData(Raw)'!$D$2:$D$180,"="&amp;'Implied Productivity Ratios'!$C65)</f>
        <v>375.13681592039796</v>
      </c>
      <c r="W65">
        <f>SUMIFS('MoodysData(Raw)'!Z$2:Z$180,'MoodysData(Raw)'!$B$2:$B$180,"=GDP",'MoodysData(Raw)'!$D$2:$D$180,"="&amp;'Implied Productivity Ratios'!$C65)/SUMIFS('MoodysData(Raw)'!Z$2:Z$180,'MoodysData(Raw)'!$B$2:$B$180,"=EMP",'MoodysData(Raw)'!$D$2:$D$180,"="&amp;'Implied Productivity Ratios'!$C65)</f>
        <v>377.1887819171202</v>
      </c>
      <c r="X65">
        <f>SUMIFS('MoodysData(Raw)'!AA$2:AA$180,'MoodysData(Raw)'!$B$2:$B$180,"=GDP",'MoodysData(Raw)'!$D$2:$D$180,"="&amp;'Implied Productivity Ratios'!$C65)/SUMIFS('MoodysData(Raw)'!AA$2:AA$180,'MoodysData(Raw)'!$B$2:$B$180,"=EMP",'MoodysData(Raw)'!$D$2:$D$180,"="&amp;'Implied Productivity Ratios'!$C65)</f>
        <v>405.4913243440995</v>
      </c>
      <c r="Y65">
        <f>SUMIFS('MoodysData(Raw)'!AB$2:AB$180,'MoodysData(Raw)'!$B$2:$B$180,"=GDP",'MoodysData(Raw)'!$D$2:$D$180,"="&amp;'Implied Productivity Ratios'!$C65)/SUMIFS('MoodysData(Raw)'!AB$2:AB$180,'MoodysData(Raw)'!$B$2:$B$180,"=EMP",'MoodysData(Raw)'!$D$2:$D$180,"="&amp;'Implied Productivity Ratios'!$C65)</f>
        <v>405.30799793601653</v>
      </c>
      <c r="Z65">
        <f>SUMIFS('MoodysData(Raw)'!AC$2:AC$180,'MoodysData(Raw)'!$B$2:$B$180,"=GDP",'MoodysData(Raw)'!$D$2:$D$180,"="&amp;'Implied Productivity Ratios'!$C65)/SUMIFS('MoodysData(Raw)'!AC$2:AC$180,'MoodysData(Raw)'!$B$2:$B$180,"=EMP",'MoodysData(Raw)'!$D$2:$D$180,"="&amp;'Implied Productivity Ratios'!$C65)</f>
        <v>401.22096978928658</v>
      </c>
      <c r="AA65">
        <f>SUMIFS('MoodysData(Raw)'!AD$2:AD$180,'MoodysData(Raw)'!$B$2:$B$180,"=GDP",'MoodysData(Raw)'!$D$2:$D$180,"="&amp;'Implied Productivity Ratios'!$C65)/SUMIFS('MoodysData(Raw)'!AD$2:AD$180,'MoodysData(Raw)'!$B$2:$B$180,"=EMP",'MoodysData(Raw)'!$D$2:$D$180,"="&amp;'Implied Productivity Ratios'!$C65)</f>
        <v>398.36632031171945</v>
      </c>
      <c r="AB65">
        <f>SUMIFS('MoodysData(Raw)'!AE$2:AE$180,'MoodysData(Raw)'!$B$2:$B$180,"=GDP",'MoodysData(Raw)'!$D$2:$D$180,"="&amp;'Implied Productivity Ratios'!$C65)/SUMIFS('MoodysData(Raw)'!AE$2:AE$180,'MoodysData(Raw)'!$B$2:$B$180,"=EMP",'MoodysData(Raw)'!$D$2:$D$180,"="&amp;'Implied Productivity Ratios'!$C65)</f>
        <v>395.32939264075668</v>
      </c>
      <c r="AC65">
        <f>SUMIFS('MoodysData(Raw)'!AF$2:AF$180,'MoodysData(Raw)'!$B$2:$B$180,"=GDP",'MoodysData(Raw)'!$D$2:$D$180,"="&amp;'Implied Productivity Ratios'!$C65)/SUMIFS('MoodysData(Raw)'!AF$2:AF$180,'MoodysData(Raw)'!$B$2:$B$180,"=EMP",'MoodysData(Raw)'!$D$2:$D$180,"="&amp;'Implied Productivity Ratios'!$C65)</f>
        <v>392.5553554040896</v>
      </c>
      <c r="AD65">
        <f>SUMIFS('MoodysData(Raw)'!AG$2:AG$180,'MoodysData(Raw)'!$B$2:$B$180,"=GDP",'MoodysData(Raw)'!$D$2:$D$180,"="&amp;'Implied Productivity Ratios'!$C65)/SUMIFS('MoodysData(Raw)'!AG$2:AG$180,'MoodysData(Raw)'!$B$2:$B$180,"=EMP",'MoodysData(Raw)'!$D$2:$D$180,"="&amp;'Implied Productivity Ratios'!$C65)</f>
        <v>390.45603045342841</v>
      </c>
      <c r="AE65">
        <f>SUMIFS('MoodysData(Raw)'!AH$2:AH$180,'MoodysData(Raw)'!$B$2:$B$180,"=GDP",'MoodysData(Raw)'!$D$2:$D$180,"="&amp;'Implied Productivity Ratios'!$C65)/SUMIFS('MoodysData(Raw)'!AH$2:AH$180,'MoodysData(Raw)'!$B$2:$B$180,"=EMP",'MoodysData(Raw)'!$D$2:$D$180,"="&amp;'Implied Productivity Ratios'!$C65)</f>
        <v>388.49344270113022</v>
      </c>
      <c r="AF65">
        <f>SUMIFS('MoodysData(Raw)'!AI$2:AI$180,'MoodysData(Raw)'!$B$2:$B$180,"=GDP",'MoodysData(Raw)'!$D$2:$D$180,"="&amp;'Implied Productivity Ratios'!$C65)/SUMIFS('MoodysData(Raw)'!AI$2:AI$180,'MoodysData(Raw)'!$B$2:$B$180,"=EMP",'MoodysData(Raw)'!$D$2:$D$180,"="&amp;'Implied Productivity Ratios'!$C65)</f>
        <v>386.74051349820655</v>
      </c>
      <c r="AG65">
        <f>SUMIFS('MoodysData(Raw)'!AJ$2:AJ$180,'MoodysData(Raw)'!$B$2:$B$180,"=GDP",'MoodysData(Raw)'!$D$2:$D$180,"="&amp;'Implied Productivity Ratios'!$C65)/SUMIFS('MoodysData(Raw)'!AJ$2:AJ$180,'MoodysData(Raw)'!$B$2:$B$180,"=EMP",'MoodysData(Raw)'!$D$2:$D$180,"="&amp;'Implied Productivity Ratios'!$C65)</f>
        <v>385.090102293428</v>
      </c>
      <c r="AH65">
        <f>SUMIFS('MoodysData(Raw)'!AK$2:AK$180,'MoodysData(Raw)'!$B$2:$B$180,"=GDP",'MoodysData(Raw)'!$D$2:$D$180,"="&amp;'Implied Productivity Ratios'!$C65)/SUMIFS('MoodysData(Raw)'!AK$2:AK$180,'MoodysData(Raw)'!$B$2:$B$180,"=EMP",'MoodysData(Raw)'!$D$2:$D$180,"="&amp;'Implied Productivity Ratios'!$C65)</f>
        <v>383.09001848428829</v>
      </c>
      <c r="AI65">
        <f>SUMIFS('MoodysData(Raw)'!AL$2:AL$180,'MoodysData(Raw)'!$B$2:$B$180,"=GDP",'MoodysData(Raw)'!$D$2:$D$180,"="&amp;'Implied Productivity Ratios'!$C65)/SUMIFS('MoodysData(Raw)'!AL$2:AL$180,'MoodysData(Raw)'!$B$2:$B$180,"=EMP",'MoodysData(Raw)'!$D$2:$D$180,"="&amp;'Implied Productivity Ratios'!$C65)</f>
        <v>380.7349028571428</v>
      </c>
      <c r="AJ65">
        <f>SUMIFS('MoodysData(Raw)'!AM$2:AM$180,'MoodysData(Raw)'!$B$2:$B$180,"=GDP",'MoodysData(Raw)'!$D$2:$D$180,"="&amp;'Implied Productivity Ratios'!$C65)/SUMIFS('MoodysData(Raw)'!AM$2:AM$180,'MoodysData(Raw)'!$B$2:$B$180,"=EMP",'MoodysData(Raw)'!$D$2:$D$180,"="&amp;'Implied Productivity Ratios'!$C65)</f>
        <v>378.98541402427975</v>
      </c>
      <c r="AK65">
        <f>SUMIFS('MoodysData(Raw)'!AN$2:AN$180,'MoodysData(Raw)'!$B$2:$B$180,"=GDP",'MoodysData(Raw)'!$D$2:$D$180,"="&amp;'Implied Productivity Ratios'!$C65)/SUMIFS('MoodysData(Raw)'!AN$2:AN$180,'MoodysData(Raw)'!$B$2:$B$180,"=EMP",'MoodysData(Raw)'!$D$2:$D$180,"="&amp;'Implied Productivity Ratios'!$C65)</f>
        <v>378.23769680611787</v>
      </c>
      <c r="AL65">
        <f>SUMIFS('MoodysData(Raw)'!AO$2:AO$180,'MoodysData(Raw)'!$B$2:$B$180,"=GDP",'MoodysData(Raw)'!$D$2:$D$180,"="&amp;'Implied Productivity Ratios'!$C65)/SUMIFS('MoodysData(Raw)'!AO$2:AO$180,'MoodysData(Raw)'!$B$2:$B$180,"=EMP",'MoodysData(Raw)'!$D$2:$D$180,"="&amp;'Implied Productivity Ratios'!$C65)</f>
        <v>377.64337101747174</v>
      </c>
      <c r="AM65">
        <f>SUMIFS('MoodysData(Raw)'!AP$2:AP$180,'MoodysData(Raw)'!$B$2:$B$180,"=GDP",'MoodysData(Raw)'!$D$2:$D$180,"="&amp;'Implied Productivity Ratios'!$C65)/SUMIFS('MoodysData(Raw)'!AP$2:AP$180,'MoodysData(Raw)'!$B$2:$B$180,"=EMP",'MoodysData(Raw)'!$D$2:$D$180,"="&amp;'Implied Productivity Ratios'!$C65)</f>
        <v>376.92774771578109</v>
      </c>
      <c r="AN65">
        <f>SUMIFS('MoodysData(Raw)'!AQ$2:AQ$180,'MoodysData(Raw)'!$B$2:$B$180,"=GDP",'MoodysData(Raw)'!$D$2:$D$180,"="&amp;'Implied Productivity Ratios'!$C65)/SUMIFS('MoodysData(Raw)'!AQ$2:AQ$180,'MoodysData(Raw)'!$B$2:$B$180,"=EMP",'MoodysData(Raw)'!$D$2:$D$180,"="&amp;'Implied Productivity Ratios'!$C65)</f>
        <v>376.36819623040338</v>
      </c>
      <c r="AO65">
        <f>SUMIFS('MoodysData(Raw)'!AR$2:AR$180,'MoodysData(Raw)'!$B$2:$B$180,"=GDP",'MoodysData(Raw)'!$D$2:$D$180,"="&amp;'Implied Productivity Ratios'!$C65)/SUMIFS('MoodysData(Raw)'!AR$2:AR$180,'MoodysData(Raw)'!$B$2:$B$180,"=EMP",'MoodysData(Raw)'!$D$2:$D$180,"="&amp;'Implied Productivity Ratios'!$C65)</f>
        <v>375.87891376596122</v>
      </c>
      <c r="AP65">
        <f>SUMIFS('MoodysData(Raw)'!AS$2:AS$180,'MoodysData(Raw)'!$B$2:$B$180,"=GDP",'MoodysData(Raw)'!$D$2:$D$180,"="&amp;'Implied Productivity Ratios'!$C65)/SUMIFS('MoodysData(Raw)'!AS$2:AS$180,'MoodysData(Raw)'!$B$2:$B$180,"=EMP",'MoodysData(Raw)'!$D$2:$D$180,"="&amp;'Implied Productivity Ratios'!$C65)</f>
        <v>375.67610773240665</v>
      </c>
      <c r="AQ65">
        <f>SUMIFS('MoodysData(Raw)'!AT$2:AT$180,'MoodysData(Raw)'!$B$2:$B$180,"=GDP",'MoodysData(Raw)'!$D$2:$D$180,"="&amp;'Implied Productivity Ratios'!$C65)/SUMIFS('MoodysData(Raw)'!AT$2:AT$180,'MoodysData(Raw)'!$B$2:$B$180,"=EMP",'MoodysData(Raw)'!$D$2:$D$180,"="&amp;'Implied Productivity Ratios'!$C65)</f>
        <v>375.88537122619101</v>
      </c>
      <c r="AR65">
        <f>SUMIFS('MoodysData(Raw)'!AU$2:AU$180,'MoodysData(Raw)'!$B$2:$B$180,"=GDP",'MoodysData(Raw)'!$D$2:$D$180,"="&amp;'Implied Productivity Ratios'!$C65)/SUMIFS('MoodysData(Raw)'!AU$2:AU$180,'MoodysData(Raw)'!$B$2:$B$180,"=EMP",'MoodysData(Raw)'!$D$2:$D$180,"="&amp;'Implied Productivity Ratios'!$C65)</f>
        <v>376.49671179883944</v>
      </c>
      <c r="AS65">
        <f>SUMIFS('MoodysData(Raw)'!AV$2:AV$180,'MoodysData(Raw)'!$B$2:$B$180,"=GDP",'MoodysData(Raw)'!$D$2:$D$180,"="&amp;'Implied Productivity Ratios'!$C65)/SUMIFS('MoodysData(Raw)'!AV$2:AV$180,'MoodysData(Raw)'!$B$2:$B$180,"=EMP",'MoodysData(Raw)'!$D$2:$D$180,"="&amp;'Implied Productivity Ratios'!$C65)</f>
        <v>377.34163564000517</v>
      </c>
      <c r="AT65">
        <f>SUMIFS('MoodysData(Raw)'!AW$2:AW$180,'MoodysData(Raw)'!$B$2:$B$180,"=GDP",'MoodysData(Raw)'!$D$2:$D$180,"="&amp;'Implied Productivity Ratios'!$C65)/SUMIFS('MoodysData(Raw)'!AW$2:AW$180,'MoodysData(Raw)'!$B$2:$B$180,"=EMP",'MoodysData(Raw)'!$D$2:$D$180,"="&amp;'Implied Productivity Ratios'!$C65)</f>
        <v>378.46118429466685</v>
      </c>
      <c r="AU65">
        <f>SUMIFS('MoodysData(Raw)'!AX$2:AX$180,'MoodysData(Raw)'!$B$2:$B$180,"=GDP",'MoodysData(Raw)'!$D$2:$D$180,"="&amp;'Implied Productivity Ratios'!$C65)/SUMIFS('MoodysData(Raw)'!AX$2:AX$180,'MoodysData(Raw)'!$B$2:$B$180,"=EMP",'MoodysData(Raw)'!$D$2:$D$180,"="&amp;'Implied Productivity Ratios'!$C65)</f>
        <v>380.04950705422408</v>
      </c>
      <c r="AV65">
        <f>SUMIFS('MoodysData(Raw)'!AY$2:AY$180,'MoodysData(Raw)'!$B$2:$B$180,"=GDP",'MoodysData(Raw)'!$D$2:$D$180,"="&amp;'Implied Productivity Ratios'!$C65)/SUMIFS('MoodysData(Raw)'!AY$2:AY$180,'MoodysData(Raw)'!$B$2:$B$180,"=EMP",'MoodysData(Raw)'!$D$2:$D$180,"="&amp;'Implied Productivity Ratios'!$C65)</f>
        <v>382.09852947408569</v>
      </c>
      <c r="AW65">
        <f>SUMIFS('MoodysData(Raw)'!AZ$2:AZ$180,'MoodysData(Raw)'!$B$2:$B$180,"=GDP",'MoodysData(Raw)'!$D$2:$D$180,"="&amp;'Implied Productivity Ratios'!$C65)/SUMIFS('MoodysData(Raw)'!AZ$2:AZ$180,'MoodysData(Raw)'!$B$2:$B$180,"=EMP",'MoodysData(Raw)'!$D$2:$D$180,"="&amp;'Implied Productivity Ratios'!$C65)</f>
        <v>384.33592561284871</v>
      </c>
      <c r="AX65">
        <f>SUMIFS('MoodysData(Raw)'!BA$2:BA$180,'MoodysData(Raw)'!$B$2:$B$180,"=GDP",'MoodysData(Raw)'!$D$2:$D$180,"="&amp;'Implied Productivity Ratios'!$C65)/SUMIFS('MoodysData(Raw)'!BA$2:BA$180,'MoodysData(Raw)'!$B$2:$B$180,"=EMP",'MoodysData(Raw)'!$D$2:$D$180,"="&amp;'Implied Productivity Ratios'!$C65)</f>
        <v>386.81101366166303</v>
      </c>
      <c r="AY65">
        <f>SUMIFS('MoodysData(Raw)'!BB$2:BB$180,'MoodysData(Raw)'!$B$2:$B$180,"=GDP",'MoodysData(Raw)'!$D$2:$D$180,"="&amp;'Implied Productivity Ratios'!$C65)/SUMIFS('MoodysData(Raw)'!BB$2:BB$180,'MoodysData(Raw)'!$B$2:$B$180,"=EMP",'MoodysData(Raw)'!$D$2:$D$180,"="&amp;'Implied Productivity Ratios'!$C65)</f>
        <v>389.50639515314708</v>
      </c>
      <c r="AZ65">
        <f>SUMIFS('MoodysData(Raw)'!BC$2:BC$180,'MoodysData(Raw)'!$B$2:$B$180,"=GDP",'MoodysData(Raw)'!$D$2:$D$180,"="&amp;'Implied Productivity Ratios'!$C65)/SUMIFS('MoodysData(Raw)'!BC$2:BC$180,'MoodysData(Raw)'!$B$2:$B$180,"=EMP",'MoodysData(Raw)'!$D$2:$D$180,"="&amp;'Implied Productivity Ratios'!$C65)</f>
        <v>392.56633488723702</v>
      </c>
      <c r="BA65">
        <f>SUMIFS('MoodysData(Raw)'!BD$2:BD$180,'MoodysData(Raw)'!$B$2:$B$180,"=GDP",'MoodysData(Raw)'!$D$2:$D$180,"="&amp;'Implied Productivity Ratios'!$C65)/SUMIFS('MoodysData(Raw)'!BD$2:BD$180,'MoodysData(Raw)'!$B$2:$B$180,"=EMP",'MoodysData(Raw)'!$D$2:$D$180,"="&amp;'Implied Productivity Ratios'!$C65)</f>
        <v>396.17864786604554</v>
      </c>
      <c r="BB65">
        <f>SUMIFS('MoodysData(Raw)'!BE$2:BE$180,'MoodysData(Raw)'!$B$2:$B$180,"=GDP",'MoodysData(Raw)'!$D$2:$D$180,"="&amp;'Implied Productivity Ratios'!$C65)/SUMIFS('MoodysData(Raw)'!BE$2:BE$180,'MoodysData(Raw)'!$B$2:$B$180,"=EMP",'MoodysData(Raw)'!$D$2:$D$180,"="&amp;'Implied Productivity Ratios'!$C65)</f>
        <v>400.27857292759711</v>
      </c>
      <c r="BC65">
        <f>SUMIFS('MoodysData(Raw)'!BF$2:BF$180,'MoodysData(Raw)'!$B$2:$B$180,"=GDP",'MoodysData(Raw)'!$D$2:$D$180,"="&amp;'Implied Productivity Ratios'!$C65)/SUMIFS('MoodysData(Raw)'!BF$2:BF$180,'MoodysData(Raw)'!$B$2:$B$180,"=EMP",'MoodysData(Raw)'!$D$2:$D$180,"="&amp;'Implied Productivity Ratios'!$C65)</f>
        <v>404.9241724079987</v>
      </c>
      <c r="BD65" s="5">
        <f t="shared" ref="BD65:BH65" si="59">BC65+($BC65-$AX65)/5</f>
        <v>408.54680415726585</v>
      </c>
      <c r="BE65" s="5">
        <f t="shared" si="59"/>
        <v>412.16943590653301</v>
      </c>
      <c r="BF65" s="5">
        <f t="shared" si="59"/>
        <v>415.79206765580017</v>
      </c>
      <c r="BG65" s="5">
        <f t="shared" si="59"/>
        <v>419.41469940506732</v>
      </c>
      <c r="BH65" s="5">
        <f t="shared" si="59"/>
        <v>423.03733115433448</v>
      </c>
    </row>
    <row r="66" spans="3:60">
      <c r="C66">
        <v>522</v>
      </c>
      <c r="D66" t="s">
        <v>374</v>
      </c>
      <c r="E66">
        <f>SUMIFS('MoodysData(Raw)'!H$2:H$180,'MoodysData(Raw)'!$B$2:$B$180,"=GDP",'MoodysData(Raw)'!$D$2:$D$180,"="&amp;'Implied Productivity Ratios'!$C66)/SUMIFS('MoodysData(Raw)'!H$2:H$180,'MoodysData(Raw)'!$B$2:$B$180,"=EMP",'MoodysData(Raw)'!$D$2:$D$180,"="&amp;'Implied Productivity Ratios'!$C66)</f>
        <v>197.85611137398354</v>
      </c>
      <c r="F66">
        <f>SUMIFS('MoodysData(Raw)'!I$2:I$180,'MoodysData(Raw)'!$B$2:$B$180,"=GDP",'MoodysData(Raw)'!$D$2:$D$180,"="&amp;'Implied Productivity Ratios'!$C66)/SUMIFS('MoodysData(Raw)'!I$2:I$180,'MoodysData(Raw)'!$B$2:$B$180,"=EMP",'MoodysData(Raw)'!$D$2:$D$180,"="&amp;'Implied Productivity Ratios'!$C66)</f>
        <v>190.69671118646761</v>
      </c>
      <c r="G66">
        <f>SUMIFS('MoodysData(Raw)'!J$2:J$180,'MoodysData(Raw)'!$B$2:$B$180,"=GDP",'MoodysData(Raw)'!$D$2:$D$180,"="&amp;'Implied Productivity Ratios'!$C66)/SUMIFS('MoodysData(Raw)'!J$2:J$180,'MoodysData(Raw)'!$B$2:$B$180,"=EMP",'MoodysData(Raw)'!$D$2:$D$180,"="&amp;'Implied Productivity Ratios'!$C66)</f>
        <v>179.23603192076359</v>
      </c>
      <c r="H66">
        <f>SUMIFS('MoodysData(Raw)'!K$2:K$180,'MoodysData(Raw)'!$B$2:$B$180,"=GDP",'MoodysData(Raw)'!$D$2:$D$180,"="&amp;'Implied Productivity Ratios'!$C66)/SUMIFS('MoodysData(Raw)'!K$2:K$180,'MoodysData(Raw)'!$B$2:$B$180,"=EMP",'MoodysData(Raw)'!$D$2:$D$180,"="&amp;'Implied Productivity Ratios'!$C66)</f>
        <v>201.40417480702689</v>
      </c>
      <c r="I66">
        <f>SUMIFS('MoodysData(Raw)'!L$2:L$180,'MoodysData(Raw)'!$B$2:$B$180,"=GDP",'MoodysData(Raw)'!$D$2:$D$180,"="&amp;'Implied Productivity Ratios'!$C66)/SUMIFS('MoodysData(Raw)'!L$2:L$180,'MoodysData(Raw)'!$B$2:$B$180,"=EMP",'MoodysData(Raw)'!$D$2:$D$180,"="&amp;'Implied Productivity Ratios'!$C66)</f>
        <v>258.9168005280776</v>
      </c>
      <c r="J66">
        <f>SUMIFS('MoodysData(Raw)'!M$2:M$180,'MoodysData(Raw)'!$B$2:$B$180,"=GDP",'MoodysData(Raw)'!$D$2:$D$180,"="&amp;'Implied Productivity Ratios'!$C66)/SUMIFS('MoodysData(Raw)'!M$2:M$180,'MoodysData(Raw)'!$B$2:$B$180,"=EMP",'MoodysData(Raw)'!$D$2:$D$180,"="&amp;'Implied Productivity Ratios'!$C66)</f>
        <v>242.43830648441713</v>
      </c>
      <c r="K66">
        <f>SUMIFS('MoodysData(Raw)'!N$2:N$180,'MoodysData(Raw)'!$B$2:$B$180,"=GDP",'MoodysData(Raw)'!$D$2:$D$180,"="&amp;'Implied Productivity Ratios'!$C66)/SUMIFS('MoodysData(Raw)'!N$2:N$180,'MoodysData(Raw)'!$B$2:$B$180,"=EMP",'MoodysData(Raw)'!$D$2:$D$180,"="&amp;'Implied Productivity Ratios'!$C66)</f>
        <v>267.58019821096298</v>
      </c>
      <c r="L66">
        <f>SUMIFS('MoodysData(Raw)'!O$2:O$180,'MoodysData(Raw)'!$B$2:$B$180,"=GDP",'MoodysData(Raw)'!$D$2:$D$180,"="&amp;'Implied Productivity Ratios'!$C66)/SUMIFS('MoodysData(Raw)'!O$2:O$180,'MoodysData(Raw)'!$B$2:$B$180,"=EMP",'MoodysData(Raw)'!$D$2:$D$180,"="&amp;'Implied Productivity Ratios'!$C66)</f>
        <v>285.54779585972511</v>
      </c>
      <c r="M66">
        <f>SUMIFS('MoodysData(Raw)'!P$2:P$180,'MoodysData(Raw)'!$B$2:$B$180,"=GDP",'MoodysData(Raw)'!$D$2:$D$180,"="&amp;'Implied Productivity Ratios'!$C66)/SUMIFS('MoodysData(Raw)'!P$2:P$180,'MoodysData(Raw)'!$B$2:$B$180,"=EMP",'MoodysData(Raw)'!$D$2:$D$180,"="&amp;'Implied Productivity Ratios'!$C66)</f>
        <v>261.5519394373315</v>
      </c>
      <c r="N66">
        <f>SUMIFS('MoodysData(Raw)'!Q$2:Q$180,'MoodysData(Raw)'!$B$2:$B$180,"=GDP",'MoodysData(Raw)'!$D$2:$D$180,"="&amp;'Implied Productivity Ratios'!$C66)/SUMIFS('MoodysData(Raw)'!Q$2:Q$180,'MoodysData(Raw)'!$B$2:$B$180,"=EMP",'MoodysData(Raw)'!$D$2:$D$180,"="&amp;'Implied Productivity Ratios'!$C66)</f>
        <v>274.31701964915879</v>
      </c>
      <c r="O66">
        <f>SUMIFS('MoodysData(Raw)'!R$2:R$180,'MoodysData(Raw)'!$B$2:$B$180,"=GDP",'MoodysData(Raw)'!$D$2:$D$180,"="&amp;'Implied Productivity Ratios'!$C66)/SUMIFS('MoodysData(Raw)'!R$2:R$180,'MoodysData(Raw)'!$B$2:$B$180,"=EMP",'MoodysData(Raw)'!$D$2:$D$180,"="&amp;'Implied Productivity Ratios'!$C66)</f>
        <v>269.9246809416905</v>
      </c>
      <c r="P66">
        <f>SUMIFS('MoodysData(Raw)'!S$2:S$180,'MoodysData(Raw)'!$B$2:$B$180,"=GDP",'MoodysData(Raw)'!$D$2:$D$180,"="&amp;'Implied Productivity Ratios'!$C66)/SUMIFS('MoodysData(Raw)'!S$2:S$180,'MoodysData(Raw)'!$B$2:$B$180,"=EMP",'MoodysData(Raw)'!$D$2:$D$180,"="&amp;'Implied Productivity Ratios'!$C66)</f>
        <v>254.18689506666098</v>
      </c>
      <c r="Q66">
        <f>SUMIFS('MoodysData(Raw)'!T$2:T$180,'MoodysData(Raw)'!$B$2:$B$180,"=GDP",'MoodysData(Raw)'!$D$2:$D$180,"="&amp;'Implied Productivity Ratios'!$C66)/SUMIFS('MoodysData(Raw)'!T$2:T$180,'MoodysData(Raw)'!$B$2:$B$180,"=EMP",'MoodysData(Raw)'!$D$2:$D$180,"="&amp;'Implied Productivity Ratios'!$C66)</f>
        <v>238.58459280905109</v>
      </c>
      <c r="R66">
        <f>SUMIFS('MoodysData(Raw)'!U$2:U$180,'MoodysData(Raw)'!$B$2:$B$180,"=GDP",'MoodysData(Raw)'!$D$2:$D$180,"="&amp;'Implied Productivity Ratios'!$C66)/SUMIFS('MoodysData(Raw)'!U$2:U$180,'MoodysData(Raw)'!$B$2:$B$180,"=EMP",'MoodysData(Raw)'!$D$2:$D$180,"="&amp;'Implied Productivity Ratios'!$C66)</f>
        <v>229.1188433698029</v>
      </c>
      <c r="S66">
        <f>SUMIFS('MoodysData(Raw)'!V$2:V$180,'MoodysData(Raw)'!$B$2:$B$180,"=GDP",'MoodysData(Raw)'!$D$2:$D$180,"="&amp;'Implied Productivity Ratios'!$C66)/SUMIFS('MoodysData(Raw)'!V$2:V$180,'MoodysData(Raw)'!$B$2:$B$180,"=EMP",'MoodysData(Raw)'!$D$2:$D$180,"="&amp;'Implied Productivity Ratios'!$C66)</f>
        <v>239.58308378893153</v>
      </c>
      <c r="T66">
        <f>SUMIFS('MoodysData(Raw)'!W$2:W$180,'MoodysData(Raw)'!$B$2:$B$180,"=GDP",'MoodysData(Raw)'!$D$2:$D$180,"="&amp;'Implied Productivity Ratios'!$C66)/SUMIFS('MoodysData(Raw)'!W$2:W$180,'MoodysData(Raw)'!$B$2:$B$180,"=EMP",'MoodysData(Raw)'!$D$2:$D$180,"="&amp;'Implied Productivity Ratios'!$C66)</f>
        <v>255.6950366881135</v>
      </c>
      <c r="U66">
        <f>SUMIFS('MoodysData(Raw)'!X$2:X$180,'MoodysData(Raw)'!$B$2:$B$180,"=GDP",'MoodysData(Raw)'!$D$2:$D$180,"="&amp;'Implied Productivity Ratios'!$C66)/SUMIFS('MoodysData(Raw)'!X$2:X$180,'MoodysData(Raw)'!$B$2:$B$180,"=EMP",'MoodysData(Raw)'!$D$2:$D$180,"="&amp;'Implied Productivity Ratios'!$C66)</f>
        <v>264.36532867290157</v>
      </c>
      <c r="V66">
        <f>SUMIFS('MoodysData(Raw)'!Y$2:Y$180,'MoodysData(Raw)'!$B$2:$B$180,"=GDP",'MoodysData(Raw)'!$D$2:$D$180,"="&amp;'Implied Productivity Ratios'!$C66)/SUMIFS('MoodysData(Raw)'!Y$2:Y$180,'MoodysData(Raw)'!$B$2:$B$180,"=EMP",'MoodysData(Raw)'!$D$2:$D$180,"="&amp;'Implied Productivity Ratios'!$C66)</f>
        <v>236.88766606263613</v>
      </c>
      <c r="W66">
        <f>SUMIFS('MoodysData(Raw)'!Z$2:Z$180,'MoodysData(Raw)'!$B$2:$B$180,"=GDP",'MoodysData(Raw)'!$D$2:$D$180,"="&amp;'Implied Productivity Ratios'!$C66)/SUMIFS('MoodysData(Raw)'!Z$2:Z$180,'MoodysData(Raw)'!$B$2:$B$180,"=EMP",'MoodysData(Raw)'!$D$2:$D$180,"="&amp;'Implied Productivity Ratios'!$C66)</f>
        <v>235.98670837204455</v>
      </c>
      <c r="X66">
        <f>SUMIFS('MoodysData(Raw)'!AA$2:AA$180,'MoodysData(Raw)'!$B$2:$B$180,"=GDP",'MoodysData(Raw)'!$D$2:$D$180,"="&amp;'Implied Productivity Ratios'!$C66)/SUMIFS('MoodysData(Raw)'!AA$2:AA$180,'MoodysData(Raw)'!$B$2:$B$180,"=EMP",'MoodysData(Raw)'!$D$2:$D$180,"="&amp;'Implied Productivity Ratios'!$C66)</f>
        <v>248.03252722628915</v>
      </c>
      <c r="Y66">
        <f>SUMIFS('MoodysData(Raw)'!AB$2:AB$180,'MoodysData(Raw)'!$B$2:$B$180,"=GDP",'MoodysData(Raw)'!$D$2:$D$180,"="&amp;'Implied Productivity Ratios'!$C66)/SUMIFS('MoodysData(Raw)'!AB$2:AB$180,'MoodysData(Raw)'!$B$2:$B$180,"=EMP",'MoodysData(Raw)'!$D$2:$D$180,"="&amp;'Implied Productivity Ratios'!$C66)</f>
        <v>250.17008248434968</v>
      </c>
      <c r="Z66">
        <f>SUMIFS('MoodysData(Raw)'!AC$2:AC$180,'MoodysData(Raw)'!$B$2:$B$180,"=GDP",'MoodysData(Raw)'!$D$2:$D$180,"="&amp;'Implied Productivity Ratios'!$C66)/SUMIFS('MoodysData(Raw)'!AC$2:AC$180,'MoodysData(Raw)'!$B$2:$B$180,"=EMP",'MoodysData(Raw)'!$D$2:$D$180,"="&amp;'Implied Productivity Ratios'!$C66)</f>
        <v>251.59035844192508</v>
      </c>
      <c r="AA66">
        <f>SUMIFS('MoodysData(Raw)'!AD$2:AD$180,'MoodysData(Raw)'!$B$2:$B$180,"=GDP",'MoodysData(Raw)'!$D$2:$D$180,"="&amp;'Implied Productivity Ratios'!$C66)/SUMIFS('MoodysData(Raw)'!AD$2:AD$180,'MoodysData(Raw)'!$B$2:$B$180,"=EMP",'MoodysData(Raw)'!$D$2:$D$180,"="&amp;'Implied Productivity Ratios'!$C66)</f>
        <v>253.64300860570378</v>
      </c>
      <c r="AB66">
        <f>SUMIFS('MoodysData(Raw)'!AE$2:AE$180,'MoodysData(Raw)'!$B$2:$B$180,"=GDP",'MoodysData(Raw)'!$D$2:$D$180,"="&amp;'Implied Productivity Ratios'!$C66)/SUMIFS('MoodysData(Raw)'!AE$2:AE$180,'MoodysData(Raw)'!$B$2:$B$180,"=EMP",'MoodysData(Raw)'!$D$2:$D$180,"="&amp;'Implied Productivity Ratios'!$C66)</f>
        <v>255.41843635041934</v>
      </c>
      <c r="AC66">
        <f>SUMIFS('MoodysData(Raw)'!AF$2:AF$180,'MoodysData(Raw)'!$B$2:$B$180,"=GDP",'MoodysData(Raw)'!$D$2:$D$180,"="&amp;'Implied Productivity Ratios'!$C66)/SUMIFS('MoodysData(Raw)'!AF$2:AF$180,'MoodysData(Raw)'!$B$2:$B$180,"=EMP",'MoodysData(Raw)'!$D$2:$D$180,"="&amp;'Implied Productivity Ratios'!$C66)</f>
        <v>257.2386258275705</v>
      </c>
      <c r="AD66">
        <f>SUMIFS('MoodysData(Raw)'!AG$2:AG$180,'MoodysData(Raw)'!$B$2:$B$180,"=GDP",'MoodysData(Raw)'!$D$2:$D$180,"="&amp;'Implied Productivity Ratios'!$C66)/SUMIFS('MoodysData(Raw)'!AG$2:AG$180,'MoodysData(Raw)'!$B$2:$B$180,"=EMP",'MoodysData(Raw)'!$D$2:$D$180,"="&amp;'Implied Productivity Ratios'!$C66)</f>
        <v>259.36593199810932</v>
      </c>
      <c r="AE66">
        <f>SUMIFS('MoodysData(Raw)'!AH$2:AH$180,'MoodysData(Raw)'!$B$2:$B$180,"=GDP",'MoodysData(Raw)'!$D$2:$D$180,"="&amp;'Implied Productivity Ratios'!$C66)/SUMIFS('MoodysData(Raw)'!AH$2:AH$180,'MoodysData(Raw)'!$B$2:$B$180,"=EMP",'MoodysData(Raw)'!$D$2:$D$180,"="&amp;'Implied Productivity Ratios'!$C66)</f>
        <v>261.43724136036695</v>
      </c>
      <c r="AF66">
        <f>SUMIFS('MoodysData(Raw)'!AI$2:AI$180,'MoodysData(Raw)'!$B$2:$B$180,"=GDP",'MoodysData(Raw)'!$D$2:$D$180,"="&amp;'Implied Productivity Ratios'!$C66)/SUMIFS('MoodysData(Raw)'!AI$2:AI$180,'MoodysData(Raw)'!$B$2:$B$180,"=EMP",'MoodysData(Raw)'!$D$2:$D$180,"="&amp;'Implied Productivity Ratios'!$C66)</f>
        <v>263.5279166945902</v>
      </c>
      <c r="AG66">
        <f>SUMIFS('MoodysData(Raw)'!AJ$2:AJ$180,'MoodysData(Raw)'!$B$2:$B$180,"=GDP",'MoodysData(Raw)'!$D$2:$D$180,"="&amp;'Implied Productivity Ratios'!$C66)/SUMIFS('MoodysData(Raw)'!AJ$2:AJ$180,'MoodysData(Raw)'!$B$2:$B$180,"=EMP",'MoodysData(Raw)'!$D$2:$D$180,"="&amp;'Implied Productivity Ratios'!$C66)</f>
        <v>265.5630116807468</v>
      </c>
      <c r="AH66">
        <f>SUMIFS('MoodysData(Raw)'!AK$2:AK$180,'MoodysData(Raw)'!$B$2:$B$180,"=GDP",'MoodysData(Raw)'!$D$2:$D$180,"="&amp;'Implied Productivity Ratios'!$C66)/SUMIFS('MoodysData(Raw)'!AK$2:AK$180,'MoodysData(Raw)'!$B$2:$B$180,"=EMP",'MoodysData(Raw)'!$D$2:$D$180,"="&amp;'Implied Productivity Ratios'!$C66)</f>
        <v>267.20596776555669</v>
      </c>
      <c r="AI66">
        <f>SUMIFS('MoodysData(Raw)'!AL$2:AL$180,'MoodysData(Raw)'!$B$2:$B$180,"=GDP",'MoodysData(Raw)'!$D$2:$D$180,"="&amp;'Implied Productivity Ratios'!$C66)/SUMIFS('MoodysData(Raw)'!AL$2:AL$180,'MoodysData(Raw)'!$B$2:$B$180,"=EMP",'MoodysData(Raw)'!$D$2:$D$180,"="&amp;'Implied Productivity Ratios'!$C66)</f>
        <v>268.47068116364539</v>
      </c>
      <c r="AJ66">
        <f>SUMIFS('MoodysData(Raw)'!AM$2:AM$180,'MoodysData(Raw)'!$B$2:$B$180,"=GDP",'MoodysData(Raw)'!$D$2:$D$180,"="&amp;'Implied Productivity Ratios'!$C66)/SUMIFS('MoodysData(Raw)'!AM$2:AM$180,'MoodysData(Raw)'!$B$2:$B$180,"=EMP",'MoodysData(Raw)'!$D$2:$D$180,"="&amp;'Implied Productivity Ratios'!$C66)</f>
        <v>270.03194692256869</v>
      </c>
      <c r="AK66">
        <f>SUMIFS('MoodysData(Raw)'!AN$2:AN$180,'MoodysData(Raw)'!$B$2:$B$180,"=GDP",'MoodysData(Raw)'!$D$2:$D$180,"="&amp;'Implied Productivity Ratios'!$C66)/SUMIFS('MoodysData(Raw)'!AN$2:AN$180,'MoodysData(Raw)'!$B$2:$B$180,"=EMP",'MoodysData(Raw)'!$D$2:$D$180,"="&amp;'Implied Productivity Ratios'!$C66)</f>
        <v>272.20245624303453</v>
      </c>
      <c r="AL66">
        <f>SUMIFS('MoodysData(Raw)'!AO$2:AO$180,'MoodysData(Raw)'!$B$2:$B$180,"=GDP",'MoodysData(Raw)'!$D$2:$D$180,"="&amp;'Implied Productivity Ratios'!$C66)/SUMIFS('MoodysData(Raw)'!AO$2:AO$180,'MoodysData(Raw)'!$B$2:$B$180,"=EMP",'MoodysData(Raw)'!$D$2:$D$180,"="&amp;'Implied Productivity Ratios'!$C66)</f>
        <v>274.35559913029476</v>
      </c>
      <c r="AM66">
        <f>SUMIFS('MoodysData(Raw)'!AP$2:AP$180,'MoodysData(Raw)'!$B$2:$B$180,"=GDP",'MoodysData(Raw)'!$D$2:$D$180,"="&amp;'Implied Productivity Ratios'!$C66)/SUMIFS('MoodysData(Raw)'!AP$2:AP$180,'MoodysData(Raw)'!$B$2:$B$180,"=EMP",'MoodysData(Raw)'!$D$2:$D$180,"="&amp;'Implied Productivity Ratios'!$C66)</f>
        <v>276.28635761407554</v>
      </c>
      <c r="AN66">
        <f>SUMIFS('MoodysData(Raw)'!AQ$2:AQ$180,'MoodysData(Raw)'!$B$2:$B$180,"=GDP",'MoodysData(Raw)'!$D$2:$D$180,"="&amp;'Implied Productivity Ratios'!$C66)/SUMIFS('MoodysData(Raw)'!AQ$2:AQ$180,'MoodysData(Raw)'!$B$2:$B$180,"=EMP",'MoodysData(Raw)'!$D$2:$D$180,"="&amp;'Implied Productivity Ratios'!$C66)</f>
        <v>278.1847945721733</v>
      </c>
      <c r="AO66">
        <f>SUMIFS('MoodysData(Raw)'!AR$2:AR$180,'MoodysData(Raw)'!$B$2:$B$180,"=GDP",'MoodysData(Raw)'!$D$2:$D$180,"="&amp;'Implied Productivity Ratios'!$C66)/SUMIFS('MoodysData(Raw)'!AR$2:AR$180,'MoodysData(Raw)'!$B$2:$B$180,"=EMP",'MoodysData(Raw)'!$D$2:$D$180,"="&amp;'Implied Productivity Ratios'!$C66)</f>
        <v>280.00017155218632</v>
      </c>
      <c r="AP66">
        <f>SUMIFS('MoodysData(Raw)'!AS$2:AS$180,'MoodysData(Raw)'!$B$2:$B$180,"=GDP",'MoodysData(Raw)'!$D$2:$D$180,"="&amp;'Implied Productivity Ratios'!$C66)/SUMIFS('MoodysData(Raw)'!AS$2:AS$180,'MoodysData(Raw)'!$B$2:$B$180,"=EMP",'MoodysData(Raw)'!$D$2:$D$180,"="&amp;'Implied Productivity Ratios'!$C66)</f>
        <v>281.88380049701891</v>
      </c>
      <c r="AQ66">
        <f>SUMIFS('MoodysData(Raw)'!AT$2:AT$180,'MoodysData(Raw)'!$B$2:$B$180,"=GDP",'MoodysData(Raw)'!$D$2:$D$180,"="&amp;'Implied Productivity Ratios'!$C66)/SUMIFS('MoodysData(Raw)'!AT$2:AT$180,'MoodysData(Raw)'!$B$2:$B$180,"=EMP",'MoodysData(Raw)'!$D$2:$D$180,"="&amp;'Implied Productivity Ratios'!$C66)</f>
        <v>283.95804043278821</v>
      </c>
      <c r="AR66">
        <f>SUMIFS('MoodysData(Raw)'!AU$2:AU$180,'MoodysData(Raw)'!$B$2:$B$180,"=GDP",'MoodysData(Raw)'!$D$2:$D$180,"="&amp;'Implied Productivity Ratios'!$C66)/SUMIFS('MoodysData(Raw)'!AU$2:AU$180,'MoodysData(Raw)'!$B$2:$B$180,"=EMP",'MoodysData(Raw)'!$D$2:$D$180,"="&amp;'Implied Productivity Ratios'!$C66)</f>
        <v>286.21303536534839</v>
      </c>
      <c r="AS66">
        <f>SUMIFS('MoodysData(Raw)'!AV$2:AV$180,'MoodysData(Raw)'!$B$2:$B$180,"=GDP",'MoodysData(Raw)'!$D$2:$D$180,"="&amp;'Implied Productivity Ratios'!$C66)/SUMIFS('MoodysData(Raw)'!AV$2:AV$180,'MoodysData(Raw)'!$B$2:$B$180,"=EMP",'MoodysData(Raw)'!$D$2:$D$180,"="&amp;'Implied Productivity Ratios'!$C66)</f>
        <v>288.52419112348002</v>
      </c>
      <c r="AT66">
        <f>SUMIFS('MoodysData(Raw)'!AW$2:AW$180,'MoodysData(Raw)'!$B$2:$B$180,"=GDP",'MoodysData(Raw)'!$D$2:$D$180,"="&amp;'Implied Productivity Ratios'!$C66)/SUMIFS('MoodysData(Raw)'!AW$2:AW$180,'MoodysData(Raw)'!$B$2:$B$180,"=EMP",'MoodysData(Raw)'!$D$2:$D$180,"="&amp;'Implied Productivity Ratios'!$C66)</f>
        <v>290.89928653451557</v>
      </c>
      <c r="AU66">
        <f>SUMIFS('MoodysData(Raw)'!AX$2:AX$180,'MoodysData(Raw)'!$B$2:$B$180,"=GDP",'MoodysData(Raw)'!$D$2:$D$180,"="&amp;'Implied Productivity Ratios'!$C66)/SUMIFS('MoodysData(Raw)'!AX$2:AX$180,'MoodysData(Raw)'!$B$2:$B$180,"=EMP",'MoodysData(Raw)'!$D$2:$D$180,"="&amp;'Implied Productivity Ratios'!$C66)</f>
        <v>293.51871465495861</v>
      </c>
      <c r="AV66">
        <f>SUMIFS('MoodysData(Raw)'!AY$2:AY$180,'MoodysData(Raw)'!$B$2:$B$180,"=GDP",'MoodysData(Raw)'!$D$2:$D$180,"="&amp;'Implied Productivity Ratios'!$C66)/SUMIFS('MoodysData(Raw)'!AY$2:AY$180,'MoodysData(Raw)'!$B$2:$B$180,"=EMP",'MoodysData(Raw)'!$D$2:$D$180,"="&amp;'Implied Productivity Ratios'!$C66)</f>
        <v>296.35613147223734</v>
      </c>
      <c r="AW66">
        <f>SUMIFS('MoodysData(Raw)'!AZ$2:AZ$180,'MoodysData(Raw)'!$B$2:$B$180,"=GDP",'MoodysData(Raw)'!$D$2:$D$180,"="&amp;'Implied Productivity Ratios'!$C66)/SUMIFS('MoodysData(Raw)'!AZ$2:AZ$180,'MoodysData(Raw)'!$B$2:$B$180,"=EMP",'MoodysData(Raw)'!$D$2:$D$180,"="&amp;'Implied Productivity Ratios'!$C66)</f>
        <v>299.20483906027789</v>
      </c>
      <c r="AX66">
        <f>SUMIFS('MoodysData(Raw)'!BA$2:BA$180,'MoodysData(Raw)'!$B$2:$B$180,"=GDP",'MoodysData(Raw)'!$D$2:$D$180,"="&amp;'Implied Productivity Ratios'!$C66)/SUMIFS('MoodysData(Raw)'!BA$2:BA$180,'MoodysData(Raw)'!$B$2:$B$180,"=EMP",'MoodysData(Raw)'!$D$2:$D$180,"="&amp;'Implied Productivity Ratios'!$C66)</f>
        <v>302.09465650612395</v>
      </c>
      <c r="AY66">
        <f>SUMIFS('MoodysData(Raw)'!BB$2:BB$180,'MoodysData(Raw)'!$B$2:$B$180,"=GDP",'MoodysData(Raw)'!$D$2:$D$180,"="&amp;'Implied Productivity Ratios'!$C66)/SUMIFS('MoodysData(Raw)'!BB$2:BB$180,'MoodysData(Raw)'!$B$2:$B$180,"=EMP",'MoodysData(Raw)'!$D$2:$D$180,"="&amp;'Implied Productivity Ratios'!$C66)</f>
        <v>305.01237227918796</v>
      </c>
      <c r="AZ66">
        <f>SUMIFS('MoodysData(Raw)'!BC$2:BC$180,'MoodysData(Raw)'!$B$2:$B$180,"=GDP",'MoodysData(Raw)'!$D$2:$D$180,"="&amp;'Implied Productivity Ratios'!$C66)/SUMIFS('MoodysData(Raw)'!BC$2:BC$180,'MoodysData(Raw)'!$B$2:$B$180,"=EMP",'MoodysData(Raw)'!$D$2:$D$180,"="&amp;'Implied Productivity Ratios'!$C66)</f>
        <v>308.07702392792856</v>
      </c>
      <c r="BA66">
        <f>SUMIFS('MoodysData(Raw)'!BD$2:BD$180,'MoodysData(Raw)'!$B$2:$B$180,"=GDP",'MoodysData(Raw)'!$D$2:$D$180,"="&amp;'Implied Productivity Ratios'!$C66)/SUMIFS('MoodysData(Raw)'!BD$2:BD$180,'MoodysData(Raw)'!$B$2:$B$180,"=EMP",'MoodysData(Raw)'!$D$2:$D$180,"="&amp;'Implied Productivity Ratios'!$C66)</f>
        <v>311.43211836347984</v>
      </c>
      <c r="BB66">
        <f>SUMIFS('MoodysData(Raw)'!BE$2:BE$180,'MoodysData(Raw)'!$B$2:$B$180,"=GDP",'MoodysData(Raw)'!$D$2:$D$180,"="&amp;'Implied Productivity Ratios'!$C66)/SUMIFS('MoodysData(Raw)'!BE$2:BE$180,'MoodysData(Raw)'!$B$2:$B$180,"=EMP",'MoodysData(Raw)'!$D$2:$D$180,"="&amp;'Implied Productivity Ratios'!$C66)</f>
        <v>315.03370699191134</v>
      </c>
      <c r="BC66">
        <f>SUMIFS('MoodysData(Raw)'!BF$2:BF$180,'MoodysData(Raw)'!$B$2:$B$180,"=GDP",'MoodysData(Raw)'!$D$2:$D$180,"="&amp;'Implied Productivity Ratios'!$C66)/SUMIFS('MoodysData(Raw)'!BF$2:BF$180,'MoodysData(Raw)'!$B$2:$B$180,"=EMP",'MoodysData(Raw)'!$D$2:$D$180,"="&amp;'Implied Productivity Ratios'!$C66)</f>
        <v>318.90801142749939</v>
      </c>
      <c r="BD66" s="5">
        <f t="shared" ref="BD66:BH66" si="60">BC66+($BC66-$AX66)/5</f>
        <v>322.27068241177449</v>
      </c>
      <c r="BE66" s="5">
        <f t="shared" si="60"/>
        <v>325.63335339604959</v>
      </c>
      <c r="BF66" s="5">
        <f t="shared" si="60"/>
        <v>328.99602438032468</v>
      </c>
      <c r="BG66" s="5">
        <f t="shared" si="60"/>
        <v>332.35869536459978</v>
      </c>
      <c r="BH66" s="5">
        <f t="shared" si="60"/>
        <v>335.72136634887488</v>
      </c>
    </row>
    <row r="67" spans="3:60">
      <c r="C67">
        <v>523</v>
      </c>
      <c r="D67" t="s">
        <v>378</v>
      </c>
      <c r="E67">
        <f>SUMIFS('MoodysData(Raw)'!H$2:H$180,'MoodysData(Raw)'!$B$2:$B$180,"=GDP",'MoodysData(Raw)'!$D$2:$D$180,"="&amp;'Implied Productivity Ratios'!$C67)/SUMIFS('MoodysData(Raw)'!H$2:H$180,'MoodysData(Raw)'!$B$2:$B$180,"=EMP",'MoodysData(Raw)'!$D$2:$D$180,"="&amp;'Implied Productivity Ratios'!$C67)</f>
        <v>399.45133233187386</v>
      </c>
      <c r="F67">
        <f>SUMIFS('MoodysData(Raw)'!I$2:I$180,'MoodysData(Raw)'!$B$2:$B$180,"=GDP",'MoodysData(Raw)'!$D$2:$D$180,"="&amp;'Implied Productivity Ratios'!$C67)/SUMIFS('MoodysData(Raw)'!I$2:I$180,'MoodysData(Raw)'!$B$2:$B$180,"=EMP",'MoodysData(Raw)'!$D$2:$D$180,"="&amp;'Implied Productivity Ratios'!$C67)</f>
        <v>435.06631983502058</v>
      </c>
      <c r="G67">
        <f>SUMIFS('MoodysData(Raw)'!J$2:J$180,'MoodysData(Raw)'!$B$2:$B$180,"=GDP",'MoodysData(Raw)'!$D$2:$D$180,"="&amp;'Implied Productivity Ratios'!$C67)/SUMIFS('MoodysData(Raw)'!J$2:J$180,'MoodysData(Raw)'!$B$2:$B$180,"=EMP",'MoodysData(Raw)'!$D$2:$D$180,"="&amp;'Implied Productivity Ratios'!$C67)</f>
        <v>348.32645719745938</v>
      </c>
      <c r="H67">
        <f>SUMIFS('MoodysData(Raw)'!K$2:K$180,'MoodysData(Raw)'!$B$2:$B$180,"=GDP",'MoodysData(Raw)'!$D$2:$D$180,"="&amp;'Implied Productivity Ratios'!$C67)/SUMIFS('MoodysData(Raw)'!K$2:K$180,'MoodysData(Raw)'!$B$2:$B$180,"=EMP",'MoodysData(Raw)'!$D$2:$D$180,"="&amp;'Implied Productivity Ratios'!$C67)</f>
        <v>171.2205934488041</v>
      </c>
      <c r="I67">
        <f>SUMIFS('MoodysData(Raw)'!L$2:L$180,'MoodysData(Raw)'!$B$2:$B$180,"=GDP",'MoodysData(Raw)'!$D$2:$D$180,"="&amp;'Implied Productivity Ratios'!$C67)/SUMIFS('MoodysData(Raw)'!L$2:L$180,'MoodysData(Raw)'!$B$2:$B$180,"=EMP",'MoodysData(Raw)'!$D$2:$D$180,"="&amp;'Implied Productivity Ratios'!$C67)</f>
        <v>423.52164746354208</v>
      </c>
      <c r="J67">
        <f>SUMIFS('MoodysData(Raw)'!M$2:M$180,'MoodysData(Raw)'!$B$2:$B$180,"=GDP",'MoodysData(Raw)'!$D$2:$D$180,"="&amp;'Implied Productivity Ratios'!$C67)/SUMIFS('MoodysData(Raw)'!M$2:M$180,'MoodysData(Raw)'!$B$2:$B$180,"=EMP",'MoodysData(Raw)'!$D$2:$D$180,"="&amp;'Implied Productivity Ratios'!$C67)</f>
        <v>394.77846134725326</v>
      </c>
      <c r="K67">
        <f>SUMIFS('MoodysData(Raw)'!N$2:N$180,'MoodysData(Raw)'!$B$2:$B$180,"=GDP",'MoodysData(Raw)'!$D$2:$D$180,"="&amp;'Implied Productivity Ratios'!$C67)/SUMIFS('MoodysData(Raw)'!N$2:N$180,'MoodysData(Raw)'!$B$2:$B$180,"=EMP",'MoodysData(Raw)'!$D$2:$D$180,"="&amp;'Implied Productivity Ratios'!$C67)</f>
        <v>308.90498099904283</v>
      </c>
      <c r="L67">
        <f>SUMIFS('MoodysData(Raw)'!O$2:O$180,'MoodysData(Raw)'!$B$2:$B$180,"=GDP",'MoodysData(Raw)'!$D$2:$D$180,"="&amp;'Implied Productivity Ratios'!$C67)/SUMIFS('MoodysData(Raw)'!O$2:O$180,'MoodysData(Raw)'!$B$2:$B$180,"=EMP",'MoodysData(Raw)'!$D$2:$D$180,"="&amp;'Implied Productivity Ratios'!$C67)</f>
        <v>390.36628027018259</v>
      </c>
      <c r="M67">
        <f>SUMIFS('MoodysData(Raw)'!P$2:P$180,'MoodysData(Raw)'!$B$2:$B$180,"=GDP",'MoodysData(Raw)'!$D$2:$D$180,"="&amp;'Implied Productivity Ratios'!$C67)/SUMIFS('MoodysData(Raw)'!P$2:P$180,'MoodysData(Raw)'!$B$2:$B$180,"=EMP",'MoodysData(Raw)'!$D$2:$D$180,"="&amp;'Implied Productivity Ratios'!$C67)</f>
        <v>368.27216505659868</v>
      </c>
      <c r="N67">
        <f>SUMIFS('MoodysData(Raw)'!Q$2:Q$180,'MoodysData(Raw)'!$B$2:$B$180,"=GDP",'MoodysData(Raw)'!$D$2:$D$180,"="&amp;'Implied Productivity Ratios'!$C67)/SUMIFS('MoodysData(Raw)'!Q$2:Q$180,'MoodysData(Raw)'!$B$2:$B$180,"=EMP",'MoodysData(Raw)'!$D$2:$D$180,"="&amp;'Implied Productivity Ratios'!$C67)</f>
        <v>291.21090157067448</v>
      </c>
      <c r="O67">
        <f>SUMIFS('MoodysData(Raw)'!R$2:R$180,'MoodysData(Raw)'!$B$2:$B$180,"=GDP",'MoodysData(Raw)'!$D$2:$D$180,"="&amp;'Implied Productivity Ratios'!$C67)/SUMIFS('MoodysData(Raw)'!R$2:R$180,'MoodysData(Raw)'!$B$2:$B$180,"=EMP",'MoodysData(Raw)'!$D$2:$D$180,"="&amp;'Implied Productivity Ratios'!$C67)</f>
        <v>279.89423660170661</v>
      </c>
      <c r="P67">
        <f>SUMIFS('MoodysData(Raw)'!S$2:S$180,'MoodysData(Raw)'!$B$2:$B$180,"=GDP",'MoodysData(Raw)'!$D$2:$D$180,"="&amp;'Implied Productivity Ratios'!$C67)/SUMIFS('MoodysData(Raw)'!S$2:S$180,'MoodysData(Raw)'!$B$2:$B$180,"=EMP",'MoodysData(Raw)'!$D$2:$D$180,"="&amp;'Implied Productivity Ratios'!$C67)</f>
        <v>307.31302298621631</v>
      </c>
      <c r="Q67">
        <f>SUMIFS('MoodysData(Raw)'!T$2:T$180,'MoodysData(Raw)'!$B$2:$B$180,"=GDP",'MoodysData(Raw)'!$D$2:$D$180,"="&amp;'Implied Productivity Ratios'!$C67)/SUMIFS('MoodysData(Raw)'!T$2:T$180,'MoodysData(Raw)'!$B$2:$B$180,"=EMP",'MoodysData(Raw)'!$D$2:$D$180,"="&amp;'Implied Productivity Ratios'!$C67)</f>
        <v>313.4915683919221</v>
      </c>
      <c r="R67">
        <f>SUMIFS('MoodysData(Raw)'!U$2:U$180,'MoodysData(Raw)'!$B$2:$B$180,"=GDP",'MoodysData(Raw)'!$D$2:$D$180,"="&amp;'Implied Productivity Ratios'!$C67)/SUMIFS('MoodysData(Raw)'!U$2:U$180,'MoodysData(Raw)'!$B$2:$B$180,"=EMP",'MoodysData(Raw)'!$D$2:$D$180,"="&amp;'Implied Productivity Ratios'!$C67)</f>
        <v>297.54691826033246</v>
      </c>
      <c r="S67">
        <f>SUMIFS('MoodysData(Raw)'!V$2:V$180,'MoodysData(Raw)'!$B$2:$B$180,"=GDP",'MoodysData(Raw)'!$D$2:$D$180,"="&amp;'Implied Productivity Ratios'!$C67)/SUMIFS('MoodysData(Raw)'!V$2:V$180,'MoodysData(Raw)'!$B$2:$B$180,"=EMP",'MoodysData(Raw)'!$D$2:$D$180,"="&amp;'Implied Productivity Ratios'!$C67)</f>
        <v>277.1330098906281</v>
      </c>
      <c r="T67">
        <f>SUMIFS('MoodysData(Raw)'!W$2:W$180,'MoodysData(Raw)'!$B$2:$B$180,"=GDP",'MoodysData(Raw)'!$D$2:$D$180,"="&amp;'Implied Productivity Ratios'!$C67)/SUMIFS('MoodysData(Raw)'!W$2:W$180,'MoodysData(Raw)'!$B$2:$B$180,"=EMP",'MoodysData(Raw)'!$D$2:$D$180,"="&amp;'Implied Productivity Ratios'!$C67)</f>
        <v>285.09522432633048</v>
      </c>
      <c r="U67">
        <f>SUMIFS('MoodysData(Raw)'!X$2:X$180,'MoodysData(Raw)'!$B$2:$B$180,"=GDP",'MoodysData(Raw)'!$D$2:$D$180,"="&amp;'Implied Productivity Ratios'!$C67)/SUMIFS('MoodysData(Raw)'!X$2:X$180,'MoodysData(Raw)'!$B$2:$B$180,"=EMP",'MoodysData(Raw)'!$D$2:$D$180,"="&amp;'Implied Productivity Ratios'!$C67)</f>
        <v>280.23044186269277</v>
      </c>
      <c r="V67">
        <f>SUMIFS('MoodysData(Raw)'!Y$2:Y$180,'MoodysData(Raw)'!$B$2:$B$180,"=GDP",'MoodysData(Raw)'!$D$2:$D$180,"="&amp;'Implied Productivity Ratios'!$C67)/SUMIFS('MoodysData(Raw)'!Y$2:Y$180,'MoodysData(Raw)'!$B$2:$B$180,"=EMP",'MoodysData(Raw)'!$D$2:$D$180,"="&amp;'Implied Productivity Ratios'!$C67)</f>
        <v>294.28873679877131</v>
      </c>
      <c r="W67">
        <f>SUMIFS('MoodysData(Raw)'!Z$2:Z$180,'MoodysData(Raw)'!$B$2:$B$180,"=GDP",'MoodysData(Raw)'!$D$2:$D$180,"="&amp;'Implied Productivity Ratios'!$C67)/SUMIFS('MoodysData(Raw)'!Z$2:Z$180,'MoodysData(Raw)'!$B$2:$B$180,"=EMP",'MoodysData(Raw)'!$D$2:$D$180,"="&amp;'Implied Productivity Ratios'!$C67)</f>
        <v>297.51673053823714</v>
      </c>
      <c r="X67">
        <f>SUMIFS('MoodysData(Raw)'!AA$2:AA$180,'MoodysData(Raw)'!$B$2:$B$180,"=GDP",'MoodysData(Raw)'!$D$2:$D$180,"="&amp;'Implied Productivity Ratios'!$C67)/SUMIFS('MoodysData(Raw)'!AA$2:AA$180,'MoodysData(Raw)'!$B$2:$B$180,"=EMP",'MoodysData(Raw)'!$D$2:$D$180,"="&amp;'Implied Productivity Ratios'!$C67)</f>
        <v>300.3206806767983</v>
      </c>
      <c r="Y67">
        <f>SUMIFS('MoodysData(Raw)'!AB$2:AB$180,'MoodysData(Raw)'!$B$2:$B$180,"=GDP",'MoodysData(Raw)'!$D$2:$D$180,"="&amp;'Implied Productivity Ratios'!$C67)/SUMIFS('MoodysData(Raw)'!AB$2:AB$180,'MoodysData(Raw)'!$B$2:$B$180,"=EMP",'MoodysData(Raw)'!$D$2:$D$180,"="&amp;'Implied Productivity Ratios'!$C67)</f>
        <v>297.4148691105367</v>
      </c>
      <c r="Z67">
        <f>SUMIFS('MoodysData(Raw)'!AC$2:AC$180,'MoodysData(Raw)'!$B$2:$B$180,"=GDP",'MoodysData(Raw)'!$D$2:$D$180,"="&amp;'Implied Productivity Ratios'!$C67)/SUMIFS('MoodysData(Raw)'!AC$2:AC$180,'MoodysData(Raw)'!$B$2:$B$180,"=EMP",'MoodysData(Raw)'!$D$2:$D$180,"="&amp;'Implied Productivity Ratios'!$C67)</f>
        <v>296.11940229673013</v>
      </c>
      <c r="AA67">
        <f>SUMIFS('MoodysData(Raw)'!AD$2:AD$180,'MoodysData(Raw)'!$B$2:$B$180,"=GDP",'MoodysData(Raw)'!$D$2:$D$180,"="&amp;'Implied Productivity Ratios'!$C67)/SUMIFS('MoodysData(Raw)'!AD$2:AD$180,'MoodysData(Raw)'!$B$2:$B$180,"=EMP",'MoodysData(Raw)'!$D$2:$D$180,"="&amp;'Implied Productivity Ratios'!$C67)</f>
        <v>295.67144224966074</v>
      </c>
      <c r="AB67">
        <f>SUMIFS('MoodysData(Raw)'!AE$2:AE$180,'MoodysData(Raw)'!$B$2:$B$180,"=GDP",'MoodysData(Raw)'!$D$2:$D$180,"="&amp;'Implied Productivity Ratios'!$C67)/SUMIFS('MoodysData(Raw)'!AE$2:AE$180,'MoodysData(Raw)'!$B$2:$B$180,"=EMP",'MoodysData(Raw)'!$D$2:$D$180,"="&amp;'Implied Productivity Ratios'!$C67)</f>
        <v>294.97236463998411</v>
      </c>
      <c r="AC67">
        <f>SUMIFS('MoodysData(Raw)'!AF$2:AF$180,'MoodysData(Raw)'!$B$2:$B$180,"=GDP",'MoodysData(Raw)'!$D$2:$D$180,"="&amp;'Implied Productivity Ratios'!$C67)/SUMIFS('MoodysData(Raw)'!AF$2:AF$180,'MoodysData(Raw)'!$B$2:$B$180,"=EMP",'MoodysData(Raw)'!$D$2:$D$180,"="&amp;'Implied Productivity Ratios'!$C67)</f>
        <v>294.39055191519776</v>
      </c>
      <c r="AD67">
        <f>SUMIFS('MoodysData(Raw)'!AG$2:AG$180,'MoodysData(Raw)'!$B$2:$B$180,"=GDP",'MoodysData(Raw)'!$D$2:$D$180,"="&amp;'Implied Productivity Ratios'!$C67)/SUMIFS('MoodysData(Raw)'!AG$2:AG$180,'MoodysData(Raw)'!$B$2:$B$180,"=EMP",'MoodysData(Raw)'!$D$2:$D$180,"="&amp;'Implied Productivity Ratios'!$C67)</f>
        <v>294.21151336547831</v>
      </c>
      <c r="AE67">
        <f>SUMIFS('MoodysData(Raw)'!AH$2:AH$180,'MoodysData(Raw)'!$B$2:$B$180,"=GDP",'MoodysData(Raw)'!$D$2:$D$180,"="&amp;'Implied Productivity Ratios'!$C67)/SUMIFS('MoodysData(Raw)'!AH$2:AH$180,'MoodysData(Raw)'!$B$2:$B$180,"=EMP",'MoodysData(Raw)'!$D$2:$D$180,"="&amp;'Implied Productivity Ratios'!$C67)</f>
        <v>294.04537386115089</v>
      </c>
      <c r="AF67">
        <f>SUMIFS('MoodysData(Raw)'!AI$2:AI$180,'MoodysData(Raw)'!$B$2:$B$180,"=GDP",'MoodysData(Raw)'!$D$2:$D$180,"="&amp;'Implied Productivity Ratios'!$C67)/SUMIFS('MoodysData(Raw)'!AI$2:AI$180,'MoodysData(Raw)'!$B$2:$B$180,"=EMP",'MoodysData(Raw)'!$D$2:$D$180,"="&amp;'Implied Productivity Ratios'!$C67)</f>
        <v>293.97423101631762</v>
      </c>
      <c r="AG67">
        <f>SUMIFS('MoodysData(Raw)'!AJ$2:AJ$180,'MoodysData(Raw)'!$B$2:$B$180,"=GDP",'MoodysData(Raw)'!$D$2:$D$180,"="&amp;'Implied Productivity Ratios'!$C67)/SUMIFS('MoodysData(Raw)'!AJ$2:AJ$180,'MoodysData(Raw)'!$B$2:$B$180,"=EMP",'MoodysData(Raw)'!$D$2:$D$180,"="&amp;'Implied Productivity Ratios'!$C67)</f>
        <v>293.92116604863367</v>
      </c>
      <c r="AH67">
        <f>SUMIFS('MoodysData(Raw)'!AK$2:AK$180,'MoodysData(Raw)'!$B$2:$B$180,"=GDP",'MoodysData(Raw)'!$D$2:$D$180,"="&amp;'Implied Productivity Ratios'!$C67)/SUMIFS('MoodysData(Raw)'!AK$2:AK$180,'MoodysData(Raw)'!$B$2:$B$180,"=EMP",'MoodysData(Raw)'!$D$2:$D$180,"="&amp;'Implied Productivity Ratios'!$C67)</f>
        <v>293.51907385604204</v>
      </c>
      <c r="AI67">
        <f>SUMIFS('MoodysData(Raw)'!AL$2:AL$180,'MoodysData(Raw)'!$B$2:$B$180,"=GDP",'MoodysData(Raw)'!$D$2:$D$180,"="&amp;'Implied Productivity Ratios'!$C67)/SUMIFS('MoodysData(Raw)'!AL$2:AL$180,'MoodysData(Raw)'!$B$2:$B$180,"=EMP",'MoodysData(Raw)'!$D$2:$D$180,"="&amp;'Implied Productivity Ratios'!$C67)</f>
        <v>292.79532869821747</v>
      </c>
      <c r="AJ67">
        <f>SUMIFS('MoodysData(Raw)'!AM$2:AM$180,'MoodysData(Raw)'!$B$2:$B$180,"=GDP",'MoodysData(Raw)'!$D$2:$D$180,"="&amp;'Implied Productivity Ratios'!$C67)/SUMIFS('MoodysData(Raw)'!AM$2:AM$180,'MoodysData(Raw)'!$B$2:$B$180,"=EMP",'MoodysData(Raw)'!$D$2:$D$180,"="&amp;'Implied Productivity Ratios'!$C67)</f>
        <v>292.45003435038376</v>
      </c>
      <c r="AK67">
        <f>SUMIFS('MoodysData(Raw)'!AN$2:AN$180,'MoodysData(Raw)'!$B$2:$B$180,"=GDP",'MoodysData(Raw)'!$D$2:$D$180,"="&amp;'Implied Productivity Ratios'!$C67)/SUMIFS('MoodysData(Raw)'!AN$2:AN$180,'MoodysData(Raw)'!$B$2:$B$180,"=EMP",'MoodysData(Raw)'!$D$2:$D$180,"="&amp;'Implied Productivity Ratios'!$C67)</f>
        <v>292.79857978986888</v>
      </c>
      <c r="AL67">
        <f>SUMIFS('MoodysData(Raw)'!AO$2:AO$180,'MoodysData(Raw)'!$B$2:$B$180,"=GDP",'MoodysData(Raw)'!$D$2:$D$180,"="&amp;'Implied Productivity Ratios'!$C67)/SUMIFS('MoodysData(Raw)'!AO$2:AO$180,'MoodysData(Raw)'!$B$2:$B$180,"=EMP",'MoodysData(Raw)'!$D$2:$D$180,"="&amp;'Implied Productivity Ratios'!$C67)</f>
        <v>293.21607605667521</v>
      </c>
      <c r="AM67">
        <f>SUMIFS('MoodysData(Raw)'!AP$2:AP$180,'MoodysData(Raw)'!$B$2:$B$180,"=GDP",'MoodysData(Raw)'!$D$2:$D$180,"="&amp;'Implied Productivity Ratios'!$C67)/SUMIFS('MoodysData(Raw)'!AP$2:AP$180,'MoodysData(Raw)'!$B$2:$B$180,"=EMP",'MoodysData(Raw)'!$D$2:$D$180,"="&amp;'Implied Productivity Ratios'!$C67)</f>
        <v>293.50495647881729</v>
      </c>
      <c r="AN67">
        <f>SUMIFS('MoodysData(Raw)'!AQ$2:AQ$180,'MoodysData(Raw)'!$B$2:$B$180,"=GDP",'MoodysData(Raw)'!$D$2:$D$180,"="&amp;'Implied Productivity Ratios'!$C67)/SUMIFS('MoodysData(Raw)'!AQ$2:AQ$180,'MoodysData(Raw)'!$B$2:$B$180,"=EMP",'MoodysData(Raw)'!$D$2:$D$180,"="&amp;'Implied Productivity Ratios'!$C67)</f>
        <v>293.85251096268507</v>
      </c>
      <c r="AO67">
        <f>SUMIFS('MoodysData(Raw)'!AR$2:AR$180,'MoodysData(Raw)'!$B$2:$B$180,"=GDP",'MoodysData(Raw)'!$D$2:$D$180,"="&amp;'Implied Productivity Ratios'!$C67)/SUMIFS('MoodysData(Raw)'!AR$2:AR$180,'MoodysData(Raw)'!$B$2:$B$180,"=EMP",'MoodysData(Raw)'!$D$2:$D$180,"="&amp;'Implied Productivity Ratios'!$C67)</f>
        <v>294.21386821142721</v>
      </c>
      <c r="AP67">
        <f>SUMIFS('MoodysData(Raw)'!AS$2:AS$180,'MoodysData(Raw)'!$B$2:$B$180,"=GDP",'MoodysData(Raw)'!$D$2:$D$180,"="&amp;'Implied Productivity Ratios'!$C67)/SUMIFS('MoodysData(Raw)'!AS$2:AS$180,'MoodysData(Raw)'!$B$2:$B$180,"=EMP",'MoodysData(Raw)'!$D$2:$D$180,"="&amp;'Implied Productivity Ratios'!$C67)</f>
        <v>294.73514208335524</v>
      </c>
      <c r="AQ67">
        <f>SUMIFS('MoodysData(Raw)'!AT$2:AT$180,'MoodysData(Raw)'!$B$2:$B$180,"=GDP",'MoodysData(Raw)'!$D$2:$D$180,"="&amp;'Implied Productivity Ratios'!$C67)/SUMIFS('MoodysData(Raw)'!AT$2:AT$180,'MoodysData(Raw)'!$B$2:$B$180,"=EMP",'MoodysData(Raw)'!$D$2:$D$180,"="&amp;'Implied Productivity Ratios'!$C67)</f>
        <v>295.52573545193229</v>
      </c>
      <c r="AR67">
        <f>SUMIFS('MoodysData(Raw)'!AU$2:AU$180,'MoodysData(Raw)'!$B$2:$B$180,"=GDP",'MoodysData(Raw)'!$D$2:$D$180,"="&amp;'Implied Productivity Ratios'!$C67)/SUMIFS('MoodysData(Raw)'!AU$2:AU$180,'MoodysData(Raw)'!$B$2:$B$180,"=EMP",'MoodysData(Raw)'!$D$2:$D$180,"="&amp;'Implied Productivity Ratios'!$C67)</f>
        <v>296.57083280598869</v>
      </c>
      <c r="AS67">
        <f>SUMIFS('MoodysData(Raw)'!AV$2:AV$180,'MoodysData(Raw)'!$B$2:$B$180,"=GDP",'MoodysData(Raw)'!$D$2:$D$180,"="&amp;'Implied Productivity Ratios'!$C67)/SUMIFS('MoodysData(Raw)'!AV$2:AV$180,'MoodysData(Raw)'!$B$2:$B$180,"=EMP",'MoodysData(Raw)'!$D$2:$D$180,"="&amp;'Implied Productivity Ratios'!$C67)</f>
        <v>297.75188344730367</v>
      </c>
      <c r="AT67">
        <f>SUMIFS('MoodysData(Raw)'!AW$2:AW$180,'MoodysData(Raw)'!$B$2:$B$180,"=GDP",'MoodysData(Raw)'!$D$2:$D$180,"="&amp;'Implied Productivity Ratios'!$C67)/SUMIFS('MoodysData(Raw)'!AW$2:AW$180,'MoodysData(Raw)'!$B$2:$B$180,"=EMP",'MoodysData(Raw)'!$D$2:$D$180,"="&amp;'Implied Productivity Ratios'!$C67)</f>
        <v>299.07863122482769</v>
      </c>
      <c r="AU67">
        <f>SUMIFS('MoodysData(Raw)'!AX$2:AX$180,'MoodysData(Raw)'!$B$2:$B$180,"=GDP",'MoodysData(Raw)'!$D$2:$D$180,"="&amp;'Implied Productivity Ratios'!$C67)/SUMIFS('MoodysData(Raw)'!AX$2:AX$180,'MoodysData(Raw)'!$B$2:$B$180,"=EMP",'MoodysData(Raw)'!$D$2:$D$180,"="&amp;'Implied Productivity Ratios'!$C67)</f>
        <v>300.72638121695269</v>
      </c>
      <c r="AV67">
        <f>SUMIFS('MoodysData(Raw)'!AY$2:AY$180,'MoodysData(Raw)'!$B$2:$B$180,"=GDP",'MoodysData(Raw)'!$D$2:$D$180,"="&amp;'Implied Productivity Ratios'!$C67)/SUMIFS('MoodysData(Raw)'!AY$2:AY$180,'MoodysData(Raw)'!$B$2:$B$180,"=EMP",'MoodysData(Raw)'!$D$2:$D$180,"="&amp;'Implied Productivity Ratios'!$C67)</f>
        <v>302.68088954071646</v>
      </c>
      <c r="AW67">
        <f>SUMIFS('MoodysData(Raw)'!AZ$2:AZ$180,'MoodysData(Raw)'!$B$2:$B$180,"=GDP",'MoodysData(Raw)'!$D$2:$D$180,"="&amp;'Implied Productivity Ratios'!$C67)/SUMIFS('MoodysData(Raw)'!AZ$2:AZ$180,'MoodysData(Raw)'!$B$2:$B$180,"=EMP",'MoodysData(Raw)'!$D$2:$D$180,"="&amp;'Implied Productivity Ratios'!$C67)</f>
        <v>304.73892178861678</v>
      </c>
      <c r="AX67">
        <f>SUMIFS('MoodysData(Raw)'!BA$2:BA$180,'MoodysData(Raw)'!$B$2:$B$180,"=GDP",'MoodysData(Raw)'!$D$2:$D$180,"="&amp;'Implied Productivity Ratios'!$C67)/SUMIFS('MoodysData(Raw)'!BA$2:BA$180,'MoodysData(Raw)'!$B$2:$B$180,"=EMP",'MoodysData(Raw)'!$D$2:$D$180,"="&amp;'Implied Productivity Ratios'!$C67)</f>
        <v>306.9248335121726</v>
      </c>
      <c r="AY67">
        <f>SUMIFS('MoodysData(Raw)'!BB$2:BB$180,'MoodysData(Raw)'!$B$2:$B$180,"=GDP",'MoodysData(Raw)'!$D$2:$D$180,"="&amp;'Implied Productivity Ratios'!$C67)/SUMIFS('MoodysData(Raw)'!BB$2:BB$180,'MoodysData(Raw)'!$B$2:$B$180,"=EMP",'MoodysData(Raw)'!$D$2:$D$180,"="&amp;'Implied Productivity Ratios'!$C67)</f>
        <v>309.23074898035975</v>
      </c>
      <c r="AZ67">
        <f>SUMIFS('MoodysData(Raw)'!BC$2:BC$180,'MoodysData(Raw)'!$B$2:$B$180,"=GDP",'MoodysData(Raw)'!$D$2:$D$180,"="&amp;'Implied Productivity Ratios'!$C67)/SUMIFS('MoodysData(Raw)'!BC$2:BC$180,'MoodysData(Raw)'!$B$2:$B$180,"=EMP",'MoodysData(Raw)'!$D$2:$D$180,"="&amp;'Implied Productivity Ratios'!$C67)</f>
        <v>311.77539069598402</v>
      </c>
      <c r="BA67">
        <f>SUMIFS('MoodysData(Raw)'!BD$2:BD$180,'MoodysData(Raw)'!$B$2:$B$180,"=GDP",'MoodysData(Raw)'!$D$2:$D$180,"="&amp;'Implied Productivity Ratios'!$C67)/SUMIFS('MoodysData(Raw)'!BD$2:BD$180,'MoodysData(Raw)'!$B$2:$B$180,"=EMP",'MoodysData(Raw)'!$D$2:$D$180,"="&amp;'Implied Productivity Ratios'!$C67)</f>
        <v>314.68563883663177</v>
      </c>
      <c r="BB67">
        <f>SUMIFS('MoodysData(Raw)'!BE$2:BE$180,'MoodysData(Raw)'!$B$2:$B$180,"=GDP",'MoodysData(Raw)'!$D$2:$D$180,"="&amp;'Implied Productivity Ratios'!$C67)/SUMIFS('MoodysData(Raw)'!BE$2:BE$180,'MoodysData(Raw)'!$B$2:$B$180,"=EMP",'MoodysData(Raw)'!$D$2:$D$180,"="&amp;'Implied Productivity Ratios'!$C67)</f>
        <v>317.93149257028051</v>
      </c>
      <c r="BC67">
        <f>SUMIFS('MoodysData(Raw)'!BF$2:BF$180,'MoodysData(Raw)'!$B$2:$B$180,"=GDP",'MoodysData(Raw)'!$D$2:$D$180,"="&amp;'Implied Productivity Ratios'!$C67)/SUMIFS('MoodysData(Raw)'!BF$2:BF$180,'MoodysData(Raw)'!$B$2:$B$180,"=EMP",'MoodysData(Raw)'!$D$2:$D$180,"="&amp;'Implied Productivity Ratios'!$C67)</f>
        <v>321.54116251536675</v>
      </c>
      <c r="BD67" s="5">
        <f t="shared" ref="BD67:BH67" si="61">BC67+($BC67-$AX67)/5</f>
        <v>324.46442831600558</v>
      </c>
      <c r="BE67" s="5">
        <f t="shared" si="61"/>
        <v>327.38769411664441</v>
      </c>
      <c r="BF67" s="5">
        <f t="shared" si="61"/>
        <v>330.31095991728324</v>
      </c>
      <c r="BG67" s="5">
        <f t="shared" si="61"/>
        <v>333.23422571792207</v>
      </c>
      <c r="BH67" s="5">
        <f t="shared" si="61"/>
        <v>336.1574915185609</v>
      </c>
    </row>
    <row r="68" spans="3:60">
      <c r="C68">
        <v>524</v>
      </c>
      <c r="D68" t="s">
        <v>382</v>
      </c>
      <c r="E68">
        <f>SUMIFS('MoodysData(Raw)'!H$2:H$180,'MoodysData(Raw)'!$B$2:$B$180,"=GDP",'MoodysData(Raw)'!$D$2:$D$180,"="&amp;'Implied Productivity Ratios'!$C68)/SUMIFS('MoodysData(Raw)'!H$2:H$180,'MoodysData(Raw)'!$B$2:$B$180,"=EMP",'MoodysData(Raw)'!$D$2:$D$180,"="&amp;'Implied Productivity Ratios'!$C68)</f>
        <v>171.70821769281193</v>
      </c>
      <c r="F68">
        <f>SUMIFS('MoodysData(Raw)'!I$2:I$180,'MoodysData(Raw)'!$B$2:$B$180,"=GDP",'MoodysData(Raw)'!$D$2:$D$180,"="&amp;'Implied Productivity Ratios'!$C68)/SUMIFS('MoodysData(Raw)'!I$2:I$180,'MoodysData(Raw)'!$B$2:$B$180,"=EMP",'MoodysData(Raw)'!$D$2:$D$180,"="&amp;'Implied Productivity Ratios'!$C68)</f>
        <v>181.10136176479375</v>
      </c>
      <c r="G68">
        <f>SUMIFS('MoodysData(Raw)'!J$2:J$180,'MoodysData(Raw)'!$B$2:$B$180,"=GDP",'MoodysData(Raw)'!$D$2:$D$180,"="&amp;'Implied Productivity Ratios'!$C68)/SUMIFS('MoodysData(Raw)'!J$2:J$180,'MoodysData(Raw)'!$B$2:$B$180,"=EMP",'MoodysData(Raw)'!$D$2:$D$180,"="&amp;'Implied Productivity Ratios'!$C68)</f>
        <v>196.98854375853347</v>
      </c>
      <c r="H68">
        <f>SUMIFS('MoodysData(Raw)'!K$2:K$180,'MoodysData(Raw)'!$B$2:$B$180,"=GDP",'MoodysData(Raw)'!$D$2:$D$180,"="&amp;'Implied Productivity Ratios'!$C68)/SUMIFS('MoodysData(Raw)'!K$2:K$180,'MoodysData(Raw)'!$B$2:$B$180,"=EMP",'MoodysData(Raw)'!$D$2:$D$180,"="&amp;'Implied Productivity Ratios'!$C68)</f>
        <v>171.93003895144273</v>
      </c>
      <c r="I68">
        <f>SUMIFS('MoodysData(Raw)'!L$2:L$180,'MoodysData(Raw)'!$B$2:$B$180,"=GDP",'MoodysData(Raw)'!$D$2:$D$180,"="&amp;'Implied Productivity Ratios'!$C68)/SUMIFS('MoodysData(Raw)'!L$2:L$180,'MoodysData(Raw)'!$B$2:$B$180,"=EMP",'MoodysData(Raw)'!$D$2:$D$180,"="&amp;'Implied Productivity Ratios'!$C68)</f>
        <v>178.62105447510729</v>
      </c>
      <c r="J68">
        <f>SUMIFS('MoodysData(Raw)'!M$2:M$180,'MoodysData(Raw)'!$B$2:$B$180,"=GDP",'MoodysData(Raw)'!$D$2:$D$180,"="&amp;'Implied Productivity Ratios'!$C68)/SUMIFS('MoodysData(Raw)'!M$2:M$180,'MoodysData(Raw)'!$B$2:$B$180,"=EMP",'MoodysData(Raw)'!$D$2:$D$180,"="&amp;'Implied Productivity Ratios'!$C68)</f>
        <v>181.38542933967688</v>
      </c>
      <c r="K68">
        <f>SUMIFS('MoodysData(Raw)'!N$2:N$180,'MoodysData(Raw)'!$B$2:$B$180,"=GDP",'MoodysData(Raw)'!$D$2:$D$180,"="&amp;'Implied Productivity Ratios'!$C68)/SUMIFS('MoodysData(Raw)'!N$2:N$180,'MoodysData(Raw)'!$B$2:$B$180,"=EMP",'MoodysData(Raw)'!$D$2:$D$180,"="&amp;'Implied Productivity Ratios'!$C68)</f>
        <v>181.32740284554461</v>
      </c>
      <c r="L68">
        <f>SUMIFS('MoodysData(Raw)'!O$2:O$180,'MoodysData(Raw)'!$B$2:$B$180,"=GDP",'MoodysData(Raw)'!$D$2:$D$180,"="&amp;'Implied Productivity Ratios'!$C68)/SUMIFS('MoodysData(Raw)'!O$2:O$180,'MoodysData(Raw)'!$B$2:$B$180,"=EMP",'MoodysData(Raw)'!$D$2:$D$180,"="&amp;'Implied Productivity Ratios'!$C68)</f>
        <v>186.66321723528662</v>
      </c>
      <c r="M68">
        <f>SUMIFS('MoodysData(Raw)'!P$2:P$180,'MoodysData(Raw)'!$B$2:$B$180,"=GDP",'MoodysData(Raw)'!$D$2:$D$180,"="&amp;'Implied Productivity Ratios'!$C68)/SUMIFS('MoodysData(Raw)'!P$2:P$180,'MoodysData(Raw)'!$B$2:$B$180,"=EMP",'MoodysData(Raw)'!$D$2:$D$180,"="&amp;'Implied Productivity Ratios'!$C68)</f>
        <v>172.29877957962393</v>
      </c>
      <c r="N68">
        <f>SUMIFS('MoodysData(Raw)'!Q$2:Q$180,'MoodysData(Raw)'!$B$2:$B$180,"=GDP",'MoodysData(Raw)'!$D$2:$D$180,"="&amp;'Implied Productivity Ratios'!$C68)/SUMIFS('MoodysData(Raw)'!Q$2:Q$180,'MoodysData(Raw)'!$B$2:$B$180,"=EMP",'MoodysData(Raw)'!$D$2:$D$180,"="&amp;'Implied Productivity Ratios'!$C68)</f>
        <v>209.78543043691749</v>
      </c>
      <c r="O68">
        <f>SUMIFS('MoodysData(Raw)'!R$2:R$180,'MoodysData(Raw)'!$B$2:$B$180,"=GDP",'MoodysData(Raw)'!$D$2:$D$180,"="&amp;'Implied Productivity Ratios'!$C68)/SUMIFS('MoodysData(Raw)'!R$2:R$180,'MoodysData(Raw)'!$B$2:$B$180,"=EMP",'MoodysData(Raw)'!$D$2:$D$180,"="&amp;'Implied Productivity Ratios'!$C68)</f>
        <v>231.63205408096357</v>
      </c>
      <c r="P68">
        <f>SUMIFS('MoodysData(Raw)'!S$2:S$180,'MoodysData(Raw)'!$B$2:$B$180,"=GDP",'MoodysData(Raw)'!$D$2:$D$180,"="&amp;'Implied Productivity Ratios'!$C68)/SUMIFS('MoodysData(Raw)'!S$2:S$180,'MoodysData(Raw)'!$B$2:$B$180,"=EMP",'MoodysData(Raw)'!$D$2:$D$180,"="&amp;'Implied Productivity Ratios'!$C68)</f>
        <v>232.71733225183834</v>
      </c>
      <c r="Q68">
        <f>SUMIFS('MoodysData(Raw)'!T$2:T$180,'MoodysData(Raw)'!$B$2:$B$180,"=GDP",'MoodysData(Raw)'!$D$2:$D$180,"="&amp;'Implied Productivity Ratios'!$C68)/SUMIFS('MoodysData(Raw)'!T$2:T$180,'MoodysData(Raw)'!$B$2:$B$180,"=EMP",'MoodysData(Raw)'!$D$2:$D$180,"="&amp;'Implied Productivity Ratios'!$C68)</f>
        <v>223.36698234702851</v>
      </c>
      <c r="R68">
        <f>SUMIFS('MoodysData(Raw)'!U$2:U$180,'MoodysData(Raw)'!$B$2:$B$180,"=GDP",'MoodysData(Raw)'!$D$2:$D$180,"="&amp;'Implied Productivity Ratios'!$C68)/SUMIFS('MoodysData(Raw)'!U$2:U$180,'MoodysData(Raw)'!$B$2:$B$180,"=EMP",'MoodysData(Raw)'!$D$2:$D$180,"="&amp;'Implied Productivity Ratios'!$C68)</f>
        <v>221.98410180525869</v>
      </c>
      <c r="S68">
        <f>SUMIFS('MoodysData(Raw)'!V$2:V$180,'MoodysData(Raw)'!$B$2:$B$180,"=GDP",'MoodysData(Raw)'!$D$2:$D$180,"="&amp;'Implied Productivity Ratios'!$C68)/SUMIFS('MoodysData(Raw)'!V$2:V$180,'MoodysData(Raw)'!$B$2:$B$180,"=EMP",'MoodysData(Raw)'!$D$2:$D$180,"="&amp;'Implied Productivity Ratios'!$C68)</f>
        <v>231.97712869807074</v>
      </c>
      <c r="T68">
        <f>SUMIFS('MoodysData(Raw)'!W$2:W$180,'MoodysData(Raw)'!$B$2:$B$180,"=GDP",'MoodysData(Raw)'!$D$2:$D$180,"="&amp;'Implied Productivity Ratios'!$C68)/SUMIFS('MoodysData(Raw)'!W$2:W$180,'MoodysData(Raw)'!$B$2:$B$180,"=EMP",'MoodysData(Raw)'!$D$2:$D$180,"="&amp;'Implied Productivity Ratios'!$C68)</f>
        <v>220.52330089951715</v>
      </c>
      <c r="U68">
        <f>SUMIFS('MoodysData(Raw)'!X$2:X$180,'MoodysData(Raw)'!$B$2:$B$180,"=GDP",'MoodysData(Raw)'!$D$2:$D$180,"="&amp;'Implied Productivity Ratios'!$C68)/SUMIFS('MoodysData(Raw)'!X$2:X$180,'MoodysData(Raw)'!$B$2:$B$180,"=EMP",'MoodysData(Raw)'!$D$2:$D$180,"="&amp;'Implied Productivity Ratios'!$C68)</f>
        <v>224.44134233028547</v>
      </c>
      <c r="V68">
        <f>SUMIFS('MoodysData(Raw)'!Y$2:Y$180,'MoodysData(Raw)'!$B$2:$B$180,"=GDP",'MoodysData(Raw)'!$D$2:$D$180,"="&amp;'Implied Productivity Ratios'!$C68)/SUMIFS('MoodysData(Raw)'!Y$2:Y$180,'MoodysData(Raw)'!$B$2:$B$180,"=EMP",'MoodysData(Raw)'!$D$2:$D$180,"="&amp;'Implied Productivity Ratios'!$C68)</f>
        <v>229.96266403059397</v>
      </c>
      <c r="W68">
        <f>SUMIFS('MoodysData(Raw)'!Z$2:Z$180,'MoodysData(Raw)'!$B$2:$B$180,"=GDP",'MoodysData(Raw)'!$D$2:$D$180,"="&amp;'Implied Productivity Ratios'!$C68)/SUMIFS('MoodysData(Raw)'!Z$2:Z$180,'MoodysData(Raw)'!$B$2:$B$180,"=EMP",'MoodysData(Raw)'!$D$2:$D$180,"="&amp;'Implied Productivity Ratios'!$C68)</f>
        <v>224.08948390180535</v>
      </c>
      <c r="X68">
        <f>SUMIFS('MoodysData(Raw)'!AA$2:AA$180,'MoodysData(Raw)'!$B$2:$B$180,"=GDP",'MoodysData(Raw)'!$D$2:$D$180,"="&amp;'Implied Productivity Ratios'!$C68)/SUMIFS('MoodysData(Raw)'!AA$2:AA$180,'MoodysData(Raw)'!$B$2:$B$180,"=EMP",'MoodysData(Raw)'!$D$2:$D$180,"="&amp;'Implied Productivity Ratios'!$C68)</f>
        <v>222.98692681928236</v>
      </c>
      <c r="Y68">
        <f>SUMIFS('MoodysData(Raw)'!AB$2:AB$180,'MoodysData(Raw)'!$B$2:$B$180,"=GDP",'MoodysData(Raw)'!$D$2:$D$180,"="&amp;'Implied Productivity Ratios'!$C68)/SUMIFS('MoodysData(Raw)'!AB$2:AB$180,'MoodysData(Raw)'!$B$2:$B$180,"=EMP",'MoodysData(Raw)'!$D$2:$D$180,"="&amp;'Implied Productivity Ratios'!$C68)</f>
        <v>226.62099231221799</v>
      </c>
      <c r="Z68">
        <f>SUMIFS('MoodysData(Raw)'!AC$2:AC$180,'MoodysData(Raw)'!$B$2:$B$180,"=GDP",'MoodysData(Raw)'!$D$2:$D$180,"="&amp;'Implied Productivity Ratios'!$C68)/SUMIFS('MoodysData(Raw)'!AC$2:AC$180,'MoodysData(Raw)'!$B$2:$B$180,"=EMP",'MoodysData(Raw)'!$D$2:$D$180,"="&amp;'Implied Productivity Ratios'!$C68)</f>
        <v>230.89629190209848</v>
      </c>
      <c r="AA68">
        <f>SUMIFS('MoodysData(Raw)'!AD$2:AD$180,'MoodysData(Raw)'!$B$2:$B$180,"=GDP",'MoodysData(Raw)'!$D$2:$D$180,"="&amp;'Implied Productivity Ratios'!$C68)/SUMIFS('MoodysData(Raw)'!AD$2:AD$180,'MoodysData(Raw)'!$B$2:$B$180,"=EMP",'MoodysData(Raw)'!$D$2:$D$180,"="&amp;'Implied Productivity Ratios'!$C68)</f>
        <v>235.73874133591139</v>
      </c>
      <c r="AB68">
        <f>SUMIFS('MoodysData(Raw)'!AE$2:AE$180,'MoodysData(Raw)'!$B$2:$B$180,"=GDP",'MoodysData(Raw)'!$D$2:$D$180,"="&amp;'Implied Productivity Ratios'!$C68)/SUMIFS('MoodysData(Raw)'!AE$2:AE$180,'MoodysData(Raw)'!$B$2:$B$180,"=EMP",'MoodysData(Raw)'!$D$2:$D$180,"="&amp;'Implied Productivity Ratios'!$C68)</f>
        <v>240.26891527520917</v>
      </c>
      <c r="AC68">
        <f>SUMIFS('MoodysData(Raw)'!AF$2:AF$180,'MoodysData(Raw)'!$B$2:$B$180,"=GDP",'MoodysData(Raw)'!$D$2:$D$180,"="&amp;'Implied Productivity Ratios'!$C68)/SUMIFS('MoodysData(Raw)'!AF$2:AF$180,'MoodysData(Raw)'!$B$2:$B$180,"=EMP",'MoodysData(Raw)'!$D$2:$D$180,"="&amp;'Implied Productivity Ratios'!$C68)</f>
        <v>244.80351592810268</v>
      </c>
      <c r="AD68">
        <f>SUMIFS('MoodysData(Raw)'!AG$2:AG$180,'MoodysData(Raw)'!$B$2:$B$180,"=GDP",'MoodysData(Raw)'!$D$2:$D$180,"="&amp;'Implied Productivity Ratios'!$C68)/SUMIFS('MoodysData(Raw)'!AG$2:AG$180,'MoodysData(Raw)'!$B$2:$B$180,"=EMP",'MoodysData(Raw)'!$D$2:$D$180,"="&amp;'Implied Productivity Ratios'!$C68)</f>
        <v>249.6021531969763</v>
      </c>
      <c r="AE68">
        <f>SUMIFS('MoodysData(Raw)'!AH$2:AH$180,'MoodysData(Raw)'!$B$2:$B$180,"=GDP",'MoodysData(Raw)'!$D$2:$D$180,"="&amp;'Implied Productivity Ratios'!$C68)/SUMIFS('MoodysData(Raw)'!AH$2:AH$180,'MoodysData(Raw)'!$B$2:$B$180,"=EMP",'MoodysData(Raw)'!$D$2:$D$180,"="&amp;'Implied Productivity Ratios'!$C68)</f>
        <v>254.32558781517326</v>
      </c>
      <c r="AF68">
        <f>SUMIFS('MoodysData(Raw)'!AI$2:AI$180,'MoodysData(Raw)'!$B$2:$B$180,"=GDP",'MoodysData(Raw)'!$D$2:$D$180,"="&amp;'Implied Productivity Ratios'!$C68)/SUMIFS('MoodysData(Raw)'!AI$2:AI$180,'MoodysData(Raw)'!$B$2:$B$180,"=EMP",'MoodysData(Raw)'!$D$2:$D$180,"="&amp;'Implied Productivity Ratios'!$C68)</f>
        <v>259.03977211324155</v>
      </c>
      <c r="AG68">
        <f>SUMIFS('MoodysData(Raw)'!AJ$2:AJ$180,'MoodysData(Raw)'!$B$2:$B$180,"=GDP",'MoodysData(Raw)'!$D$2:$D$180,"="&amp;'Implied Productivity Ratios'!$C68)/SUMIFS('MoodysData(Raw)'!AJ$2:AJ$180,'MoodysData(Raw)'!$B$2:$B$180,"=EMP",'MoodysData(Raw)'!$D$2:$D$180,"="&amp;'Implied Productivity Ratios'!$C68)</f>
        <v>263.67135054156682</v>
      </c>
      <c r="AH68">
        <f>SUMIFS('MoodysData(Raw)'!AK$2:AK$180,'MoodysData(Raw)'!$B$2:$B$180,"=GDP",'MoodysData(Raw)'!$D$2:$D$180,"="&amp;'Implied Productivity Ratios'!$C68)/SUMIFS('MoodysData(Raw)'!AK$2:AK$180,'MoodysData(Raw)'!$B$2:$B$180,"=EMP",'MoodysData(Raw)'!$D$2:$D$180,"="&amp;'Implied Productivity Ratios'!$C68)</f>
        <v>267.87930396472478</v>
      </c>
      <c r="AI68">
        <f>SUMIFS('MoodysData(Raw)'!AL$2:AL$180,'MoodysData(Raw)'!$B$2:$B$180,"=GDP",'MoodysData(Raw)'!$D$2:$D$180,"="&amp;'Implied Productivity Ratios'!$C68)/SUMIFS('MoodysData(Raw)'!AL$2:AL$180,'MoodysData(Raw)'!$B$2:$B$180,"=EMP",'MoodysData(Raw)'!$D$2:$D$180,"="&amp;'Implied Productivity Ratios'!$C68)</f>
        <v>271.65692797490533</v>
      </c>
      <c r="AJ68">
        <f>SUMIFS('MoodysData(Raw)'!AM$2:AM$180,'MoodysData(Raw)'!$B$2:$B$180,"=GDP",'MoodysData(Raw)'!$D$2:$D$180,"="&amp;'Implied Productivity Ratios'!$C68)/SUMIFS('MoodysData(Raw)'!AM$2:AM$180,'MoodysData(Raw)'!$B$2:$B$180,"=EMP",'MoodysData(Raw)'!$D$2:$D$180,"="&amp;'Implied Productivity Ratios'!$C68)</f>
        <v>275.6654056318481</v>
      </c>
      <c r="AK68">
        <f>SUMIFS('MoodysData(Raw)'!AN$2:AN$180,'MoodysData(Raw)'!$B$2:$B$180,"=GDP",'MoodysData(Raw)'!$D$2:$D$180,"="&amp;'Implied Productivity Ratios'!$C68)/SUMIFS('MoodysData(Raw)'!AN$2:AN$180,'MoodysData(Raw)'!$B$2:$B$180,"=EMP",'MoodysData(Raw)'!$D$2:$D$180,"="&amp;'Implied Productivity Ratios'!$C68)</f>
        <v>280.22452357629896</v>
      </c>
      <c r="AL68">
        <f>SUMIFS('MoodysData(Raw)'!AO$2:AO$180,'MoodysData(Raw)'!$B$2:$B$180,"=GDP",'MoodysData(Raw)'!$D$2:$D$180,"="&amp;'Implied Productivity Ratios'!$C68)/SUMIFS('MoodysData(Raw)'!AO$2:AO$180,'MoodysData(Raw)'!$B$2:$B$180,"=EMP",'MoodysData(Raw)'!$D$2:$D$180,"="&amp;'Implied Productivity Ratios'!$C68)</f>
        <v>284.70228973558068</v>
      </c>
      <c r="AM68">
        <f>SUMIFS('MoodysData(Raw)'!AP$2:AP$180,'MoodysData(Raw)'!$B$2:$B$180,"=GDP",'MoodysData(Raw)'!$D$2:$D$180,"="&amp;'Implied Productivity Ratios'!$C68)/SUMIFS('MoodysData(Raw)'!AP$2:AP$180,'MoodysData(Raw)'!$B$2:$B$180,"=EMP",'MoodysData(Raw)'!$D$2:$D$180,"="&amp;'Implied Productivity Ratios'!$C68)</f>
        <v>288.89158561757569</v>
      </c>
      <c r="AN68">
        <f>SUMIFS('MoodysData(Raw)'!AQ$2:AQ$180,'MoodysData(Raw)'!$B$2:$B$180,"=GDP",'MoodysData(Raw)'!$D$2:$D$180,"="&amp;'Implied Productivity Ratios'!$C68)/SUMIFS('MoodysData(Raw)'!AQ$2:AQ$180,'MoodysData(Raw)'!$B$2:$B$180,"=EMP",'MoodysData(Raw)'!$D$2:$D$180,"="&amp;'Implied Productivity Ratios'!$C68)</f>
        <v>292.97214547214878</v>
      </c>
      <c r="AO68">
        <f>SUMIFS('MoodysData(Raw)'!AR$2:AR$180,'MoodysData(Raw)'!$B$2:$B$180,"=GDP",'MoodysData(Raw)'!$D$2:$D$180,"="&amp;'Implied Productivity Ratios'!$C68)/SUMIFS('MoodysData(Raw)'!AR$2:AR$180,'MoodysData(Raw)'!$B$2:$B$180,"=EMP",'MoodysData(Raw)'!$D$2:$D$180,"="&amp;'Implied Productivity Ratios'!$C68)</f>
        <v>296.88473610216624</v>
      </c>
      <c r="AP68">
        <f>SUMIFS('MoodysData(Raw)'!AS$2:AS$180,'MoodysData(Raw)'!$B$2:$B$180,"=GDP",'MoodysData(Raw)'!$D$2:$D$180,"="&amp;'Implied Productivity Ratios'!$C68)/SUMIFS('MoodysData(Raw)'!AS$2:AS$180,'MoodysData(Raw)'!$B$2:$B$180,"=EMP",'MoodysData(Raw)'!$D$2:$D$180,"="&amp;'Implied Productivity Ratios'!$C68)</f>
        <v>300.78497590720866</v>
      </c>
      <c r="AQ68">
        <f>SUMIFS('MoodysData(Raw)'!AT$2:AT$180,'MoodysData(Raw)'!$B$2:$B$180,"=GDP",'MoodysData(Raw)'!$D$2:$D$180,"="&amp;'Implied Productivity Ratios'!$C68)/SUMIFS('MoodysData(Raw)'!AT$2:AT$180,'MoodysData(Raw)'!$B$2:$B$180,"=EMP",'MoodysData(Raw)'!$D$2:$D$180,"="&amp;'Implied Productivity Ratios'!$C68)</f>
        <v>304.79844431781129</v>
      </c>
      <c r="AR68">
        <f>SUMIFS('MoodysData(Raw)'!AU$2:AU$180,'MoodysData(Raw)'!$B$2:$B$180,"=GDP",'MoodysData(Raw)'!$D$2:$D$180,"="&amp;'Implied Productivity Ratios'!$C68)/SUMIFS('MoodysData(Raw)'!AU$2:AU$180,'MoodysData(Raw)'!$B$2:$B$180,"=EMP",'MoodysData(Raw)'!$D$2:$D$180,"="&amp;'Implied Productivity Ratios'!$C68)</f>
        <v>308.91178915134338</v>
      </c>
      <c r="AS68">
        <f>SUMIFS('MoodysData(Raw)'!AV$2:AV$180,'MoodysData(Raw)'!$B$2:$B$180,"=GDP",'MoodysData(Raw)'!$D$2:$D$180,"="&amp;'Implied Productivity Ratios'!$C68)/SUMIFS('MoodysData(Raw)'!AV$2:AV$180,'MoodysData(Raw)'!$B$2:$B$180,"=EMP",'MoodysData(Raw)'!$D$2:$D$180,"="&amp;'Implied Productivity Ratios'!$C68)</f>
        <v>312.99048107713946</v>
      </c>
      <c r="AT68">
        <f>SUMIFS('MoodysData(Raw)'!AW$2:AW$180,'MoodysData(Raw)'!$B$2:$B$180,"=GDP",'MoodysData(Raw)'!$D$2:$D$180,"="&amp;'Implied Productivity Ratios'!$C68)/SUMIFS('MoodysData(Raw)'!AW$2:AW$180,'MoodysData(Raw)'!$B$2:$B$180,"=EMP",'MoodysData(Raw)'!$D$2:$D$180,"="&amp;'Implied Productivity Ratios'!$C68)</f>
        <v>317.03769441460747</v>
      </c>
      <c r="AU68">
        <f>SUMIFS('MoodysData(Raw)'!AX$2:AX$180,'MoodysData(Raw)'!$B$2:$B$180,"=GDP",'MoodysData(Raw)'!$D$2:$D$180,"="&amp;'Implied Productivity Ratios'!$C68)/SUMIFS('MoodysData(Raw)'!AX$2:AX$180,'MoodysData(Raw)'!$B$2:$B$180,"=EMP",'MoodysData(Raw)'!$D$2:$D$180,"="&amp;'Implied Productivity Ratios'!$C68)</f>
        <v>321.24572840256712</v>
      </c>
      <c r="AV68">
        <f>SUMIFS('MoodysData(Raw)'!AY$2:AY$180,'MoodysData(Raw)'!$B$2:$B$180,"=GDP",'MoodysData(Raw)'!$D$2:$D$180,"="&amp;'Implied Productivity Ratios'!$C68)/SUMIFS('MoodysData(Raw)'!AY$2:AY$180,'MoodysData(Raw)'!$B$2:$B$180,"=EMP",'MoodysData(Raw)'!$D$2:$D$180,"="&amp;'Implied Productivity Ratios'!$C68)</f>
        <v>325.5823098021703</v>
      </c>
      <c r="AW68">
        <f>SUMIFS('MoodysData(Raw)'!AZ$2:AZ$180,'MoodysData(Raw)'!$B$2:$B$180,"=GDP",'MoodysData(Raw)'!$D$2:$D$180,"="&amp;'Implied Productivity Ratios'!$C68)/SUMIFS('MoodysData(Raw)'!AZ$2:AZ$180,'MoodysData(Raw)'!$B$2:$B$180,"=EMP",'MoodysData(Raw)'!$D$2:$D$180,"="&amp;'Implied Productivity Ratios'!$C68)</f>
        <v>329.81853056908278</v>
      </c>
      <c r="AX68">
        <f>SUMIFS('MoodysData(Raw)'!BA$2:BA$180,'MoodysData(Raw)'!$B$2:$B$180,"=GDP",'MoodysData(Raw)'!$D$2:$D$180,"="&amp;'Implied Productivity Ratios'!$C68)/SUMIFS('MoodysData(Raw)'!BA$2:BA$180,'MoodysData(Raw)'!$B$2:$B$180,"=EMP",'MoodysData(Raw)'!$D$2:$D$180,"="&amp;'Implied Productivity Ratios'!$C68)</f>
        <v>333.98172303202108</v>
      </c>
      <c r="AY68">
        <f>SUMIFS('MoodysData(Raw)'!BB$2:BB$180,'MoodysData(Raw)'!$B$2:$B$180,"=GDP",'MoodysData(Raw)'!$D$2:$D$180,"="&amp;'Implied Productivity Ratios'!$C68)/SUMIFS('MoodysData(Raw)'!BB$2:BB$180,'MoodysData(Raw)'!$B$2:$B$180,"=EMP",'MoodysData(Raw)'!$D$2:$D$180,"="&amp;'Implied Productivity Ratios'!$C68)</f>
        <v>338.05202185959661</v>
      </c>
      <c r="AZ68">
        <f>SUMIFS('MoodysData(Raw)'!BC$2:BC$180,'MoodysData(Raw)'!$B$2:$B$180,"=GDP",'MoodysData(Raw)'!$D$2:$D$180,"="&amp;'Implied Productivity Ratios'!$C68)/SUMIFS('MoodysData(Raw)'!BC$2:BC$180,'MoodysData(Raw)'!$B$2:$B$180,"=EMP",'MoodysData(Raw)'!$D$2:$D$180,"="&amp;'Implied Productivity Ratios'!$C68)</f>
        <v>342.14995437731687</v>
      </c>
      <c r="BA68">
        <f>SUMIFS('MoodysData(Raw)'!BD$2:BD$180,'MoodysData(Raw)'!$B$2:$B$180,"=GDP",'MoodysData(Raw)'!$D$2:$D$180,"="&amp;'Implied Productivity Ratios'!$C68)/SUMIFS('MoodysData(Raw)'!BD$2:BD$180,'MoodysData(Raw)'!$B$2:$B$180,"=EMP",'MoodysData(Raw)'!$D$2:$D$180,"="&amp;'Implied Productivity Ratios'!$C68)</f>
        <v>346.42370287802379</v>
      </c>
      <c r="BB68">
        <f>SUMIFS('MoodysData(Raw)'!BE$2:BE$180,'MoodysData(Raw)'!$B$2:$B$180,"=GDP",'MoodysData(Raw)'!$D$2:$D$180,"="&amp;'Implied Productivity Ratios'!$C68)/SUMIFS('MoodysData(Raw)'!BE$2:BE$180,'MoodysData(Raw)'!$B$2:$B$180,"=EMP",'MoodysData(Raw)'!$D$2:$D$180,"="&amp;'Implied Productivity Ratios'!$C68)</f>
        <v>350.82217211627653</v>
      </c>
      <c r="BC68">
        <f>SUMIFS('MoodysData(Raw)'!BF$2:BF$180,'MoodysData(Raw)'!$B$2:$B$180,"=GDP",'MoodysData(Raw)'!$D$2:$D$180,"="&amp;'Implied Productivity Ratios'!$C68)/SUMIFS('MoodysData(Raw)'!BF$2:BF$180,'MoodysData(Raw)'!$B$2:$B$180,"=EMP",'MoodysData(Raw)'!$D$2:$D$180,"="&amp;'Implied Productivity Ratios'!$C68)</f>
        <v>355.36426822795812</v>
      </c>
      <c r="BD68" s="5">
        <f t="shared" ref="BD68:BH68" si="62">BC68+($BC68-$AX68)/5</f>
        <v>359.64077726714555</v>
      </c>
      <c r="BE68" s="5">
        <f t="shared" si="62"/>
        <v>363.91728630633298</v>
      </c>
      <c r="BF68" s="5">
        <f t="shared" si="62"/>
        <v>368.19379534552041</v>
      </c>
      <c r="BG68" s="5">
        <f t="shared" si="62"/>
        <v>372.47030438470784</v>
      </c>
      <c r="BH68" s="5">
        <f t="shared" si="62"/>
        <v>376.74681342389528</v>
      </c>
    </row>
    <row r="69" spans="3:60">
      <c r="C69">
        <v>525</v>
      </c>
      <c r="D69" t="s">
        <v>386</v>
      </c>
      <c r="E69">
        <f>SUMIFS('MoodysData(Raw)'!H$2:H$180,'MoodysData(Raw)'!$B$2:$B$180,"=GDP",'MoodysData(Raw)'!$D$2:$D$180,"="&amp;'Implied Productivity Ratios'!$C69)/SUMIFS('MoodysData(Raw)'!H$2:H$180,'MoodysData(Raw)'!$B$2:$B$180,"=EMP",'MoodysData(Raw)'!$D$2:$D$180,"="&amp;'Implied Productivity Ratios'!$C69)</f>
        <v>287.50241377978602</v>
      </c>
      <c r="F69">
        <f>SUMIFS('MoodysData(Raw)'!I$2:I$180,'MoodysData(Raw)'!$B$2:$B$180,"=GDP",'MoodysData(Raw)'!$D$2:$D$180,"="&amp;'Implied Productivity Ratios'!$C69)/SUMIFS('MoodysData(Raw)'!I$2:I$180,'MoodysData(Raw)'!$B$2:$B$180,"=EMP",'MoodysData(Raw)'!$D$2:$D$180,"="&amp;'Implied Productivity Ratios'!$C69)</f>
        <v>289.90958684622132</v>
      </c>
      <c r="G69">
        <f>SUMIFS('MoodysData(Raw)'!J$2:J$180,'MoodysData(Raw)'!$B$2:$B$180,"=GDP",'MoodysData(Raw)'!$D$2:$D$180,"="&amp;'Implied Productivity Ratios'!$C69)/SUMIFS('MoodysData(Raw)'!J$2:J$180,'MoodysData(Raw)'!$B$2:$B$180,"=EMP",'MoodysData(Raw)'!$D$2:$D$180,"="&amp;'Implied Productivity Ratios'!$C69)</f>
        <v>204.67550326597654</v>
      </c>
      <c r="H69">
        <f>SUMIFS('MoodysData(Raw)'!K$2:K$180,'MoodysData(Raw)'!$B$2:$B$180,"=GDP",'MoodysData(Raw)'!$D$2:$D$180,"="&amp;'Implied Productivity Ratios'!$C69)/SUMIFS('MoodysData(Raw)'!K$2:K$180,'MoodysData(Raw)'!$B$2:$B$180,"=EMP",'MoodysData(Raw)'!$D$2:$D$180,"="&amp;'Implied Productivity Ratios'!$C69)</f>
        <v>100.58880123147971</v>
      </c>
      <c r="I69">
        <f>SUMIFS('MoodysData(Raw)'!L$2:L$180,'MoodysData(Raw)'!$B$2:$B$180,"=GDP",'MoodysData(Raw)'!$D$2:$D$180,"="&amp;'Implied Productivity Ratios'!$C69)/SUMIFS('MoodysData(Raw)'!L$2:L$180,'MoodysData(Raw)'!$B$2:$B$180,"=EMP",'MoodysData(Raw)'!$D$2:$D$180,"="&amp;'Implied Productivity Ratios'!$C69)</f>
        <v>17.33822225803852</v>
      </c>
      <c r="J69">
        <f>SUMIFS('MoodysData(Raw)'!M$2:M$180,'MoodysData(Raw)'!$B$2:$B$180,"=GDP",'MoodysData(Raw)'!$D$2:$D$180,"="&amp;'Implied Productivity Ratios'!$C69)/SUMIFS('MoodysData(Raw)'!M$2:M$180,'MoodysData(Raw)'!$B$2:$B$180,"=EMP",'MoodysData(Raw)'!$D$2:$D$180,"="&amp;'Implied Productivity Ratios'!$C69)</f>
        <v>120.65116653906595</v>
      </c>
      <c r="K69">
        <f>SUMIFS('MoodysData(Raw)'!N$2:N$180,'MoodysData(Raw)'!$B$2:$B$180,"=GDP",'MoodysData(Raw)'!$D$2:$D$180,"="&amp;'Implied Productivity Ratios'!$C69)/SUMIFS('MoodysData(Raw)'!N$2:N$180,'MoodysData(Raw)'!$B$2:$B$180,"=EMP",'MoodysData(Raw)'!$D$2:$D$180,"="&amp;'Implied Productivity Ratios'!$C69)</f>
        <v>390.07335353213205</v>
      </c>
      <c r="L69">
        <f>SUMIFS('MoodysData(Raw)'!O$2:O$180,'MoodysData(Raw)'!$B$2:$B$180,"=GDP",'MoodysData(Raw)'!$D$2:$D$180,"="&amp;'Implied Productivity Ratios'!$C69)/SUMIFS('MoodysData(Raw)'!O$2:O$180,'MoodysData(Raw)'!$B$2:$B$180,"=EMP",'MoodysData(Raw)'!$D$2:$D$180,"="&amp;'Implied Productivity Ratios'!$C69)</f>
        <v>883.32821143208355</v>
      </c>
      <c r="M69">
        <f>SUMIFS('MoodysData(Raw)'!P$2:P$180,'MoodysData(Raw)'!$B$2:$B$180,"=GDP",'MoodysData(Raw)'!$D$2:$D$180,"="&amp;'Implied Productivity Ratios'!$C69)/SUMIFS('MoodysData(Raw)'!P$2:P$180,'MoodysData(Raw)'!$B$2:$B$180,"=EMP",'MoodysData(Raw)'!$D$2:$D$180,"="&amp;'Implied Productivity Ratios'!$C69)</f>
        <v>1199.0184515883584</v>
      </c>
      <c r="N69">
        <f>SUMIFS('MoodysData(Raw)'!Q$2:Q$180,'MoodysData(Raw)'!$B$2:$B$180,"=GDP",'MoodysData(Raw)'!$D$2:$D$180,"="&amp;'Implied Productivity Ratios'!$C69)/SUMIFS('MoodysData(Raw)'!Q$2:Q$180,'MoodysData(Raw)'!$B$2:$B$180,"=EMP",'MoodysData(Raw)'!$D$2:$D$180,"="&amp;'Implied Productivity Ratios'!$C69)</f>
        <v>2459.3446164926181</v>
      </c>
      <c r="O69">
        <f>SUMIFS('MoodysData(Raw)'!R$2:R$180,'MoodysData(Raw)'!$B$2:$B$180,"=GDP",'MoodysData(Raw)'!$D$2:$D$180,"="&amp;'Implied Productivity Ratios'!$C69)/SUMIFS('MoodysData(Raw)'!R$2:R$180,'MoodysData(Raw)'!$B$2:$B$180,"=EMP",'MoodysData(Raw)'!$D$2:$D$180,"="&amp;'Implied Productivity Ratios'!$C69)</f>
        <v>1165.6251086163149</v>
      </c>
      <c r="P69">
        <f>SUMIFS('MoodysData(Raw)'!S$2:S$180,'MoodysData(Raw)'!$B$2:$B$180,"=GDP",'MoodysData(Raw)'!$D$2:$D$180,"="&amp;'Implied Productivity Ratios'!$C69)/SUMIFS('MoodysData(Raw)'!S$2:S$180,'MoodysData(Raw)'!$B$2:$B$180,"=EMP",'MoodysData(Raw)'!$D$2:$D$180,"="&amp;'Implied Productivity Ratios'!$C69)</f>
        <v>137.35919899874844</v>
      </c>
      <c r="Q69">
        <f>SUMIFS('MoodysData(Raw)'!T$2:T$180,'MoodysData(Raw)'!$B$2:$B$180,"=GDP",'MoodysData(Raw)'!$D$2:$D$180,"="&amp;'Implied Productivity Ratios'!$C69)/SUMIFS('MoodysData(Raw)'!T$2:T$180,'MoodysData(Raw)'!$B$2:$B$180,"=EMP",'MoodysData(Raw)'!$D$2:$D$180,"="&amp;'Implied Productivity Ratios'!$C69)</f>
        <v>212.77125688844609</v>
      </c>
      <c r="R69">
        <f>SUMIFS('MoodysData(Raw)'!U$2:U$180,'MoodysData(Raw)'!$B$2:$B$180,"=GDP",'MoodysData(Raw)'!$D$2:$D$180,"="&amp;'Implied Productivity Ratios'!$C69)/SUMIFS('MoodysData(Raw)'!U$2:U$180,'MoodysData(Raw)'!$B$2:$B$180,"=EMP",'MoodysData(Raw)'!$D$2:$D$180,"="&amp;'Implied Productivity Ratios'!$C69)</f>
        <v>19.359982041304999</v>
      </c>
      <c r="S69">
        <f>SUMIFS('MoodysData(Raw)'!V$2:V$180,'MoodysData(Raw)'!$B$2:$B$180,"=GDP",'MoodysData(Raw)'!$D$2:$D$180,"="&amp;'Implied Productivity Ratios'!$C69)/SUMIFS('MoodysData(Raw)'!V$2:V$180,'MoodysData(Raw)'!$B$2:$B$180,"=EMP",'MoodysData(Raw)'!$D$2:$D$180,"="&amp;'Implied Productivity Ratios'!$C69)</f>
        <v>23.438397060512116</v>
      </c>
      <c r="T69">
        <f>SUMIFS('MoodysData(Raw)'!W$2:W$180,'MoodysData(Raw)'!$B$2:$B$180,"=GDP",'MoodysData(Raw)'!$D$2:$D$180,"="&amp;'Implied Productivity Ratios'!$C69)/SUMIFS('MoodysData(Raw)'!W$2:W$180,'MoodysData(Raw)'!$B$2:$B$180,"=EMP",'MoodysData(Raw)'!$D$2:$D$180,"="&amp;'Implied Productivity Ratios'!$C69)</f>
        <v>17.557853192139863</v>
      </c>
      <c r="U69">
        <f>SUMIFS('MoodysData(Raw)'!X$2:X$180,'MoodysData(Raw)'!$B$2:$B$180,"=GDP",'MoodysData(Raw)'!$D$2:$D$180,"="&amp;'Implied Productivity Ratios'!$C69)/SUMIFS('MoodysData(Raw)'!X$2:X$180,'MoodysData(Raw)'!$B$2:$B$180,"=EMP",'MoodysData(Raw)'!$D$2:$D$180,"="&amp;'Implied Productivity Ratios'!$C69)</f>
        <v>372.52630487741669</v>
      </c>
      <c r="V69">
        <f>SUMIFS('MoodysData(Raw)'!Y$2:Y$180,'MoodysData(Raw)'!$B$2:$B$180,"=GDP",'MoodysData(Raw)'!$D$2:$D$180,"="&amp;'Implied Productivity Ratios'!$C69)/SUMIFS('MoodysData(Raw)'!Y$2:Y$180,'MoodysData(Raw)'!$B$2:$B$180,"=EMP",'MoodysData(Raw)'!$D$2:$D$180,"="&amp;'Implied Productivity Ratios'!$C69)</f>
        <v>122.45512588844717</v>
      </c>
      <c r="W69">
        <f>SUMIFS('MoodysData(Raw)'!Z$2:Z$180,'MoodysData(Raw)'!$B$2:$B$180,"=GDP",'MoodysData(Raw)'!$D$2:$D$180,"="&amp;'Implied Productivity Ratios'!$C69)/SUMIFS('MoodysData(Raw)'!Z$2:Z$180,'MoodysData(Raw)'!$B$2:$B$180,"=EMP",'MoodysData(Raw)'!$D$2:$D$180,"="&amp;'Implied Productivity Ratios'!$C69)</f>
        <v>80.537959944108067</v>
      </c>
      <c r="X69">
        <f>SUMIFS('MoodysData(Raw)'!AA$2:AA$180,'MoodysData(Raw)'!$B$2:$B$180,"=GDP",'MoodysData(Raw)'!$D$2:$D$180,"="&amp;'Implied Productivity Ratios'!$C69)/SUMIFS('MoodysData(Raw)'!AA$2:AA$180,'MoodysData(Raw)'!$B$2:$B$180,"=EMP",'MoodysData(Raw)'!$D$2:$D$180,"="&amp;'Implied Productivity Ratios'!$C69)</f>
        <v>88.38575030348305</v>
      </c>
      <c r="Y69">
        <f>SUMIFS('MoodysData(Raw)'!AB$2:AB$180,'MoodysData(Raw)'!$B$2:$B$180,"=GDP",'MoodysData(Raw)'!$D$2:$D$180,"="&amp;'Implied Productivity Ratios'!$C69)/SUMIFS('MoodysData(Raw)'!AB$2:AB$180,'MoodysData(Raw)'!$B$2:$B$180,"=EMP",'MoodysData(Raw)'!$D$2:$D$180,"="&amp;'Implied Productivity Ratios'!$C69)</f>
        <v>83.364667418263807</v>
      </c>
      <c r="Z69">
        <f>SUMIFS('MoodysData(Raw)'!AC$2:AC$180,'MoodysData(Raw)'!$B$2:$B$180,"=GDP",'MoodysData(Raw)'!$D$2:$D$180,"="&amp;'Implied Productivity Ratios'!$C69)/SUMIFS('MoodysData(Raw)'!AC$2:AC$180,'MoodysData(Raw)'!$B$2:$B$180,"=EMP",'MoodysData(Raw)'!$D$2:$D$180,"="&amp;'Implied Productivity Ratios'!$C69)</f>
        <v>84.877202061366617</v>
      </c>
      <c r="AA69">
        <f>SUMIFS('MoodysData(Raw)'!AD$2:AD$180,'MoodysData(Raw)'!$B$2:$B$180,"=GDP",'MoodysData(Raw)'!$D$2:$D$180,"="&amp;'Implied Productivity Ratios'!$C69)/SUMIFS('MoodysData(Raw)'!AD$2:AD$180,'MoodysData(Raw)'!$B$2:$B$180,"=EMP",'MoodysData(Raw)'!$D$2:$D$180,"="&amp;'Implied Productivity Ratios'!$C69)</f>
        <v>86.603062888278885</v>
      </c>
      <c r="AB69">
        <f>SUMIFS('MoodysData(Raw)'!AE$2:AE$180,'MoodysData(Raw)'!$B$2:$B$180,"=GDP",'MoodysData(Raw)'!$D$2:$D$180,"="&amp;'Implied Productivity Ratios'!$C69)/SUMIFS('MoodysData(Raw)'!AE$2:AE$180,'MoodysData(Raw)'!$B$2:$B$180,"=EMP",'MoodysData(Raw)'!$D$2:$D$180,"="&amp;'Implied Productivity Ratios'!$C69)</f>
        <v>88.204137849031923</v>
      </c>
      <c r="AC69">
        <f>SUMIFS('MoodysData(Raw)'!AF$2:AF$180,'MoodysData(Raw)'!$B$2:$B$180,"=GDP",'MoodysData(Raw)'!$D$2:$D$180,"="&amp;'Implied Productivity Ratios'!$C69)/SUMIFS('MoodysData(Raw)'!AF$2:AF$180,'MoodysData(Raw)'!$B$2:$B$180,"=EMP",'MoodysData(Raw)'!$D$2:$D$180,"="&amp;'Implied Productivity Ratios'!$C69)</f>
        <v>89.807648249264957</v>
      </c>
      <c r="AD69">
        <f>SUMIFS('MoodysData(Raw)'!AG$2:AG$180,'MoodysData(Raw)'!$B$2:$B$180,"=GDP",'MoodysData(Raw)'!$D$2:$D$180,"="&amp;'Implied Productivity Ratios'!$C69)/SUMIFS('MoodysData(Raw)'!AG$2:AG$180,'MoodysData(Raw)'!$B$2:$B$180,"=EMP",'MoodysData(Raw)'!$D$2:$D$180,"="&amp;'Implied Productivity Ratios'!$C69)</f>
        <v>91.517512812004568</v>
      </c>
      <c r="AE69">
        <f>SUMIFS('MoodysData(Raw)'!AH$2:AH$180,'MoodysData(Raw)'!$B$2:$B$180,"=GDP",'MoodysData(Raw)'!$D$2:$D$180,"="&amp;'Implied Productivity Ratios'!$C69)/SUMIFS('MoodysData(Raw)'!AH$2:AH$180,'MoodysData(Raw)'!$B$2:$B$180,"=EMP",'MoodysData(Raw)'!$D$2:$D$180,"="&amp;'Implied Productivity Ratios'!$C69)</f>
        <v>93.20398674647285</v>
      </c>
      <c r="AF69">
        <f>SUMIFS('MoodysData(Raw)'!AI$2:AI$180,'MoodysData(Raw)'!$B$2:$B$180,"=GDP",'MoodysData(Raw)'!$D$2:$D$180,"="&amp;'Implied Productivity Ratios'!$C69)/SUMIFS('MoodysData(Raw)'!AI$2:AI$180,'MoodysData(Raw)'!$B$2:$B$180,"=EMP",'MoodysData(Raw)'!$D$2:$D$180,"="&amp;'Implied Productivity Ratios'!$C69)</f>
        <v>94.895070556005436</v>
      </c>
      <c r="AG69">
        <f>SUMIFS('MoodysData(Raw)'!AJ$2:AJ$180,'MoodysData(Raw)'!$B$2:$B$180,"=GDP",'MoodysData(Raw)'!$D$2:$D$180,"="&amp;'Implied Productivity Ratios'!$C69)/SUMIFS('MoodysData(Raw)'!AJ$2:AJ$180,'MoodysData(Raw)'!$B$2:$B$180,"=EMP",'MoodysData(Raw)'!$D$2:$D$180,"="&amp;'Implied Productivity Ratios'!$C69)</f>
        <v>96.567844393287288</v>
      </c>
      <c r="AH69">
        <f>SUMIFS('MoodysData(Raw)'!AK$2:AK$180,'MoodysData(Raw)'!$B$2:$B$180,"=GDP",'MoodysData(Raw)'!$D$2:$D$180,"="&amp;'Implied Productivity Ratios'!$C69)/SUMIFS('MoodysData(Raw)'!AK$2:AK$180,'MoodysData(Raw)'!$B$2:$B$180,"=EMP",'MoodysData(Raw)'!$D$2:$D$180,"="&amp;'Implied Productivity Ratios'!$C69)</f>
        <v>98.092771843640406</v>
      </c>
      <c r="AI69">
        <f>SUMIFS('MoodysData(Raw)'!AL$2:AL$180,'MoodysData(Raw)'!$B$2:$B$180,"=GDP",'MoodysData(Raw)'!$D$2:$D$180,"="&amp;'Implied Productivity Ratios'!$C69)/SUMIFS('MoodysData(Raw)'!AL$2:AL$180,'MoodysData(Raw)'!$B$2:$B$180,"=EMP",'MoodysData(Raw)'!$D$2:$D$180,"="&amp;'Implied Productivity Ratios'!$C69)</f>
        <v>99.473064869946725</v>
      </c>
      <c r="AJ69">
        <f>SUMIFS('MoodysData(Raw)'!AM$2:AM$180,'MoodysData(Raw)'!$B$2:$B$180,"=GDP",'MoodysData(Raw)'!$D$2:$D$180,"="&amp;'Implied Productivity Ratios'!$C69)/SUMIFS('MoodysData(Raw)'!AM$2:AM$180,'MoodysData(Raw)'!$B$2:$B$180,"=EMP",'MoodysData(Raw)'!$D$2:$D$180,"="&amp;'Implied Productivity Ratios'!$C69)</f>
        <v>100.94181087009505</v>
      </c>
      <c r="AK69">
        <f>SUMIFS('MoodysData(Raw)'!AN$2:AN$180,'MoodysData(Raw)'!$B$2:$B$180,"=GDP",'MoodysData(Raw)'!$D$2:$D$180,"="&amp;'Implied Productivity Ratios'!$C69)/SUMIFS('MoodysData(Raw)'!AN$2:AN$180,'MoodysData(Raw)'!$B$2:$B$180,"=EMP",'MoodysData(Raw)'!$D$2:$D$180,"="&amp;'Implied Productivity Ratios'!$C69)</f>
        <v>102.61635818057577</v>
      </c>
      <c r="AL69">
        <f>SUMIFS('MoodysData(Raw)'!AO$2:AO$180,'MoodysData(Raw)'!$B$2:$B$180,"=GDP",'MoodysData(Raw)'!$D$2:$D$180,"="&amp;'Implied Productivity Ratios'!$C69)/SUMIFS('MoodysData(Raw)'!AO$2:AO$180,'MoodysData(Raw)'!$B$2:$B$180,"=EMP",'MoodysData(Raw)'!$D$2:$D$180,"="&amp;'Implied Productivity Ratios'!$C69)</f>
        <v>104.2797922951961</v>
      </c>
      <c r="AM69">
        <f>SUMIFS('MoodysData(Raw)'!AP$2:AP$180,'MoodysData(Raw)'!$B$2:$B$180,"=GDP",'MoodysData(Raw)'!$D$2:$D$180,"="&amp;'Implied Productivity Ratios'!$C69)/SUMIFS('MoodysData(Raw)'!AP$2:AP$180,'MoodysData(Raw)'!$B$2:$B$180,"=EMP",'MoodysData(Raw)'!$D$2:$D$180,"="&amp;'Implied Productivity Ratios'!$C69)</f>
        <v>105.85327364931864</v>
      </c>
      <c r="AN69">
        <f>SUMIFS('MoodysData(Raw)'!AQ$2:AQ$180,'MoodysData(Raw)'!$B$2:$B$180,"=GDP",'MoodysData(Raw)'!$D$2:$D$180,"="&amp;'Implied Productivity Ratios'!$C69)/SUMIFS('MoodysData(Raw)'!AQ$2:AQ$180,'MoodysData(Raw)'!$B$2:$B$180,"=EMP",'MoodysData(Raw)'!$D$2:$D$180,"="&amp;'Implied Productivity Ratios'!$C69)</f>
        <v>107.40336029696937</v>
      </c>
      <c r="AO69">
        <f>SUMIFS('MoodysData(Raw)'!AR$2:AR$180,'MoodysData(Raw)'!$B$2:$B$180,"=GDP",'MoodysData(Raw)'!$D$2:$D$180,"="&amp;'Implied Productivity Ratios'!$C69)/SUMIFS('MoodysData(Raw)'!AR$2:AR$180,'MoodysData(Raw)'!$B$2:$B$180,"=EMP",'MoodysData(Raw)'!$D$2:$D$180,"="&amp;'Implied Productivity Ratios'!$C69)</f>
        <v>108.90807028961927</v>
      </c>
      <c r="AP69">
        <f>SUMIFS('MoodysData(Raw)'!AS$2:AS$180,'MoodysData(Raw)'!$B$2:$B$180,"=GDP",'MoodysData(Raw)'!$D$2:$D$180,"="&amp;'Implied Productivity Ratios'!$C69)/SUMIFS('MoodysData(Raw)'!AS$2:AS$180,'MoodysData(Raw)'!$B$2:$B$180,"=EMP",'MoodysData(Raw)'!$D$2:$D$180,"="&amp;'Implied Productivity Ratios'!$C69)</f>
        <v>110.42546715929932</v>
      </c>
      <c r="AQ69">
        <f>SUMIFS('MoodysData(Raw)'!AT$2:AT$180,'MoodysData(Raw)'!$B$2:$B$180,"=GDP",'MoodysData(Raw)'!$D$2:$D$180,"="&amp;'Implied Productivity Ratios'!$C69)/SUMIFS('MoodysData(Raw)'!AT$2:AT$180,'MoodysData(Raw)'!$B$2:$B$180,"=EMP",'MoodysData(Raw)'!$D$2:$D$180,"="&amp;'Implied Productivity Ratios'!$C69)</f>
        <v>111.99775518460996</v>
      </c>
      <c r="AR69">
        <f>SUMIFS('MoodysData(Raw)'!AU$2:AU$180,'MoodysData(Raw)'!$B$2:$B$180,"=GDP",'MoodysData(Raw)'!$D$2:$D$180,"="&amp;'Implied Productivity Ratios'!$C69)/SUMIFS('MoodysData(Raw)'!AU$2:AU$180,'MoodysData(Raw)'!$B$2:$B$180,"=EMP",'MoodysData(Raw)'!$D$2:$D$180,"="&amp;'Implied Productivity Ratios'!$C69)</f>
        <v>113.61661830041861</v>
      </c>
      <c r="AS69">
        <f>SUMIFS('MoodysData(Raw)'!AV$2:AV$180,'MoodysData(Raw)'!$B$2:$B$180,"=GDP",'MoodysData(Raw)'!$D$2:$D$180,"="&amp;'Implied Productivity Ratios'!$C69)/SUMIFS('MoodysData(Raw)'!AV$2:AV$180,'MoodysData(Raw)'!$B$2:$B$180,"=EMP",'MoodysData(Raw)'!$D$2:$D$180,"="&amp;'Implied Productivity Ratios'!$C69)</f>
        <v>115.23679815794135</v>
      </c>
      <c r="AT69">
        <f>SUMIFS('MoodysData(Raw)'!AW$2:AW$180,'MoodysData(Raw)'!$B$2:$B$180,"=GDP",'MoodysData(Raw)'!$D$2:$D$180,"="&amp;'Implied Productivity Ratios'!$C69)/SUMIFS('MoodysData(Raw)'!AW$2:AW$180,'MoodysData(Raw)'!$B$2:$B$180,"=EMP",'MoodysData(Raw)'!$D$2:$D$180,"="&amp;'Implied Productivity Ratios'!$C69)</f>
        <v>116.85959130684442</v>
      </c>
      <c r="AU69">
        <f>SUMIFS('MoodysData(Raw)'!AX$2:AX$180,'MoodysData(Raw)'!$B$2:$B$180,"=GDP",'MoodysData(Raw)'!$D$2:$D$180,"="&amp;'Implied Productivity Ratios'!$C69)/SUMIFS('MoodysData(Raw)'!AX$2:AX$180,'MoodysData(Raw)'!$B$2:$B$180,"=EMP",'MoodysData(Raw)'!$D$2:$D$180,"="&amp;'Implied Productivity Ratios'!$C69)</f>
        <v>118.5576377408769</v>
      </c>
      <c r="AV69">
        <f>SUMIFS('MoodysData(Raw)'!AY$2:AY$180,'MoodysData(Raw)'!$B$2:$B$180,"=GDP",'MoodysData(Raw)'!$D$2:$D$180,"="&amp;'Implied Productivity Ratios'!$C69)/SUMIFS('MoodysData(Raw)'!AY$2:AY$180,'MoodysData(Raw)'!$B$2:$B$180,"=EMP",'MoodysData(Raw)'!$D$2:$D$180,"="&amp;'Implied Productivity Ratios'!$C69)</f>
        <v>120.32049763756457</v>
      </c>
      <c r="AW69">
        <f>SUMIFS('MoodysData(Raw)'!AZ$2:AZ$180,'MoodysData(Raw)'!$B$2:$B$180,"=GDP",'MoodysData(Raw)'!$D$2:$D$180,"="&amp;'Implied Productivity Ratios'!$C69)/SUMIFS('MoodysData(Raw)'!AZ$2:AZ$180,'MoodysData(Raw)'!$B$2:$B$180,"=EMP",'MoodysData(Raw)'!$D$2:$D$180,"="&amp;'Implied Productivity Ratios'!$C69)</f>
        <v>122.06608931249697</v>
      </c>
      <c r="AX69">
        <f>SUMIFS('MoodysData(Raw)'!BA$2:BA$180,'MoodysData(Raw)'!$B$2:$B$180,"=GDP",'MoodysData(Raw)'!$D$2:$D$180,"="&amp;'Implied Productivity Ratios'!$C69)/SUMIFS('MoodysData(Raw)'!BA$2:BA$180,'MoodysData(Raw)'!$B$2:$B$180,"=EMP",'MoodysData(Raw)'!$D$2:$D$180,"="&amp;'Implied Productivity Ratios'!$C69)</f>
        <v>123.79881465129392</v>
      </c>
      <c r="AY69">
        <f>SUMIFS('MoodysData(Raw)'!BB$2:BB$180,'MoodysData(Raw)'!$B$2:$B$180,"=GDP",'MoodysData(Raw)'!$D$2:$D$180,"="&amp;'Implied Productivity Ratios'!$C69)/SUMIFS('MoodysData(Raw)'!BB$2:BB$180,'MoodysData(Raw)'!$B$2:$B$180,"=EMP",'MoodysData(Raw)'!$D$2:$D$180,"="&amp;'Implied Productivity Ratios'!$C69)</f>
        <v>125.51555333166542</v>
      </c>
      <c r="AZ69">
        <f>SUMIFS('MoodysData(Raw)'!BC$2:BC$180,'MoodysData(Raw)'!$B$2:$B$180,"=GDP",'MoodysData(Raw)'!$D$2:$D$180,"="&amp;'Implied Productivity Ratios'!$C69)/SUMIFS('MoodysData(Raw)'!BC$2:BC$180,'MoodysData(Raw)'!$B$2:$B$180,"=EMP",'MoodysData(Raw)'!$D$2:$D$180,"="&amp;'Implied Productivity Ratios'!$C69)</f>
        <v>127.26152369895632</v>
      </c>
      <c r="BA69">
        <f>SUMIFS('MoodysData(Raw)'!BD$2:BD$180,'MoodysData(Raw)'!$B$2:$B$180,"=GDP",'MoodysData(Raw)'!$D$2:$D$180,"="&amp;'Implied Productivity Ratios'!$C69)/SUMIFS('MoodysData(Raw)'!BD$2:BD$180,'MoodysData(Raw)'!$B$2:$B$180,"=EMP",'MoodysData(Raw)'!$D$2:$D$180,"="&amp;'Implied Productivity Ratios'!$C69)</f>
        <v>129.08754204780172</v>
      </c>
      <c r="BB69">
        <f>SUMIFS('MoodysData(Raw)'!BE$2:BE$180,'MoodysData(Raw)'!$B$2:$B$180,"=GDP",'MoodysData(Raw)'!$D$2:$D$180,"="&amp;'Implied Productivity Ratios'!$C69)/SUMIFS('MoodysData(Raw)'!BE$2:BE$180,'MoodysData(Raw)'!$B$2:$B$180,"=EMP",'MoodysData(Raw)'!$D$2:$D$180,"="&amp;'Implied Productivity Ratios'!$C69)</f>
        <v>130.98163181148749</v>
      </c>
      <c r="BC69">
        <f>SUMIFS('MoodysData(Raw)'!BF$2:BF$180,'MoodysData(Raw)'!$B$2:$B$180,"=GDP",'MoodysData(Raw)'!$D$2:$D$180,"="&amp;'Implied Productivity Ratios'!$C69)/SUMIFS('MoodysData(Raw)'!BF$2:BF$180,'MoodysData(Raw)'!$B$2:$B$180,"=EMP",'MoodysData(Raw)'!$D$2:$D$180,"="&amp;'Implied Productivity Ratios'!$C69)</f>
        <v>132.94827058102823</v>
      </c>
      <c r="BD69" s="5">
        <f t="shared" ref="BD69:BH69" si="63">BC69+($BC69-$AX69)/5</f>
        <v>134.77816176697507</v>
      </c>
      <c r="BE69" s="5">
        <f t="shared" si="63"/>
        <v>136.60805295292192</v>
      </c>
      <c r="BF69" s="5">
        <f t="shared" si="63"/>
        <v>138.43794413886877</v>
      </c>
      <c r="BG69" s="5">
        <f t="shared" si="63"/>
        <v>140.26783532481562</v>
      </c>
      <c r="BH69" s="5">
        <f t="shared" si="63"/>
        <v>142.09772651076247</v>
      </c>
    </row>
    <row r="70" spans="3:60">
      <c r="C70">
        <v>531</v>
      </c>
      <c r="D70" t="s">
        <v>390</v>
      </c>
      <c r="E70">
        <f>SUMIFS('MoodysData(Raw)'!H$2:H$180,'MoodysData(Raw)'!$B$2:$B$180,"=GDP",'MoodysData(Raw)'!$D$2:$D$180,"="&amp;'Implied Productivity Ratios'!$C70)/SUMIFS('MoodysData(Raw)'!H$2:H$180,'MoodysData(Raw)'!$B$2:$B$180,"=EMP",'MoodysData(Raw)'!$D$2:$D$180,"="&amp;'Implied Productivity Ratios'!$C70)</f>
        <v>1260.4754787868362</v>
      </c>
      <c r="F70">
        <f>SUMIFS('MoodysData(Raw)'!I$2:I$180,'MoodysData(Raw)'!$B$2:$B$180,"=GDP",'MoodysData(Raw)'!$D$2:$D$180,"="&amp;'Implied Productivity Ratios'!$C70)/SUMIFS('MoodysData(Raw)'!I$2:I$180,'MoodysData(Raw)'!$B$2:$B$180,"=EMP",'MoodysData(Raw)'!$D$2:$D$180,"="&amp;'Implied Productivity Ratios'!$C70)</f>
        <v>1229.0498537057254</v>
      </c>
      <c r="G70">
        <f>SUMIFS('MoodysData(Raw)'!J$2:J$180,'MoodysData(Raw)'!$B$2:$B$180,"=GDP",'MoodysData(Raw)'!$D$2:$D$180,"="&amp;'Implied Productivity Ratios'!$C70)/SUMIFS('MoodysData(Raw)'!J$2:J$180,'MoodysData(Raw)'!$B$2:$B$180,"=EMP",'MoodysData(Raw)'!$D$2:$D$180,"="&amp;'Implied Productivity Ratios'!$C70)</f>
        <v>1319.3216049769178</v>
      </c>
      <c r="H70">
        <f>SUMIFS('MoodysData(Raw)'!K$2:K$180,'MoodysData(Raw)'!$B$2:$B$180,"=GDP",'MoodysData(Raw)'!$D$2:$D$180,"="&amp;'Implied Productivity Ratios'!$C70)/SUMIFS('MoodysData(Raw)'!K$2:K$180,'MoodysData(Raw)'!$B$2:$B$180,"=EMP",'MoodysData(Raw)'!$D$2:$D$180,"="&amp;'Implied Productivity Ratios'!$C70)</f>
        <v>1395.7623620185861</v>
      </c>
      <c r="I70">
        <f>SUMIFS('MoodysData(Raw)'!L$2:L$180,'MoodysData(Raw)'!$B$2:$B$180,"=GDP",'MoodysData(Raw)'!$D$2:$D$180,"="&amp;'Implied Productivity Ratios'!$C70)/SUMIFS('MoodysData(Raw)'!L$2:L$180,'MoodysData(Raw)'!$B$2:$B$180,"=EMP",'MoodysData(Raw)'!$D$2:$D$180,"="&amp;'Implied Productivity Ratios'!$C70)</f>
        <v>1442.5736576411198</v>
      </c>
      <c r="J70">
        <f>SUMIFS('MoodysData(Raw)'!M$2:M$180,'MoodysData(Raw)'!$B$2:$B$180,"=GDP",'MoodysData(Raw)'!$D$2:$D$180,"="&amp;'Implied Productivity Ratios'!$C70)/SUMIFS('MoodysData(Raw)'!M$2:M$180,'MoodysData(Raw)'!$B$2:$B$180,"=EMP",'MoodysData(Raw)'!$D$2:$D$180,"="&amp;'Implied Productivity Ratios'!$C70)</f>
        <v>1531.2362174453021</v>
      </c>
      <c r="K70">
        <f>SUMIFS('MoodysData(Raw)'!N$2:N$180,'MoodysData(Raw)'!$B$2:$B$180,"=GDP",'MoodysData(Raw)'!$D$2:$D$180,"="&amp;'Implied Productivity Ratios'!$C70)/SUMIFS('MoodysData(Raw)'!N$2:N$180,'MoodysData(Raw)'!$B$2:$B$180,"=EMP",'MoodysData(Raw)'!$D$2:$D$180,"="&amp;'Implied Productivity Ratios'!$C70)</f>
        <v>1560.4803114426134</v>
      </c>
      <c r="L70">
        <f>SUMIFS('MoodysData(Raw)'!O$2:O$180,'MoodysData(Raw)'!$B$2:$B$180,"=GDP",'MoodysData(Raw)'!$D$2:$D$180,"="&amp;'Implied Productivity Ratios'!$C70)/SUMIFS('MoodysData(Raw)'!O$2:O$180,'MoodysData(Raw)'!$B$2:$B$180,"=EMP",'MoodysData(Raw)'!$D$2:$D$180,"="&amp;'Implied Productivity Ratios'!$C70)</f>
        <v>1555.1760766428599</v>
      </c>
      <c r="M70">
        <f>SUMIFS('MoodysData(Raw)'!P$2:P$180,'MoodysData(Raw)'!$B$2:$B$180,"=GDP",'MoodysData(Raw)'!$D$2:$D$180,"="&amp;'Implied Productivity Ratios'!$C70)/SUMIFS('MoodysData(Raw)'!P$2:P$180,'MoodysData(Raw)'!$B$2:$B$180,"=EMP",'MoodysData(Raw)'!$D$2:$D$180,"="&amp;'Implied Productivity Ratios'!$C70)</f>
        <v>1554.7082353310018</v>
      </c>
      <c r="N70">
        <f>SUMIFS('MoodysData(Raw)'!Q$2:Q$180,'MoodysData(Raw)'!$B$2:$B$180,"=GDP",'MoodysData(Raw)'!$D$2:$D$180,"="&amp;'Implied Productivity Ratios'!$C70)/SUMIFS('MoodysData(Raw)'!Q$2:Q$180,'MoodysData(Raw)'!$B$2:$B$180,"=EMP",'MoodysData(Raw)'!$D$2:$D$180,"="&amp;'Implied Productivity Ratios'!$C70)</f>
        <v>1520.6863359033371</v>
      </c>
      <c r="O70">
        <f>SUMIFS('MoodysData(Raw)'!R$2:R$180,'MoodysData(Raw)'!$B$2:$B$180,"=GDP",'MoodysData(Raw)'!$D$2:$D$180,"="&amp;'Implied Productivity Ratios'!$C70)/SUMIFS('MoodysData(Raw)'!R$2:R$180,'MoodysData(Raw)'!$B$2:$B$180,"=EMP",'MoodysData(Raw)'!$D$2:$D$180,"="&amp;'Implied Productivity Ratios'!$C70)</f>
        <v>1467.8180232392378</v>
      </c>
      <c r="P70">
        <f>SUMIFS('MoodysData(Raw)'!S$2:S$180,'MoodysData(Raw)'!$B$2:$B$180,"=GDP",'MoodysData(Raw)'!$D$2:$D$180,"="&amp;'Implied Productivity Ratios'!$C70)/SUMIFS('MoodysData(Raw)'!S$2:S$180,'MoodysData(Raw)'!$B$2:$B$180,"=EMP",'MoodysData(Raw)'!$D$2:$D$180,"="&amp;'Implied Productivity Ratios'!$C70)</f>
        <v>1436.3387660364192</v>
      </c>
      <c r="Q70">
        <f>SUMIFS('MoodysData(Raw)'!T$2:T$180,'MoodysData(Raw)'!$B$2:$B$180,"=GDP",'MoodysData(Raw)'!$D$2:$D$180,"="&amp;'Implied Productivity Ratios'!$C70)/SUMIFS('MoodysData(Raw)'!T$2:T$180,'MoodysData(Raw)'!$B$2:$B$180,"=EMP",'MoodysData(Raw)'!$D$2:$D$180,"="&amp;'Implied Productivity Ratios'!$C70)</f>
        <v>1420.7739567776966</v>
      </c>
      <c r="R70">
        <f>SUMIFS('MoodysData(Raw)'!U$2:U$180,'MoodysData(Raw)'!$B$2:$B$180,"=GDP",'MoodysData(Raw)'!$D$2:$D$180,"="&amp;'Implied Productivity Ratios'!$C70)/SUMIFS('MoodysData(Raw)'!U$2:U$180,'MoodysData(Raw)'!$B$2:$B$180,"=EMP",'MoodysData(Raw)'!$D$2:$D$180,"="&amp;'Implied Productivity Ratios'!$C70)</f>
        <v>1431.009555135975</v>
      </c>
      <c r="S70">
        <f>SUMIFS('MoodysData(Raw)'!V$2:V$180,'MoodysData(Raw)'!$B$2:$B$180,"=GDP",'MoodysData(Raw)'!$D$2:$D$180,"="&amp;'Implied Productivity Ratios'!$C70)/SUMIFS('MoodysData(Raw)'!V$2:V$180,'MoodysData(Raw)'!$B$2:$B$180,"=EMP",'MoodysData(Raw)'!$D$2:$D$180,"="&amp;'Implied Productivity Ratios'!$C70)</f>
        <v>1409.8281782944609</v>
      </c>
      <c r="T70">
        <f>SUMIFS('MoodysData(Raw)'!W$2:W$180,'MoodysData(Raw)'!$B$2:$B$180,"=GDP",'MoodysData(Raw)'!$D$2:$D$180,"="&amp;'Implied Productivity Ratios'!$C70)/SUMIFS('MoodysData(Raw)'!W$2:W$180,'MoodysData(Raw)'!$B$2:$B$180,"=EMP",'MoodysData(Raw)'!$D$2:$D$180,"="&amp;'Implied Productivity Ratios'!$C70)</f>
        <v>1450.1329583120723</v>
      </c>
      <c r="U70">
        <f>SUMIFS('MoodysData(Raw)'!X$2:X$180,'MoodysData(Raw)'!$B$2:$B$180,"=GDP",'MoodysData(Raw)'!$D$2:$D$180,"="&amp;'Implied Productivity Ratios'!$C70)/SUMIFS('MoodysData(Raw)'!X$2:X$180,'MoodysData(Raw)'!$B$2:$B$180,"=EMP",'MoodysData(Raw)'!$D$2:$D$180,"="&amp;'Implied Productivity Ratios'!$C70)</f>
        <v>1486.2167005054609</v>
      </c>
      <c r="V70">
        <f>SUMIFS('MoodysData(Raw)'!Y$2:Y$180,'MoodysData(Raw)'!$B$2:$B$180,"=GDP",'MoodysData(Raw)'!$D$2:$D$180,"="&amp;'Implied Productivity Ratios'!$C70)/SUMIFS('MoodysData(Raw)'!Y$2:Y$180,'MoodysData(Raw)'!$B$2:$B$180,"=EMP",'MoodysData(Raw)'!$D$2:$D$180,"="&amp;'Implied Productivity Ratios'!$C70)</f>
        <v>1515.427751216117</v>
      </c>
      <c r="W70">
        <f>SUMIFS('MoodysData(Raw)'!Z$2:Z$180,'MoodysData(Raw)'!$B$2:$B$180,"=GDP",'MoodysData(Raw)'!$D$2:$D$180,"="&amp;'Implied Productivity Ratios'!$C70)/SUMIFS('MoodysData(Raw)'!Z$2:Z$180,'MoodysData(Raw)'!$B$2:$B$180,"=EMP",'MoodysData(Raw)'!$D$2:$D$180,"="&amp;'Implied Productivity Ratios'!$C70)</f>
        <v>1523.4441287310215</v>
      </c>
      <c r="X70">
        <f>SUMIFS('MoodysData(Raw)'!AA$2:AA$180,'MoodysData(Raw)'!$B$2:$B$180,"=GDP",'MoodysData(Raw)'!$D$2:$D$180,"="&amp;'Implied Productivity Ratios'!$C70)/SUMIFS('MoodysData(Raw)'!AA$2:AA$180,'MoodysData(Raw)'!$B$2:$B$180,"=EMP",'MoodysData(Raw)'!$D$2:$D$180,"="&amp;'Implied Productivity Ratios'!$C70)</f>
        <v>1529.6373428192453</v>
      </c>
      <c r="Y70">
        <f>SUMIFS('MoodysData(Raw)'!AB$2:AB$180,'MoodysData(Raw)'!$B$2:$B$180,"=GDP",'MoodysData(Raw)'!$D$2:$D$180,"="&amp;'Implied Productivity Ratios'!$C70)/SUMIFS('MoodysData(Raw)'!AB$2:AB$180,'MoodysData(Raw)'!$B$2:$B$180,"=EMP",'MoodysData(Raw)'!$D$2:$D$180,"="&amp;'Implied Productivity Ratios'!$C70)</f>
        <v>1541.297895504739</v>
      </c>
      <c r="Z70">
        <f>SUMIFS('MoodysData(Raw)'!AC$2:AC$180,'MoodysData(Raw)'!$B$2:$B$180,"=GDP",'MoodysData(Raw)'!$D$2:$D$180,"="&amp;'Implied Productivity Ratios'!$C70)/SUMIFS('MoodysData(Raw)'!AC$2:AC$180,'MoodysData(Raw)'!$B$2:$B$180,"=EMP",'MoodysData(Raw)'!$D$2:$D$180,"="&amp;'Implied Productivity Ratios'!$C70)</f>
        <v>1552.9871981933227</v>
      </c>
      <c r="AA70">
        <f>SUMIFS('MoodysData(Raw)'!AD$2:AD$180,'MoodysData(Raw)'!$B$2:$B$180,"=GDP",'MoodysData(Raw)'!$D$2:$D$180,"="&amp;'Implied Productivity Ratios'!$C70)/SUMIFS('MoodysData(Raw)'!AD$2:AD$180,'MoodysData(Raw)'!$B$2:$B$180,"=EMP",'MoodysData(Raw)'!$D$2:$D$180,"="&amp;'Implied Productivity Ratios'!$C70)</f>
        <v>1570.8469885762133</v>
      </c>
      <c r="AB70">
        <f>SUMIFS('MoodysData(Raw)'!AE$2:AE$180,'MoodysData(Raw)'!$B$2:$B$180,"=GDP",'MoodysData(Raw)'!$D$2:$D$180,"="&amp;'Implied Productivity Ratios'!$C70)/SUMIFS('MoodysData(Raw)'!AE$2:AE$180,'MoodysData(Raw)'!$B$2:$B$180,"=EMP",'MoodysData(Raw)'!$D$2:$D$180,"="&amp;'Implied Productivity Ratios'!$C70)</f>
        <v>1594.7068393299378</v>
      </c>
      <c r="AC70">
        <f>SUMIFS('MoodysData(Raw)'!AF$2:AF$180,'MoodysData(Raw)'!$B$2:$B$180,"=GDP",'MoodysData(Raw)'!$D$2:$D$180,"="&amp;'Implied Productivity Ratios'!$C70)/SUMIFS('MoodysData(Raw)'!AF$2:AF$180,'MoodysData(Raw)'!$B$2:$B$180,"=EMP",'MoodysData(Raw)'!$D$2:$D$180,"="&amp;'Implied Productivity Ratios'!$C70)</f>
        <v>1623.0345345856331</v>
      </c>
      <c r="AD70">
        <f>SUMIFS('MoodysData(Raw)'!AG$2:AG$180,'MoodysData(Raw)'!$B$2:$B$180,"=GDP",'MoodysData(Raw)'!$D$2:$D$180,"="&amp;'Implied Productivity Ratios'!$C70)/SUMIFS('MoodysData(Raw)'!AG$2:AG$180,'MoodysData(Raw)'!$B$2:$B$180,"=EMP",'MoodysData(Raw)'!$D$2:$D$180,"="&amp;'Implied Productivity Ratios'!$C70)</f>
        <v>1654.8939346591269</v>
      </c>
      <c r="AE70">
        <f>SUMIFS('MoodysData(Raw)'!AH$2:AH$180,'MoodysData(Raw)'!$B$2:$B$180,"=GDP",'MoodysData(Raw)'!$D$2:$D$180,"="&amp;'Implied Productivity Ratios'!$C70)/SUMIFS('MoodysData(Raw)'!AH$2:AH$180,'MoodysData(Raw)'!$B$2:$B$180,"=EMP",'MoodysData(Raw)'!$D$2:$D$180,"="&amp;'Implied Productivity Ratios'!$C70)</f>
        <v>1687.7740600975653</v>
      </c>
      <c r="AF70">
        <f>SUMIFS('MoodysData(Raw)'!AI$2:AI$180,'MoodysData(Raw)'!$B$2:$B$180,"=GDP",'MoodysData(Raw)'!$D$2:$D$180,"="&amp;'Implied Productivity Ratios'!$C70)/SUMIFS('MoodysData(Raw)'!AI$2:AI$180,'MoodysData(Raw)'!$B$2:$B$180,"=EMP",'MoodysData(Raw)'!$D$2:$D$180,"="&amp;'Implied Productivity Ratios'!$C70)</f>
        <v>1721.3513977473301</v>
      </c>
      <c r="AG70">
        <f>SUMIFS('MoodysData(Raw)'!AJ$2:AJ$180,'MoodysData(Raw)'!$B$2:$B$180,"=GDP",'MoodysData(Raw)'!$D$2:$D$180,"="&amp;'Implied Productivity Ratios'!$C70)/SUMIFS('MoodysData(Raw)'!AJ$2:AJ$180,'MoodysData(Raw)'!$B$2:$B$180,"=EMP",'MoodysData(Raw)'!$D$2:$D$180,"="&amp;'Implied Productivity Ratios'!$C70)</f>
        <v>1756.1718392808712</v>
      </c>
      <c r="AH70">
        <f>SUMIFS('MoodysData(Raw)'!AK$2:AK$180,'MoodysData(Raw)'!$B$2:$B$180,"=GDP",'MoodysData(Raw)'!$D$2:$D$180,"="&amp;'Implied Productivity Ratios'!$C70)/SUMIFS('MoodysData(Raw)'!AK$2:AK$180,'MoodysData(Raw)'!$B$2:$B$180,"=EMP",'MoodysData(Raw)'!$D$2:$D$180,"="&amp;'Implied Productivity Ratios'!$C70)</f>
        <v>1789.5687056928953</v>
      </c>
      <c r="AI70">
        <f>SUMIFS('MoodysData(Raw)'!AL$2:AL$180,'MoodysData(Raw)'!$B$2:$B$180,"=GDP",'MoodysData(Raw)'!$D$2:$D$180,"="&amp;'Implied Productivity Ratios'!$C70)/SUMIFS('MoodysData(Raw)'!AL$2:AL$180,'MoodysData(Raw)'!$B$2:$B$180,"=EMP",'MoodysData(Raw)'!$D$2:$D$180,"="&amp;'Implied Productivity Ratios'!$C70)</f>
        <v>1821.3535958286946</v>
      </c>
      <c r="AJ70">
        <f>SUMIFS('MoodysData(Raw)'!AM$2:AM$180,'MoodysData(Raw)'!$B$2:$B$180,"=GDP",'MoodysData(Raw)'!$D$2:$D$180,"="&amp;'Implied Productivity Ratios'!$C70)/SUMIFS('MoodysData(Raw)'!AM$2:AM$180,'MoodysData(Raw)'!$B$2:$B$180,"=EMP",'MoodysData(Raw)'!$D$2:$D$180,"="&amp;'Implied Productivity Ratios'!$C70)</f>
        <v>1853.7070653918563</v>
      </c>
      <c r="AK70">
        <f>SUMIFS('MoodysData(Raw)'!AN$2:AN$180,'MoodysData(Raw)'!$B$2:$B$180,"=GDP",'MoodysData(Raw)'!$D$2:$D$180,"="&amp;'Implied Productivity Ratios'!$C70)/SUMIFS('MoodysData(Raw)'!AN$2:AN$180,'MoodysData(Raw)'!$B$2:$B$180,"=EMP",'MoodysData(Raw)'!$D$2:$D$180,"="&amp;'Implied Productivity Ratios'!$C70)</f>
        <v>1887.4344005863322</v>
      </c>
      <c r="AL70">
        <f>SUMIFS('MoodysData(Raw)'!AO$2:AO$180,'MoodysData(Raw)'!$B$2:$B$180,"=GDP",'MoodysData(Raw)'!$D$2:$D$180,"="&amp;'Implied Productivity Ratios'!$C70)/SUMIFS('MoodysData(Raw)'!AO$2:AO$180,'MoodysData(Raw)'!$B$2:$B$180,"=EMP",'MoodysData(Raw)'!$D$2:$D$180,"="&amp;'Implied Productivity Ratios'!$C70)</f>
        <v>1922.0683968860828</v>
      </c>
      <c r="AM70">
        <f>SUMIFS('MoodysData(Raw)'!AP$2:AP$180,'MoodysData(Raw)'!$B$2:$B$180,"=GDP",'MoodysData(Raw)'!$D$2:$D$180,"="&amp;'Implied Productivity Ratios'!$C70)/SUMIFS('MoodysData(Raw)'!AP$2:AP$180,'MoodysData(Raw)'!$B$2:$B$180,"=EMP",'MoodysData(Raw)'!$D$2:$D$180,"="&amp;'Implied Productivity Ratios'!$C70)</f>
        <v>1956.6578850577455</v>
      </c>
      <c r="AN70">
        <f>SUMIFS('MoodysData(Raw)'!AQ$2:AQ$180,'MoodysData(Raw)'!$B$2:$B$180,"=GDP",'MoodysData(Raw)'!$D$2:$D$180,"="&amp;'Implied Productivity Ratios'!$C70)/SUMIFS('MoodysData(Raw)'!AQ$2:AQ$180,'MoodysData(Raw)'!$B$2:$B$180,"=EMP",'MoodysData(Raw)'!$D$2:$D$180,"="&amp;'Implied Productivity Ratios'!$C70)</f>
        <v>1991.4989335770115</v>
      </c>
      <c r="AO70">
        <f>SUMIFS('MoodysData(Raw)'!AR$2:AR$180,'MoodysData(Raw)'!$B$2:$B$180,"=GDP",'MoodysData(Raw)'!$D$2:$D$180,"="&amp;'Implied Productivity Ratios'!$C70)/SUMIFS('MoodysData(Raw)'!AR$2:AR$180,'MoodysData(Raw)'!$B$2:$B$180,"=EMP",'MoodysData(Raw)'!$D$2:$D$180,"="&amp;'Implied Productivity Ratios'!$C70)</f>
        <v>2026.3887255533637</v>
      </c>
      <c r="AP70">
        <f>SUMIFS('MoodysData(Raw)'!AS$2:AS$180,'MoodysData(Raw)'!$B$2:$B$180,"=GDP",'MoodysData(Raw)'!$D$2:$D$180,"="&amp;'Implied Productivity Ratios'!$C70)/SUMIFS('MoodysData(Raw)'!AS$2:AS$180,'MoodysData(Raw)'!$B$2:$B$180,"=EMP",'MoodysData(Raw)'!$D$2:$D$180,"="&amp;'Implied Productivity Ratios'!$C70)</f>
        <v>2061.3269491515362</v>
      </c>
      <c r="AQ70">
        <f>SUMIFS('MoodysData(Raw)'!AT$2:AT$180,'MoodysData(Raw)'!$B$2:$B$180,"=GDP",'MoodysData(Raw)'!$D$2:$D$180,"="&amp;'Implied Productivity Ratios'!$C70)/SUMIFS('MoodysData(Raw)'!AT$2:AT$180,'MoodysData(Raw)'!$B$2:$B$180,"=EMP",'MoodysData(Raw)'!$D$2:$D$180,"="&amp;'Implied Productivity Ratios'!$C70)</f>
        <v>2096.5896496149708</v>
      </c>
      <c r="AR70">
        <f>SUMIFS('MoodysData(Raw)'!AU$2:AU$180,'MoodysData(Raw)'!$B$2:$B$180,"=GDP",'MoodysData(Raw)'!$D$2:$D$180,"="&amp;'Implied Productivity Ratios'!$C70)/SUMIFS('MoodysData(Raw)'!AU$2:AU$180,'MoodysData(Raw)'!$B$2:$B$180,"=EMP",'MoodysData(Raw)'!$D$2:$D$180,"="&amp;'Implied Productivity Ratios'!$C70)</f>
        <v>2132.8307946343357</v>
      </c>
      <c r="AS70">
        <f>SUMIFS('MoodysData(Raw)'!AV$2:AV$180,'MoodysData(Raw)'!$B$2:$B$180,"=GDP",'MoodysData(Raw)'!$D$2:$D$180,"="&amp;'Implied Productivity Ratios'!$C70)/SUMIFS('MoodysData(Raw)'!AV$2:AV$180,'MoodysData(Raw)'!$B$2:$B$180,"=EMP",'MoodysData(Raw)'!$D$2:$D$180,"="&amp;'Implied Productivity Ratios'!$C70)</f>
        <v>2170.1379041294795</v>
      </c>
      <c r="AT70">
        <f>SUMIFS('MoodysData(Raw)'!AW$2:AW$180,'MoodysData(Raw)'!$B$2:$B$180,"=GDP",'MoodysData(Raw)'!$D$2:$D$180,"="&amp;'Implied Productivity Ratios'!$C70)/SUMIFS('MoodysData(Raw)'!AW$2:AW$180,'MoodysData(Raw)'!$B$2:$B$180,"=EMP",'MoodysData(Raw)'!$D$2:$D$180,"="&amp;'Implied Productivity Ratios'!$C70)</f>
        <v>2207.9820850093151</v>
      </c>
      <c r="AU70">
        <f>SUMIFS('MoodysData(Raw)'!AX$2:AX$180,'MoodysData(Raw)'!$B$2:$B$180,"=GDP",'MoodysData(Raw)'!$D$2:$D$180,"="&amp;'Implied Productivity Ratios'!$C70)/SUMIFS('MoodysData(Raw)'!AX$2:AX$180,'MoodysData(Raw)'!$B$2:$B$180,"=EMP",'MoodysData(Raw)'!$D$2:$D$180,"="&amp;'Implied Productivity Ratios'!$C70)</f>
        <v>2246.756800975345</v>
      </c>
      <c r="AV70">
        <f>SUMIFS('MoodysData(Raw)'!AY$2:AY$180,'MoodysData(Raw)'!$B$2:$B$180,"=GDP",'MoodysData(Raw)'!$D$2:$D$180,"="&amp;'Implied Productivity Ratios'!$C70)/SUMIFS('MoodysData(Raw)'!AY$2:AY$180,'MoodysData(Raw)'!$B$2:$B$180,"=EMP",'MoodysData(Raw)'!$D$2:$D$180,"="&amp;'Implied Productivity Ratios'!$C70)</f>
        <v>2287.1825632248633</v>
      </c>
      <c r="AW70">
        <f>SUMIFS('MoodysData(Raw)'!AZ$2:AZ$180,'MoodysData(Raw)'!$B$2:$B$180,"=GDP",'MoodysData(Raw)'!$D$2:$D$180,"="&amp;'Implied Productivity Ratios'!$C70)/SUMIFS('MoodysData(Raw)'!AZ$2:AZ$180,'MoodysData(Raw)'!$B$2:$B$180,"=EMP",'MoodysData(Raw)'!$D$2:$D$180,"="&amp;'Implied Productivity Ratios'!$C70)</f>
        <v>2327.6697730870455</v>
      </c>
      <c r="AX70">
        <f>SUMIFS('MoodysData(Raw)'!BA$2:BA$180,'MoodysData(Raw)'!$B$2:$B$180,"=GDP",'MoodysData(Raw)'!$D$2:$D$180,"="&amp;'Implied Productivity Ratios'!$C70)/SUMIFS('MoodysData(Raw)'!BA$2:BA$180,'MoodysData(Raw)'!$B$2:$B$180,"=EMP",'MoodysData(Raw)'!$D$2:$D$180,"="&amp;'Implied Productivity Ratios'!$C70)</f>
        <v>2368.2381000644032</v>
      </c>
      <c r="AY70">
        <f>SUMIFS('MoodysData(Raw)'!BB$2:BB$180,'MoodysData(Raw)'!$B$2:$B$180,"=GDP",'MoodysData(Raw)'!$D$2:$D$180,"="&amp;'Implied Productivity Ratios'!$C70)/SUMIFS('MoodysData(Raw)'!BB$2:BB$180,'MoodysData(Raw)'!$B$2:$B$180,"=EMP",'MoodysData(Raw)'!$D$2:$D$180,"="&amp;'Implied Productivity Ratios'!$C70)</f>
        <v>2408.8065244188952</v>
      </c>
      <c r="AZ70">
        <f>SUMIFS('MoodysData(Raw)'!BC$2:BC$180,'MoodysData(Raw)'!$B$2:$B$180,"=GDP",'MoodysData(Raw)'!$D$2:$D$180,"="&amp;'Implied Productivity Ratios'!$C70)/SUMIFS('MoodysData(Raw)'!BC$2:BC$180,'MoodysData(Raw)'!$B$2:$B$180,"=EMP",'MoodysData(Raw)'!$D$2:$D$180,"="&amp;'Implied Productivity Ratios'!$C70)</f>
        <v>2450.616383572728</v>
      </c>
      <c r="BA70">
        <f>SUMIFS('MoodysData(Raw)'!BD$2:BD$180,'MoodysData(Raw)'!$B$2:$B$180,"=GDP",'MoodysData(Raw)'!$D$2:$D$180,"="&amp;'Implied Productivity Ratios'!$C70)/SUMIFS('MoodysData(Raw)'!BD$2:BD$180,'MoodysData(Raw)'!$B$2:$B$180,"=EMP",'MoodysData(Raw)'!$D$2:$D$180,"="&amp;'Implied Productivity Ratios'!$C70)</f>
        <v>2495.1243537507121</v>
      </c>
      <c r="BB70">
        <f>SUMIFS('MoodysData(Raw)'!BE$2:BE$180,'MoodysData(Raw)'!$B$2:$B$180,"=GDP",'MoodysData(Raw)'!$D$2:$D$180,"="&amp;'Implied Productivity Ratios'!$C70)/SUMIFS('MoodysData(Raw)'!BE$2:BE$180,'MoodysData(Raw)'!$B$2:$B$180,"=EMP",'MoodysData(Raw)'!$D$2:$D$180,"="&amp;'Implied Productivity Ratios'!$C70)</f>
        <v>2542.4869732216557</v>
      </c>
      <c r="BC70">
        <f>SUMIFS('MoodysData(Raw)'!BF$2:BF$180,'MoodysData(Raw)'!$B$2:$B$180,"=GDP",'MoodysData(Raw)'!$D$2:$D$180,"="&amp;'Implied Productivity Ratios'!$C70)/SUMIFS('MoodysData(Raw)'!BF$2:BF$180,'MoodysData(Raw)'!$B$2:$B$180,"=EMP",'MoodysData(Raw)'!$D$2:$D$180,"="&amp;'Implied Productivity Ratios'!$C70)</f>
        <v>2592.9963464878451</v>
      </c>
      <c r="BD70" s="5">
        <f t="shared" ref="BD70:BH70" si="64">BC70+($BC70-$AX70)/5</f>
        <v>2637.9479957725334</v>
      </c>
      <c r="BE70" s="5">
        <f t="shared" si="64"/>
        <v>2682.8996450572217</v>
      </c>
      <c r="BF70" s="5">
        <f t="shared" si="64"/>
        <v>2727.85129434191</v>
      </c>
      <c r="BG70" s="5">
        <f t="shared" si="64"/>
        <v>2772.8029436265983</v>
      </c>
      <c r="BH70" s="5">
        <f t="shared" si="64"/>
        <v>2817.7545929112866</v>
      </c>
    </row>
    <row r="71" spans="3:60">
      <c r="C71">
        <v>532</v>
      </c>
      <c r="D71" t="s">
        <v>394</v>
      </c>
      <c r="E71">
        <f>SUMIFS('MoodysData(Raw)'!H$2:H$180,'MoodysData(Raw)'!$B$2:$B$180,"=GDP",'MoodysData(Raw)'!$D$2:$D$180,"="&amp;'Implied Productivity Ratios'!$C71)/SUMIFS('MoodysData(Raw)'!H$2:H$180,'MoodysData(Raw)'!$B$2:$B$180,"=EMP",'MoodysData(Raw)'!$D$2:$D$180,"="&amp;'Implied Productivity Ratios'!$C71)</f>
        <v>229.31476731859118</v>
      </c>
      <c r="F71">
        <f>SUMIFS('MoodysData(Raw)'!I$2:I$180,'MoodysData(Raw)'!$B$2:$B$180,"=GDP",'MoodysData(Raw)'!$D$2:$D$180,"="&amp;'Implied Productivity Ratios'!$C71)/SUMIFS('MoodysData(Raw)'!I$2:I$180,'MoodysData(Raw)'!$B$2:$B$180,"=EMP",'MoodysData(Raw)'!$D$2:$D$180,"="&amp;'Implied Productivity Ratios'!$C71)</f>
        <v>262.38402580928067</v>
      </c>
      <c r="G71">
        <f>SUMIFS('MoodysData(Raw)'!J$2:J$180,'MoodysData(Raw)'!$B$2:$B$180,"=GDP",'MoodysData(Raw)'!$D$2:$D$180,"="&amp;'Implied Productivity Ratios'!$C71)/SUMIFS('MoodysData(Raw)'!J$2:J$180,'MoodysData(Raw)'!$B$2:$B$180,"=EMP",'MoodysData(Raw)'!$D$2:$D$180,"="&amp;'Implied Productivity Ratios'!$C71)</f>
        <v>252.40356825870111</v>
      </c>
      <c r="H71">
        <f>SUMIFS('MoodysData(Raw)'!K$2:K$180,'MoodysData(Raw)'!$B$2:$B$180,"=GDP",'MoodysData(Raw)'!$D$2:$D$180,"="&amp;'Implied Productivity Ratios'!$C71)/SUMIFS('MoodysData(Raw)'!K$2:K$180,'MoodysData(Raw)'!$B$2:$B$180,"=EMP",'MoodysData(Raw)'!$D$2:$D$180,"="&amp;'Implied Productivity Ratios'!$C71)</f>
        <v>275.84709793600217</v>
      </c>
      <c r="I71">
        <f>SUMIFS('MoodysData(Raw)'!L$2:L$180,'MoodysData(Raw)'!$B$2:$B$180,"=GDP",'MoodysData(Raw)'!$D$2:$D$180,"="&amp;'Implied Productivity Ratios'!$C71)/SUMIFS('MoodysData(Raw)'!L$2:L$180,'MoodysData(Raw)'!$B$2:$B$180,"=EMP",'MoodysData(Raw)'!$D$2:$D$180,"="&amp;'Implied Productivity Ratios'!$C71)</f>
        <v>272.27913739369768</v>
      </c>
      <c r="J71">
        <f>SUMIFS('MoodysData(Raw)'!M$2:M$180,'MoodysData(Raw)'!$B$2:$B$180,"=GDP",'MoodysData(Raw)'!$D$2:$D$180,"="&amp;'Implied Productivity Ratios'!$C71)/SUMIFS('MoodysData(Raw)'!M$2:M$180,'MoodysData(Raw)'!$B$2:$B$180,"=EMP",'MoodysData(Raw)'!$D$2:$D$180,"="&amp;'Implied Productivity Ratios'!$C71)</f>
        <v>288.47222473661219</v>
      </c>
      <c r="K71">
        <f>SUMIFS('MoodysData(Raw)'!N$2:N$180,'MoodysData(Raw)'!$B$2:$B$180,"=GDP",'MoodysData(Raw)'!$D$2:$D$180,"="&amp;'Implied Productivity Ratios'!$C71)/SUMIFS('MoodysData(Raw)'!N$2:N$180,'MoodysData(Raw)'!$B$2:$B$180,"=EMP",'MoodysData(Raw)'!$D$2:$D$180,"="&amp;'Implied Productivity Ratios'!$C71)</f>
        <v>296.08415359223687</v>
      </c>
      <c r="L71">
        <f>SUMIFS('MoodysData(Raw)'!O$2:O$180,'MoodysData(Raw)'!$B$2:$B$180,"=GDP",'MoodysData(Raw)'!$D$2:$D$180,"="&amp;'Implied Productivity Ratios'!$C71)/SUMIFS('MoodysData(Raw)'!O$2:O$180,'MoodysData(Raw)'!$B$2:$B$180,"=EMP",'MoodysData(Raw)'!$D$2:$D$180,"="&amp;'Implied Productivity Ratios'!$C71)</f>
        <v>305.68831589758008</v>
      </c>
      <c r="M71">
        <f>SUMIFS('MoodysData(Raw)'!P$2:P$180,'MoodysData(Raw)'!$B$2:$B$180,"=GDP",'MoodysData(Raw)'!$D$2:$D$180,"="&amp;'Implied Productivity Ratios'!$C71)/SUMIFS('MoodysData(Raw)'!P$2:P$180,'MoodysData(Raw)'!$B$2:$B$180,"=EMP",'MoodysData(Raw)'!$D$2:$D$180,"="&amp;'Implied Productivity Ratios'!$C71)</f>
        <v>312.42718218646854</v>
      </c>
      <c r="N71">
        <f>SUMIFS('MoodysData(Raw)'!Q$2:Q$180,'MoodysData(Raw)'!$B$2:$B$180,"=GDP",'MoodysData(Raw)'!$D$2:$D$180,"="&amp;'Implied Productivity Ratios'!$C71)/SUMIFS('MoodysData(Raw)'!Q$2:Q$180,'MoodysData(Raw)'!$B$2:$B$180,"=EMP",'MoodysData(Raw)'!$D$2:$D$180,"="&amp;'Implied Productivity Ratios'!$C71)</f>
        <v>311.80946255298136</v>
      </c>
      <c r="O71">
        <f>SUMIFS('MoodysData(Raw)'!R$2:R$180,'MoodysData(Raw)'!$B$2:$B$180,"=GDP",'MoodysData(Raw)'!$D$2:$D$180,"="&amp;'Implied Productivity Ratios'!$C71)/SUMIFS('MoodysData(Raw)'!R$2:R$180,'MoodysData(Raw)'!$B$2:$B$180,"=EMP",'MoodysData(Raw)'!$D$2:$D$180,"="&amp;'Implied Productivity Ratios'!$C71)</f>
        <v>329.54222002526495</v>
      </c>
      <c r="P71">
        <f>SUMIFS('MoodysData(Raw)'!S$2:S$180,'MoodysData(Raw)'!$B$2:$B$180,"=GDP",'MoodysData(Raw)'!$D$2:$D$180,"="&amp;'Implied Productivity Ratios'!$C71)/SUMIFS('MoodysData(Raw)'!S$2:S$180,'MoodysData(Raw)'!$B$2:$B$180,"=EMP",'MoodysData(Raw)'!$D$2:$D$180,"="&amp;'Implied Productivity Ratios'!$C71)</f>
        <v>346.7654598638324</v>
      </c>
      <c r="Q71">
        <f>SUMIFS('MoodysData(Raw)'!T$2:T$180,'MoodysData(Raw)'!$B$2:$B$180,"=GDP",'MoodysData(Raw)'!$D$2:$D$180,"="&amp;'Implied Productivity Ratios'!$C71)/SUMIFS('MoodysData(Raw)'!T$2:T$180,'MoodysData(Raw)'!$B$2:$B$180,"=EMP",'MoodysData(Raw)'!$D$2:$D$180,"="&amp;'Implied Productivity Ratios'!$C71)</f>
        <v>347.73803776495458</v>
      </c>
      <c r="R71">
        <f>SUMIFS('MoodysData(Raw)'!U$2:U$180,'MoodysData(Raw)'!$B$2:$B$180,"=GDP",'MoodysData(Raw)'!$D$2:$D$180,"="&amp;'Implied Productivity Ratios'!$C71)/SUMIFS('MoodysData(Raw)'!U$2:U$180,'MoodysData(Raw)'!$B$2:$B$180,"=EMP",'MoodysData(Raw)'!$D$2:$D$180,"="&amp;'Implied Productivity Ratios'!$C71)</f>
        <v>365.81121526238377</v>
      </c>
      <c r="S71">
        <f>SUMIFS('MoodysData(Raw)'!V$2:V$180,'MoodysData(Raw)'!$B$2:$B$180,"=GDP",'MoodysData(Raw)'!$D$2:$D$180,"="&amp;'Implied Productivity Ratios'!$C71)/SUMIFS('MoodysData(Raw)'!V$2:V$180,'MoodysData(Raw)'!$B$2:$B$180,"=EMP",'MoodysData(Raw)'!$D$2:$D$180,"="&amp;'Implied Productivity Ratios'!$C71)</f>
        <v>378.42869074426289</v>
      </c>
      <c r="T71">
        <f>SUMIFS('MoodysData(Raw)'!W$2:W$180,'MoodysData(Raw)'!$B$2:$B$180,"=GDP",'MoodysData(Raw)'!$D$2:$D$180,"="&amp;'Implied Productivity Ratios'!$C71)/SUMIFS('MoodysData(Raw)'!W$2:W$180,'MoodysData(Raw)'!$B$2:$B$180,"=EMP",'MoodysData(Raw)'!$D$2:$D$180,"="&amp;'Implied Productivity Ratios'!$C71)</f>
        <v>454.20386246284318</v>
      </c>
      <c r="U71">
        <f>SUMIFS('MoodysData(Raw)'!X$2:X$180,'MoodysData(Raw)'!$B$2:$B$180,"=GDP",'MoodysData(Raw)'!$D$2:$D$180,"="&amp;'Implied Productivity Ratios'!$C71)/SUMIFS('MoodysData(Raw)'!X$2:X$180,'MoodysData(Raw)'!$B$2:$B$180,"=EMP",'MoodysData(Raw)'!$D$2:$D$180,"="&amp;'Implied Productivity Ratios'!$C71)</f>
        <v>491.77198763488661</v>
      </c>
      <c r="V71">
        <f>SUMIFS('MoodysData(Raw)'!Y$2:Y$180,'MoodysData(Raw)'!$B$2:$B$180,"=GDP",'MoodysData(Raw)'!$D$2:$D$180,"="&amp;'Implied Productivity Ratios'!$C71)/SUMIFS('MoodysData(Raw)'!Y$2:Y$180,'MoodysData(Raw)'!$B$2:$B$180,"=EMP",'MoodysData(Raw)'!$D$2:$D$180,"="&amp;'Implied Productivity Ratios'!$C71)</f>
        <v>469.35850760941133</v>
      </c>
      <c r="W71">
        <f>SUMIFS('MoodysData(Raw)'!Z$2:Z$180,'MoodysData(Raw)'!$B$2:$B$180,"=GDP",'MoodysData(Raw)'!$D$2:$D$180,"="&amp;'Implied Productivity Ratios'!$C71)/SUMIFS('MoodysData(Raw)'!Z$2:Z$180,'MoodysData(Raw)'!$B$2:$B$180,"=EMP",'MoodysData(Raw)'!$D$2:$D$180,"="&amp;'Implied Productivity Ratios'!$C71)</f>
        <v>481.46457080526699</v>
      </c>
      <c r="X71">
        <f>SUMIFS('MoodysData(Raw)'!AA$2:AA$180,'MoodysData(Raw)'!$B$2:$B$180,"=GDP",'MoodysData(Raw)'!$D$2:$D$180,"="&amp;'Implied Productivity Ratios'!$C71)/SUMIFS('MoodysData(Raw)'!AA$2:AA$180,'MoodysData(Raw)'!$B$2:$B$180,"=EMP",'MoodysData(Raw)'!$D$2:$D$180,"="&amp;'Implied Productivity Ratios'!$C71)</f>
        <v>496.37706097880135</v>
      </c>
      <c r="Y71">
        <f>SUMIFS('MoodysData(Raw)'!AB$2:AB$180,'MoodysData(Raw)'!$B$2:$B$180,"=GDP",'MoodysData(Raw)'!$D$2:$D$180,"="&amp;'Implied Productivity Ratios'!$C71)/SUMIFS('MoodysData(Raw)'!AB$2:AB$180,'MoodysData(Raw)'!$B$2:$B$180,"=EMP",'MoodysData(Raw)'!$D$2:$D$180,"="&amp;'Implied Productivity Ratios'!$C71)</f>
        <v>513.76652430813397</v>
      </c>
      <c r="Z71">
        <f>SUMIFS('MoodysData(Raw)'!AC$2:AC$180,'MoodysData(Raw)'!$B$2:$B$180,"=GDP",'MoodysData(Raw)'!$D$2:$D$180,"="&amp;'Implied Productivity Ratios'!$C71)/SUMIFS('MoodysData(Raw)'!AC$2:AC$180,'MoodysData(Raw)'!$B$2:$B$180,"=EMP",'MoodysData(Raw)'!$D$2:$D$180,"="&amp;'Implied Productivity Ratios'!$C71)</f>
        <v>531.11590484909129</v>
      </c>
      <c r="AA71">
        <f>SUMIFS('MoodysData(Raw)'!AD$2:AD$180,'MoodysData(Raw)'!$B$2:$B$180,"=GDP",'MoodysData(Raw)'!$D$2:$D$180,"="&amp;'Implied Productivity Ratios'!$C71)/SUMIFS('MoodysData(Raw)'!AD$2:AD$180,'MoodysData(Raw)'!$B$2:$B$180,"=EMP",'MoodysData(Raw)'!$D$2:$D$180,"="&amp;'Implied Productivity Ratios'!$C71)</f>
        <v>550.75039717157097</v>
      </c>
      <c r="AB71">
        <f>SUMIFS('MoodysData(Raw)'!AE$2:AE$180,'MoodysData(Raw)'!$B$2:$B$180,"=GDP",'MoodysData(Raw)'!$D$2:$D$180,"="&amp;'Implied Productivity Ratios'!$C71)/SUMIFS('MoodysData(Raw)'!AE$2:AE$180,'MoodysData(Raw)'!$B$2:$B$180,"=EMP",'MoodysData(Raw)'!$D$2:$D$180,"="&amp;'Implied Productivity Ratios'!$C71)</f>
        <v>572.70565735381376</v>
      </c>
      <c r="AC71">
        <f>SUMIFS('MoodysData(Raw)'!AF$2:AF$180,'MoodysData(Raw)'!$B$2:$B$180,"=GDP",'MoodysData(Raw)'!$D$2:$D$180,"="&amp;'Implied Productivity Ratios'!$C71)/SUMIFS('MoodysData(Raw)'!AF$2:AF$180,'MoodysData(Raw)'!$B$2:$B$180,"=EMP",'MoodysData(Raw)'!$D$2:$D$180,"="&amp;'Implied Productivity Ratios'!$C71)</f>
        <v>596.54262986178537</v>
      </c>
      <c r="AD71">
        <f>SUMIFS('MoodysData(Raw)'!AG$2:AG$180,'MoodysData(Raw)'!$B$2:$B$180,"=GDP",'MoodysData(Raw)'!$D$2:$D$180,"="&amp;'Implied Productivity Ratios'!$C71)/SUMIFS('MoodysData(Raw)'!AG$2:AG$180,'MoodysData(Raw)'!$B$2:$B$180,"=EMP",'MoodysData(Raw)'!$D$2:$D$180,"="&amp;'Implied Productivity Ratios'!$C71)</f>
        <v>622.01944302724144</v>
      </c>
      <c r="AE71">
        <f>SUMIFS('MoodysData(Raw)'!AH$2:AH$180,'MoodysData(Raw)'!$B$2:$B$180,"=GDP",'MoodysData(Raw)'!$D$2:$D$180,"="&amp;'Implied Productivity Ratios'!$C71)/SUMIFS('MoodysData(Raw)'!AH$2:AH$180,'MoodysData(Raw)'!$B$2:$B$180,"=EMP",'MoodysData(Raw)'!$D$2:$D$180,"="&amp;'Implied Productivity Ratios'!$C71)</f>
        <v>648.20366612407304</v>
      </c>
      <c r="AF71">
        <f>SUMIFS('MoodysData(Raw)'!AI$2:AI$180,'MoodysData(Raw)'!$B$2:$B$180,"=GDP",'MoodysData(Raw)'!$D$2:$D$180,"="&amp;'Implied Productivity Ratios'!$C71)/SUMIFS('MoodysData(Raw)'!AI$2:AI$180,'MoodysData(Raw)'!$B$2:$B$180,"=EMP",'MoodysData(Raw)'!$D$2:$D$180,"="&amp;'Implied Productivity Ratios'!$C71)</f>
        <v>674.95105825643896</v>
      </c>
      <c r="AG71">
        <f>SUMIFS('MoodysData(Raw)'!AJ$2:AJ$180,'MoodysData(Raw)'!$B$2:$B$180,"=GDP",'MoodysData(Raw)'!$D$2:$D$180,"="&amp;'Implied Productivity Ratios'!$C71)/SUMIFS('MoodysData(Raw)'!AJ$2:AJ$180,'MoodysData(Raw)'!$B$2:$B$180,"=EMP",'MoodysData(Raw)'!$D$2:$D$180,"="&amp;'Implied Productivity Ratios'!$C71)</f>
        <v>702.45848723360598</v>
      </c>
      <c r="AH71">
        <f>SUMIFS('MoodysData(Raw)'!AK$2:AK$180,'MoodysData(Raw)'!$B$2:$B$180,"=GDP",'MoodysData(Raw)'!$D$2:$D$180,"="&amp;'Implied Productivity Ratios'!$C71)/SUMIFS('MoodysData(Raw)'!AK$2:AK$180,'MoodysData(Raw)'!$B$2:$B$180,"=EMP",'MoodysData(Raw)'!$D$2:$D$180,"="&amp;'Implied Productivity Ratios'!$C71)</f>
        <v>729.62459281587178</v>
      </c>
      <c r="AI71">
        <f>SUMIFS('MoodysData(Raw)'!AL$2:AL$180,'MoodysData(Raw)'!$B$2:$B$180,"=GDP",'MoodysData(Raw)'!$D$2:$D$180,"="&amp;'Implied Productivity Ratios'!$C71)/SUMIFS('MoodysData(Raw)'!AL$2:AL$180,'MoodysData(Raw)'!$B$2:$B$180,"=EMP",'MoodysData(Raw)'!$D$2:$D$180,"="&amp;'Implied Productivity Ratios'!$C71)</f>
        <v>756.27281260587756</v>
      </c>
      <c r="AJ71">
        <f>SUMIFS('MoodysData(Raw)'!AM$2:AM$180,'MoodysData(Raw)'!$B$2:$B$180,"=GDP",'MoodysData(Raw)'!$D$2:$D$180,"="&amp;'Implied Productivity Ratios'!$C71)/SUMIFS('MoodysData(Raw)'!AM$2:AM$180,'MoodysData(Raw)'!$B$2:$B$180,"=EMP",'MoodysData(Raw)'!$D$2:$D$180,"="&amp;'Implied Productivity Ratios'!$C71)</f>
        <v>783.24470797862546</v>
      </c>
      <c r="AK71">
        <f>SUMIFS('MoodysData(Raw)'!AN$2:AN$180,'MoodysData(Raw)'!$B$2:$B$180,"=GDP",'MoodysData(Raw)'!$D$2:$D$180,"="&amp;'Implied Productivity Ratios'!$C71)/SUMIFS('MoodysData(Raw)'!AN$2:AN$180,'MoodysData(Raw)'!$B$2:$B$180,"=EMP",'MoodysData(Raw)'!$D$2:$D$180,"="&amp;'Implied Productivity Ratios'!$C71)</f>
        <v>810.82985865790431</v>
      </c>
      <c r="AL71">
        <f>SUMIFS('MoodysData(Raw)'!AO$2:AO$180,'MoodysData(Raw)'!$B$2:$B$180,"=GDP",'MoodysData(Raw)'!$D$2:$D$180,"="&amp;'Implied Productivity Ratios'!$C71)/SUMIFS('MoodysData(Raw)'!AO$2:AO$180,'MoodysData(Raw)'!$B$2:$B$180,"=EMP",'MoodysData(Raw)'!$D$2:$D$180,"="&amp;'Implied Productivity Ratios'!$C71)</f>
        <v>838.78457395327666</v>
      </c>
      <c r="AM71">
        <f>SUMIFS('MoodysData(Raw)'!AP$2:AP$180,'MoodysData(Raw)'!$B$2:$B$180,"=GDP",'MoodysData(Raw)'!$D$2:$D$180,"="&amp;'Implied Productivity Ratios'!$C71)/SUMIFS('MoodysData(Raw)'!AP$2:AP$180,'MoodysData(Raw)'!$B$2:$B$180,"=EMP",'MoodysData(Raw)'!$D$2:$D$180,"="&amp;'Implied Productivity Ratios'!$C71)</f>
        <v>866.66493301455273</v>
      </c>
      <c r="AN71">
        <f>SUMIFS('MoodysData(Raw)'!AQ$2:AQ$180,'MoodysData(Raw)'!$B$2:$B$180,"=GDP",'MoodysData(Raw)'!$D$2:$D$180,"="&amp;'Implied Productivity Ratios'!$C71)/SUMIFS('MoodysData(Raw)'!AQ$2:AQ$180,'MoodysData(Raw)'!$B$2:$B$180,"=EMP",'MoodysData(Raw)'!$D$2:$D$180,"="&amp;'Implied Productivity Ratios'!$C71)</f>
        <v>894.52861828314963</v>
      </c>
      <c r="AO71">
        <f>SUMIFS('MoodysData(Raw)'!AR$2:AR$180,'MoodysData(Raw)'!$B$2:$B$180,"=GDP",'MoodysData(Raw)'!$D$2:$D$180,"="&amp;'Implied Productivity Ratios'!$C71)/SUMIFS('MoodysData(Raw)'!AR$2:AR$180,'MoodysData(Raw)'!$B$2:$B$180,"=EMP",'MoodysData(Raw)'!$D$2:$D$180,"="&amp;'Implied Productivity Ratios'!$C71)</f>
        <v>922.22081862123343</v>
      </c>
      <c r="AP71">
        <f>SUMIFS('MoodysData(Raw)'!AS$2:AS$180,'MoodysData(Raw)'!$B$2:$B$180,"=GDP",'MoodysData(Raw)'!$D$2:$D$180,"="&amp;'Implied Productivity Ratios'!$C71)/SUMIFS('MoodysData(Raw)'!AS$2:AS$180,'MoodysData(Raw)'!$B$2:$B$180,"=EMP",'MoodysData(Raw)'!$D$2:$D$180,"="&amp;'Implied Productivity Ratios'!$C71)</f>
        <v>949.68835571932016</v>
      </c>
      <c r="AQ71">
        <f>SUMIFS('MoodysData(Raw)'!AT$2:AT$180,'MoodysData(Raw)'!$B$2:$B$180,"=GDP",'MoodysData(Raw)'!$D$2:$D$180,"="&amp;'Implied Productivity Ratios'!$C71)/SUMIFS('MoodysData(Raw)'!AT$2:AT$180,'MoodysData(Raw)'!$B$2:$B$180,"=EMP",'MoodysData(Raw)'!$D$2:$D$180,"="&amp;'Implied Productivity Ratios'!$C71)</f>
        <v>977.00646845907283</v>
      </c>
      <c r="AR71">
        <f>SUMIFS('MoodysData(Raw)'!AU$2:AU$180,'MoodysData(Raw)'!$B$2:$B$180,"=GDP",'MoodysData(Raw)'!$D$2:$D$180,"="&amp;'Implied Productivity Ratios'!$C71)/SUMIFS('MoodysData(Raw)'!AU$2:AU$180,'MoodysData(Raw)'!$B$2:$B$180,"=EMP",'MoodysData(Raw)'!$D$2:$D$180,"="&amp;'Implied Productivity Ratios'!$C71)</f>
        <v>1004.4166004758049</v>
      </c>
      <c r="AS71">
        <f>SUMIFS('MoodysData(Raw)'!AV$2:AV$180,'MoodysData(Raw)'!$B$2:$B$180,"=GDP",'MoodysData(Raw)'!$D$2:$D$180,"="&amp;'Implied Productivity Ratios'!$C71)/SUMIFS('MoodysData(Raw)'!AV$2:AV$180,'MoodysData(Raw)'!$B$2:$B$180,"=EMP",'MoodysData(Raw)'!$D$2:$D$180,"="&amp;'Implied Productivity Ratios'!$C71)</f>
        <v>1031.9186394757357</v>
      </c>
      <c r="AT71">
        <f>SUMIFS('MoodysData(Raw)'!AW$2:AW$180,'MoodysData(Raw)'!$B$2:$B$180,"=GDP",'MoodysData(Raw)'!$D$2:$D$180,"="&amp;'Implied Productivity Ratios'!$C71)/SUMIFS('MoodysData(Raw)'!AW$2:AW$180,'MoodysData(Raw)'!$B$2:$B$180,"=EMP",'MoodysData(Raw)'!$D$2:$D$180,"="&amp;'Implied Productivity Ratios'!$C71)</f>
        <v>1059.2076183580866</v>
      </c>
      <c r="AU71">
        <f>SUMIFS('MoodysData(Raw)'!AX$2:AX$180,'MoodysData(Raw)'!$B$2:$B$180,"=GDP",'MoodysData(Raw)'!$D$2:$D$180,"="&amp;'Implied Productivity Ratios'!$C71)/SUMIFS('MoodysData(Raw)'!AX$2:AX$180,'MoodysData(Raw)'!$B$2:$B$180,"=EMP",'MoodysData(Raw)'!$D$2:$D$180,"="&amp;'Implied Productivity Ratios'!$C71)</f>
        <v>1086.4129556542182</v>
      </c>
      <c r="AV71">
        <f>SUMIFS('MoodysData(Raw)'!AY$2:AY$180,'MoodysData(Raw)'!$B$2:$B$180,"=GDP",'MoodysData(Raw)'!$D$2:$D$180,"="&amp;'Implied Productivity Ratios'!$C71)/SUMIFS('MoodysData(Raw)'!AY$2:AY$180,'MoodysData(Raw)'!$B$2:$B$180,"=EMP",'MoodysData(Raw)'!$D$2:$D$180,"="&amp;'Implied Productivity Ratios'!$C71)</f>
        <v>1113.8212393583269</v>
      </c>
      <c r="AW71">
        <f>SUMIFS('MoodysData(Raw)'!AZ$2:AZ$180,'MoodysData(Raw)'!$B$2:$B$180,"=GDP",'MoodysData(Raw)'!$D$2:$D$180,"="&amp;'Implied Productivity Ratios'!$C71)/SUMIFS('MoodysData(Raw)'!AZ$2:AZ$180,'MoodysData(Raw)'!$B$2:$B$180,"=EMP",'MoodysData(Raw)'!$D$2:$D$180,"="&amp;'Implied Productivity Ratios'!$C71)</f>
        <v>1140.6027667329033</v>
      </c>
      <c r="AX71">
        <f>SUMIFS('MoodysData(Raw)'!BA$2:BA$180,'MoodysData(Raw)'!$B$2:$B$180,"=GDP",'MoodysData(Raw)'!$D$2:$D$180,"="&amp;'Implied Productivity Ratios'!$C71)/SUMIFS('MoodysData(Raw)'!BA$2:BA$180,'MoodysData(Raw)'!$B$2:$B$180,"=EMP",'MoodysData(Raw)'!$D$2:$D$180,"="&amp;'Implied Productivity Ratios'!$C71)</f>
        <v>1166.7151621898163</v>
      </c>
      <c r="AY71">
        <f>SUMIFS('MoodysData(Raw)'!BB$2:BB$180,'MoodysData(Raw)'!$B$2:$B$180,"=GDP",'MoodysData(Raw)'!$D$2:$D$180,"="&amp;'Implied Productivity Ratios'!$C71)/SUMIFS('MoodysData(Raw)'!BB$2:BB$180,'MoodysData(Raw)'!$B$2:$B$180,"=EMP",'MoodysData(Raw)'!$D$2:$D$180,"="&amp;'Implied Productivity Ratios'!$C71)</f>
        <v>1192.0424941523154</v>
      </c>
      <c r="AZ71">
        <f>SUMIFS('MoodysData(Raw)'!BC$2:BC$180,'MoodysData(Raw)'!$B$2:$B$180,"=GDP",'MoodysData(Raw)'!$D$2:$D$180,"="&amp;'Implied Productivity Ratios'!$C71)/SUMIFS('MoodysData(Raw)'!BC$2:BC$180,'MoodysData(Raw)'!$B$2:$B$180,"=EMP",'MoodysData(Raw)'!$D$2:$D$180,"="&amp;'Implied Productivity Ratios'!$C71)</f>
        <v>1217.1338256825677</v>
      </c>
      <c r="BA71">
        <f>SUMIFS('MoodysData(Raw)'!BD$2:BD$180,'MoodysData(Raw)'!$B$2:$B$180,"=GDP",'MoodysData(Raw)'!$D$2:$D$180,"="&amp;'Implied Productivity Ratios'!$C71)/SUMIFS('MoodysData(Raw)'!BD$2:BD$180,'MoodysData(Raw)'!$B$2:$B$180,"=EMP",'MoodysData(Raw)'!$D$2:$D$180,"="&amp;'Implied Productivity Ratios'!$C71)</f>
        <v>1242.6775905509346</v>
      </c>
      <c r="BB71">
        <f>SUMIFS('MoodysData(Raw)'!BE$2:BE$180,'MoodysData(Raw)'!$B$2:$B$180,"=GDP",'MoodysData(Raw)'!$D$2:$D$180,"="&amp;'Implied Productivity Ratios'!$C71)/SUMIFS('MoodysData(Raw)'!BE$2:BE$180,'MoodysData(Raw)'!$B$2:$B$180,"=EMP",'MoodysData(Raw)'!$D$2:$D$180,"="&amp;'Implied Productivity Ratios'!$C71)</f>
        <v>1268.6731995041623</v>
      </c>
      <c r="BC71">
        <f>SUMIFS('MoodysData(Raw)'!BF$2:BF$180,'MoodysData(Raw)'!$B$2:$B$180,"=GDP",'MoodysData(Raw)'!$D$2:$D$180,"="&amp;'Implied Productivity Ratios'!$C71)/SUMIFS('MoodysData(Raw)'!BF$2:BF$180,'MoodysData(Raw)'!$B$2:$B$180,"=EMP",'MoodysData(Raw)'!$D$2:$D$180,"="&amp;'Implied Productivity Ratios'!$C71)</f>
        <v>1295.2132002988569</v>
      </c>
      <c r="BD71" s="5">
        <f t="shared" ref="BD71:BH71" si="65">BC71+($BC71-$AX71)/5</f>
        <v>1320.912807920665</v>
      </c>
      <c r="BE71" s="5">
        <f t="shared" si="65"/>
        <v>1346.6124155424732</v>
      </c>
      <c r="BF71" s="5">
        <f t="shared" si="65"/>
        <v>1372.3120231642813</v>
      </c>
      <c r="BG71" s="5">
        <f t="shared" si="65"/>
        <v>1398.0116307860894</v>
      </c>
      <c r="BH71" s="5">
        <f t="shared" si="65"/>
        <v>1423.7112384078976</v>
      </c>
    </row>
    <row r="72" spans="3:60">
      <c r="C72">
        <v>533</v>
      </c>
      <c r="D72" t="s">
        <v>398</v>
      </c>
      <c r="E72">
        <f>SUMIFS('MoodysData(Raw)'!H$2:H$180,'MoodysData(Raw)'!$B$2:$B$180,"=GDP",'MoodysData(Raw)'!$D$2:$D$180,"="&amp;'Implied Productivity Ratios'!$C72)/SUMIFS('MoodysData(Raw)'!H$2:H$180,'MoodysData(Raw)'!$B$2:$B$180,"=EMP",'MoodysData(Raw)'!$D$2:$D$180,"="&amp;'Implied Productivity Ratios'!$C72)</f>
        <v>595.36991068807924</v>
      </c>
      <c r="F72">
        <f>SUMIFS('MoodysData(Raw)'!I$2:I$180,'MoodysData(Raw)'!$B$2:$B$180,"=GDP",'MoodysData(Raw)'!$D$2:$D$180,"="&amp;'Implied Productivity Ratios'!$C72)/SUMIFS('MoodysData(Raw)'!I$2:I$180,'MoodysData(Raw)'!$B$2:$B$180,"=EMP",'MoodysData(Raw)'!$D$2:$D$180,"="&amp;'Implied Productivity Ratios'!$C72)</f>
        <v>698.79274632608792</v>
      </c>
      <c r="G72">
        <f>SUMIFS('MoodysData(Raw)'!J$2:J$180,'MoodysData(Raw)'!$B$2:$B$180,"=GDP",'MoodysData(Raw)'!$D$2:$D$180,"="&amp;'Implied Productivity Ratios'!$C72)/SUMIFS('MoodysData(Raw)'!J$2:J$180,'MoodysData(Raw)'!$B$2:$B$180,"=EMP",'MoodysData(Raw)'!$D$2:$D$180,"="&amp;'Implied Productivity Ratios'!$C72)</f>
        <v>646.52676624949538</v>
      </c>
      <c r="H72">
        <f>SUMIFS('MoodysData(Raw)'!K$2:K$180,'MoodysData(Raw)'!$B$2:$B$180,"=GDP",'MoodysData(Raw)'!$D$2:$D$180,"="&amp;'Implied Productivity Ratios'!$C72)/SUMIFS('MoodysData(Raw)'!K$2:K$180,'MoodysData(Raw)'!$B$2:$B$180,"=EMP",'MoodysData(Raw)'!$D$2:$D$180,"="&amp;'Implied Productivity Ratios'!$C72)</f>
        <v>664.89567707073149</v>
      </c>
      <c r="I72">
        <f>SUMIFS('MoodysData(Raw)'!L$2:L$180,'MoodysData(Raw)'!$B$2:$B$180,"=GDP",'MoodysData(Raw)'!$D$2:$D$180,"="&amp;'Implied Productivity Ratios'!$C72)/SUMIFS('MoodysData(Raw)'!L$2:L$180,'MoodysData(Raw)'!$B$2:$B$180,"=EMP",'MoodysData(Raw)'!$D$2:$D$180,"="&amp;'Implied Productivity Ratios'!$C72)</f>
        <v>654.30724946695091</v>
      </c>
      <c r="J72">
        <f>SUMIFS('MoodysData(Raw)'!M$2:M$180,'MoodysData(Raw)'!$B$2:$B$180,"=GDP",'MoodysData(Raw)'!$D$2:$D$180,"="&amp;'Implied Productivity Ratios'!$C72)/SUMIFS('MoodysData(Raw)'!M$2:M$180,'MoodysData(Raw)'!$B$2:$B$180,"=EMP",'MoodysData(Raw)'!$D$2:$D$180,"="&amp;'Implied Productivity Ratios'!$C72)</f>
        <v>658.20782093249579</v>
      </c>
      <c r="K72">
        <f>SUMIFS('MoodysData(Raw)'!N$2:N$180,'MoodysData(Raw)'!$B$2:$B$180,"=GDP",'MoodysData(Raw)'!$D$2:$D$180,"="&amp;'Implied Productivity Ratios'!$C72)/SUMIFS('MoodysData(Raw)'!N$2:N$180,'MoodysData(Raw)'!$B$2:$B$180,"=EMP",'MoodysData(Raw)'!$D$2:$D$180,"="&amp;'Implied Productivity Ratios'!$C72)</f>
        <v>630.24957964099076</v>
      </c>
      <c r="L72">
        <f>SUMIFS('MoodysData(Raw)'!O$2:O$180,'MoodysData(Raw)'!$B$2:$B$180,"=GDP",'MoodysData(Raw)'!$D$2:$D$180,"="&amp;'Implied Productivity Ratios'!$C72)/SUMIFS('MoodysData(Raw)'!O$2:O$180,'MoodysData(Raw)'!$B$2:$B$180,"=EMP",'MoodysData(Raw)'!$D$2:$D$180,"="&amp;'Implied Productivity Ratios'!$C72)</f>
        <v>655.38505055904488</v>
      </c>
      <c r="M72">
        <f>SUMIFS('MoodysData(Raw)'!P$2:P$180,'MoodysData(Raw)'!$B$2:$B$180,"=GDP",'MoodysData(Raw)'!$D$2:$D$180,"="&amp;'Implied Productivity Ratios'!$C72)/SUMIFS('MoodysData(Raw)'!P$2:P$180,'MoodysData(Raw)'!$B$2:$B$180,"=EMP",'MoodysData(Raw)'!$D$2:$D$180,"="&amp;'Implied Productivity Ratios'!$C72)</f>
        <v>649.1222104613214</v>
      </c>
      <c r="N72">
        <f>SUMIFS('MoodysData(Raw)'!Q$2:Q$180,'MoodysData(Raw)'!$B$2:$B$180,"=GDP",'MoodysData(Raw)'!$D$2:$D$180,"="&amp;'Implied Productivity Ratios'!$C72)/SUMIFS('MoodysData(Raw)'!Q$2:Q$180,'MoodysData(Raw)'!$B$2:$B$180,"=EMP",'MoodysData(Raw)'!$D$2:$D$180,"="&amp;'Implied Productivity Ratios'!$C72)</f>
        <v>660.72035203520352</v>
      </c>
      <c r="O72">
        <f>SUMIFS('MoodysData(Raw)'!R$2:R$180,'MoodysData(Raw)'!$B$2:$B$180,"=GDP",'MoodysData(Raw)'!$D$2:$D$180,"="&amp;'Implied Productivity Ratios'!$C72)/SUMIFS('MoodysData(Raw)'!R$2:R$180,'MoodysData(Raw)'!$B$2:$B$180,"=EMP",'MoodysData(Raw)'!$D$2:$D$180,"="&amp;'Implied Productivity Ratios'!$C72)</f>
        <v>682.14467972003183</v>
      </c>
      <c r="P72">
        <f>SUMIFS('MoodysData(Raw)'!S$2:S$180,'MoodysData(Raw)'!$B$2:$B$180,"=GDP",'MoodysData(Raw)'!$D$2:$D$180,"="&amp;'Implied Productivity Ratios'!$C72)/SUMIFS('MoodysData(Raw)'!S$2:S$180,'MoodysData(Raw)'!$B$2:$B$180,"=EMP",'MoodysData(Raw)'!$D$2:$D$180,"="&amp;'Implied Productivity Ratios'!$C72)</f>
        <v>740.39447435784268</v>
      </c>
      <c r="Q72">
        <f>SUMIFS('MoodysData(Raw)'!T$2:T$180,'MoodysData(Raw)'!$B$2:$B$180,"=GDP",'MoodysData(Raw)'!$D$2:$D$180,"="&amp;'Implied Productivity Ratios'!$C72)/SUMIFS('MoodysData(Raw)'!T$2:T$180,'MoodysData(Raw)'!$B$2:$B$180,"=EMP",'MoodysData(Raw)'!$D$2:$D$180,"="&amp;'Implied Productivity Ratios'!$C72)</f>
        <v>762.90905918785711</v>
      </c>
      <c r="R72">
        <f>SUMIFS('MoodysData(Raw)'!U$2:U$180,'MoodysData(Raw)'!$B$2:$B$180,"=GDP",'MoodysData(Raw)'!$D$2:$D$180,"="&amp;'Implied Productivity Ratios'!$C72)/SUMIFS('MoodysData(Raw)'!U$2:U$180,'MoodysData(Raw)'!$B$2:$B$180,"=EMP",'MoodysData(Raw)'!$D$2:$D$180,"="&amp;'Implied Productivity Ratios'!$C72)</f>
        <v>752.89559703492012</v>
      </c>
      <c r="S72">
        <f>SUMIFS('MoodysData(Raw)'!V$2:V$180,'MoodysData(Raw)'!$B$2:$B$180,"=GDP",'MoodysData(Raw)'!$D$2:$D$180,"="&amp;'Implied Productivity Ratios'!$C72)/SUMIFS('MoodysData(Raw)'!V$2:V$180,'MoodysData(Raw)'!$B$2:$B$180,"=EMP",'MoodysData(Raw)'!$D$2:$D$180,"="&amp;'Implied Productivity Ratios'!$C72)</f>
        <v>763.89721534384648</v>
      </c>
      <c r="T72">
        <f>SUMIFS('MoodysData(Raw)'!W$2:W$180,'MoodysData(Raw)'!$B$2:$B$180,"=GDP",'MoodysData(Raw)'!$D$2:$D$180,"="&amp;'Implied Productivity Ratios'!$C72)/SUMIFS('MoodysData(Raw)'!W$2:W$180,'MoodysData(Raw)'!$B$2:$B$180,"=EMP",'MoodysData(Raw)'!$D$2:$D$180,"="&amp;'Implied Productivity Ratios'!$C72)</f>
        <v>938.51483121458841</v>
      </c>
      <c r="U72">
        <f>SUMIFS('MoodysData(Raw)'!X$2:X$180,'MoodysData(Raw)'!$B$2:$B$180,"=GDP",'MoodysData(Raw)'!$D$2:$D$180,"="&amp;'Implied Productivity Ratios'!$C72)/SUMIFS('MoodysData(Raw)'!X$2:X$180,'MoodysData(Raw)'!$B$2:$B$180,"=EMP",'MoodysData(Raw)'!$D$2:$D$180,"="&amp;'Implied Productivity Ratios'!$C72)</f>
        <v>973.10566110895695</v>
      </c>
      <c r="V72">
        <f>SUMIFS('MoodysData(Raw)'!Y$2:Y$180,'MoodysData(Raw)'!$B$2:$B$180,"=GDP",'MoodysData(Raw)'!$D$2:$D$180,"="&amp;'Implied Productivity Ratios'!$C72)/SUMIFS('MoodysData(Raw)'!Y$2:Y$180,'MoodysData(Raw)'!$B$2:$B$180,"=EMP",'MoodysData(Raw)'!$D$2:$D$180,"="&amp;'Implied Productivity Ratios'!$C72)</f>
        <v>951.97991620366167</v>
      </c>
      <c r="W72">
        <f>SUMIFS('MoodysData(Raw)'!Z$2:Z$180,'MoodysData(Raw)'!$B$2:$B$180,"=GDP",'MoodysData(Raw)'!$D$2:$D$180,"="&amp;'Implied Productivity Ratios'!$C72)/SUMIFS('MoodysData(Raw)'!Z$2:Z$180,'MoodysData(Raw)'!$B$2:$B$180,"=EMP",'MoodysData(Raw)'!$D$2:$D$180,"="&amp;'Implied Productivity Ratios'!$C72)</f>
        <v>907.16219035202073</v>
      </c>
      <c r="X72">
        <f>SUMIFS('MoodysData(Raw)'!AA$2:AA$180,'MoodysData(Raw)'!$B$2:$B$180,"=GDP",'MoodysData(Raw)'!$D$2:$D$180,"="&amp;'Implied Productivity Ratios'!$C72)/SUMIFS('MoodysData(Raw)'!AA$2:AA$180,'MoodysData(Raw)'!$B$2:$B$180,"=EMP",'MoodysData(Raw)'!$D$2:$D$180,"="&amp;'Implied Productivity Ratios'!$C72)</f>
        <v>910.39844881956867</v>
      </c>
      <c r="Y72">
        <f>SUMIFS('MoodysData(Raw)'!AB$2:AB$180,'MoodysData(Raw)'!$B$2:$B$180,"=GDP",'MoodysData(Raw)'!$D$2:$D$180,"="&amp;'Implied Productivity Ratios'!$C72)/SUMIFS('MoodysData(Raw)'!AB$2:AB$180,'MoodysData(Raw)'!$B$2:$B$180,"=EMP",'MoodysData(Raw)'!$D$2:$D$180,"="&amp;'Implied Productivity Ratios'!$C72)</f>
        <v>929.64575045981428</v>
      </c>
      <c r="Z72">
        <f>SUMIFS('MoodysData(Raw)'!AC$2:AC$180,'MoodysData(Raw)'!$B$2:$B$180,"=GDP",'MoodysData(Raw)'!$D$2:$D$180,"="&amp;'Implied Productivity Ratios'!$C72)/SUMIFS('MoodysData(Raw)'!AC$2:AC$180,'MoodysData(Raw)'!$B$2:$B$180,"=EMP",'MoodysData(Raw)'!$D$2:$D$180,"="&amp;'Implied Productivity Ratios'!$C72)</f>
        <v>951.31405244287009</v>
      </c>
      <c r="AA72">
        <f>SUMIFS('MoodysData(Raw)'!AD$2:AD$180,'MoodysData(Raw)'!$B$2:$B$180,"=GDP",'MoodysData(Raw)'!$D$2:$D$180,"="&amp;'Implied Productivity Ratios'!$C72)/SUMIFS('MoodysData(Raw)'!AD$2:AD$180,'MoodysData(Raw)'!$B$2:$B$180,"=EMP",'MoodysData(Raw)'!$D$2:$D$180,"="&amp;'Implied Productivity Ratios'!$C72)</f>
        <v>976.65134651477456</v>
      </c>
      <c r="AB72">
        <f>SUMIFS('MoodysData(Raw)'!AE$2:AE$180,'MoodysData(Raw)'!$B$2:$B$180,"=GDP",'MoodysData(Raw)'!$D$2:$D$180,"="&amp;'Implied Productivity Ratios'!$C72)/SUMIFS('MoodysData(Raw)'!AE$2:AE$180,'MoodysData(Raw)'!$B$2:$B$180,"=EMP",'MoodysData(Raw)'!$D$2:$D$180,"="&amp;'Implied Productivity Ratios'!$C72)</f>
        <v>1005.9723756906077</v>
      </c>
      <c r="AC72">
        <f>SUMIFS('MoodysData(Raw)'!AF$2:AF$180,'MoodysData(Raw)'!$B$2:$B$180,"=GDP",'MoodysData(Raw)'!$D$2:$D$180,"="&amp;'Implied Productivity Ratios'!$C72)/SUMIFS('MoodysData(Raw)'!AF$2:AF$180,'MoodysData(Raw)'!$B$2:$B$180,"=EMP",'MoodysData(Raw)'!$D$2:$D$180,"="&amp;'Implied Productivity Ratios'!$C72)</f>
        <v>1038.3418715234163</v>
      </c>
      <c r="AD72">
        <f>SUMIFS('MoodysData(Raw)'!AG$2:AG$180,'MoodysData(Raw)'!$B$2:$B$180,"=GDP",'MoodysData(Raw)'!$D$2:$D$180,"="&amp;'Implied Productivity Ratios'!$C72)/SUMIFS('MoodysData(Raw)'!AG$2:AG$180,'MoodysData(Raw)'!$B$2:$B$180,"=EMP",'MoodysData(Raw)'!$D$2:$D$180,"="&amp;'Implied Productivity Ratios'!$C72)</f>
        <v>1073.1121546457555</v>
      </c>
      <c r="AE72">
        <f>SUMIFS('MoodysData(Raw)'!AH$2:AH$180,'MoodysData(Raw)'!$B$2:$B$180,"=GDP",'MoodysData(Raw)'!$D$2:$D$180,"="&amp;'Implied Productivity Ratios'!$C72)/SUMIFS('MoodysData(Raw)'!AH$2:AH$180,'MoodysData(Raw)'!$B$2:$B$180,"=EMP",'MoodysData(Raw)'!$D$2:$D$180,"="&amp;'Implied Productivity Ratios'!$C72)</f>
        <v>1108.6925785231169</v>
      </c>
      <c r="AF72">
        <f>SUMIFS('MoodysData(Raw)'!AI$2:AI$180,'MoodysData(Raw)'!$B$2:$B$180,"=GDP",'MoodysData(Raw)'!$D$2:$D$180,"="&amp;'Implied Productivity Ratios'!$C72)/SUMIFS('MoodysData(Raw)'!AI$2:AI$180,'MoodysData(Raw)'!$B$2:$B$180,"=EMP",'MoodysData(Raw)'!$D$2:$D$180,"="&amp;'Implied Productivity Ratios'!$C72)</f>
        <v>1144.8496166329555</v>
      </c>
      <c r="AG72">
        <f>SUMIFS('MoodysData(Raw)'!AJ$2:AJ$180,'MoodysData(Raw)'!$B$2:$B$180,"=GDP",'MoodysData(Raw)'!$D$2:$D$180,"="&amp;'Implied Productivity Ratios'!$C72)/SUMIFS('MoodysData(Raw)'!AJ$2:AJ$180,'MoodysData(Raw)'!$B$2:$B$180,"=EMP",'MoodysData(Raw)'!$D$2:$D$180,"="&amp;'Implied Productivity Ratios'!$C72)</f>
        <v>1181.9728800611156</v>
      </c>
      <c r="AH72">
        <f>SUMIFS('MoodysData(Raw)'!AK$2:AK$180,'MoodysData(Raw)'!$B$2:$B$180,"=GDP",'MoodysData(Raw)'!$D$2:$D$180,"="&amp;'Implied Productivity Ratios'!$C72)/SUMIFS('MoodysData(Raw)'!AK$2:AK$180,'MoodysData(Raw)'!$B$2:$B$180,"=EMP",'MoodysData(Raw)'!$D$2:$D$180,"="&amp;'Implied Productivity Ratios'!$C72)</f>
        <v>1218.2118205140619</v>
      </c>
      <c r="AI72">
        <f>SUMIFS('MoodysData(Raw)'!AL$2:AL$180,'MoodysData(Raw)'!$B$2:$B$180,"=GDP",'MoodysData(Raw)'!$D$2:$D$180,"="&amp;'Implied Productivity Ratios'!$C72)/SUMIFS('MoodysData(Raw)'!AL$2:AL$180,'MoodysData(Raw)'!$B$2:$B$180,"=EMP",'MoodysData(Raw)'!$D$2:$D$180,"="&amp;'Implied Productivity Ratios'!$C72)</f>
        <v>1253.360913680702</v>
      </c>
      <c r="AJ72">
        <f>SUMIFS('MoodysData(Raw)'!AM$2:AM$180,'MoodysData(Raw)'!$B$2:$B$180,"=GDP",'MoodysData(Raw)'!$D$2:$D$180,"="&amp;'Implied Productivity Ratios'!$C72)/SUMIFS('MoodysData(Raw)'!AM$2:AM$180,'MoodysData(Raw)'!$B$2:$B$180,"=EMP",'MoodysData(Raw)'!$D$2:$D$180,"="&amp;'Implied Productivity Ratios'!$C72)</f>
        <v>1288.7799603174603</v>
      </c>
      <c r="AK72">
        <f>SUMIFS('MoodysData(Raw)'!AN$2:AN$180,'MoodysData(Raw)'!$B$2:$B$180,"=GDP",'MoodysData(Raw)'!$D$2:$D$180,"="&amp;'Implied Productivity Ratios'!$C72)/SUMIFS('MoodysData(Raw)'!AN$2:AN$180,'MoodysData(Raw)'!$B$2:$B$180,"=EMP",'MoodysData(Raw)'!$D$2:$D$180,"="&amp;'Implied Productivity Ratios'!$C72)</f>
        <v>1324.985946597069</v>
      </c>
      <c r="AL72">
        <f>SUMIFS('MoodysData(Raw)'!AO$2:AO$180,'MoodysData(Raw)'!$B$2:$B$180,"=GDP",'MoodysData(Raw)'!$D$2:$D$180,"="&amp;'Implied Productivity Ratios'!$C72)/SUMIFS('MoodysData(Raw)'!AO$2:AO$180,'MoodysData(Raw)'!$B$2:$B$180,"=EMP",'MoodysData(Raw)'!$D$2:$D$180,"="&amp;'Implied Productivity Ratios'!$C72)</f>
        <v>1361.6631958553435</v>
      </c>
      <c r="AM72">
        <f>SUMIFS('MoodysData(Raw)'!AP$2:AP$180,'MoodysData(Raw)'!$B$2:$B$180,"=GDP",'MoodysData(Raw)'!$D$2:$D$180,"="&amp;'Implied Productivity Ratios'!$C72)/SUMIFS('MoodysData(Raw)'!AP$2:AP$180,'MoodysData(Raw)'!$B$2:$B$180,"=EMP",'MoodysData(Raw)'!$D$2:$D$180,"="&amp;'Implied Productivity Ratios'!$C72)</f>
        <v>1398.1607949876745</v>
      </c>
      <c r="AN72">
        <f>SUMIFS('MoodysData(Raw)'!AQ$2:AQ$180,'MoodysData(Raw)'!$B$2:$B$180,"=GDP",'MoodysData(Raw)'!$D$2:$D$180,"="&amp;'Implied Productivity Ratios'!$C72)/SUMIFS('MoodysData(Raw)'!AQ$2:AQ$180,'MoodysData(Raw)'!$B$2:$B$180,"=EMP",'MoodysData(Raw)'!$D$2:$D$180,"="&amp;'Implied Productivity Ratios'!$C72)</f>
        <v>1434.6422975146579</v>
      </c>
      <c r="AO72">
        <f>SUMIFS('MoodysData(Raw)'!AR$2:AR$180,'MoodysData(Raw)'!$B$2:$B$180,"=GDP",'MoodysData(Raw)'!$D$2:$D$180,"="&amp;'Implied Productivity Ratios'!$C72)/SUMIFS('MoodysData(Raw)'!AR$2:AR$180,'MoodysData(Raw)'!$B$2:$B$180,"=EMP",'MoodysData(Raw)'!$D$2:$D$180,"="&amp;'Implied Productivity Ratios'!$C72)</f>
        <v>1470.7401277888341</v>
      </c>
      <c r="AP72">
        <f>SUMIFS('MoodysData(Raw)'!AS$2:AS$180,'MoodysData(Raw)'!$B$2:$B$180,"=GDP",'MoodysData(Raw)'!$D$2:$D$180,"="&amp;'Implied Productivity Ratios'!$C72)/SUMIFS('MoodysData(Raw)'!AS$2:AS$180,'MoodysData(Raw)'!$B$2:$B$180,"=EMP",'MoodysData(Raw)'!$D$2:$D$180,"="&amp;'Implied Productivity Ratios'!$C72)</f>
        <v>1506.5315339108388</v>
      </c>
      <c r="AQ72">
        <f>SUMIFS('MoodysData(Raw)'!AT$2:AT$180,'MoodysData(Raw)'!$B$2:$B$180,"=GDP",'MoodysData(Raw)'!$D$2:$D$180,"="&amp;'Implied Productivity Ratios'!$C72)/SUMIFS('MoodysData(Raw)'!AT$2:AT$180,'MoodysData(Raw)'!$B$2:$B$180,"=EMP",'MoodysData(Raw)'!$D$2:$D$180,"="&amp;'Implied Productivity Ratios'!$C72)</f>
        <v>1542.1705616183124</v>
      </c>
      <c r="AR72">
        <f>SUMIFS('MoodysData(Raw)'!AU$2:AU$180,'MoodysData(Raw)'!$B$2:$B$180,"=GDP",'MoodysData(Raw)'!$D$2:$D$180,"="&amp;'Implied Productivity Ratios'!$C72)/SUMIFS('MoodysData(Raw)'!AU$2:AU$180,'MoodysData(Raw)'!$B$2:$B$180,"=EMP",'MoodysData(Raw)'!$D$2:$D$180,"="&amp;'Implied Productivity Ratios'!$C72)</f>
        <v>1578.0262254639065</v>
      </c>
      <c r="AS72">
        <f>SUMIFS('MoodysData(Raw)'!AV$2:AV$180,'MoodysData(Raw)'!$B$2:$B$180,"=GDP",'MoodysData(Raw)'!$D$2:$D$180,"="&amp;'Implied Productivity Ratios'!$C72)/SUMIFS('MoodysData(Raw)'!AV$2:AV$180,'MoodysData(Raw)'!$B$2:$B$180,"=EMP",'MoodysData(Raw)'!$D$2:$D$180,"="&amp;'Implied Productivity Ratios'!$C72)</f>
        <v>1614.0851339671565</v>
      </c>
      <c r="AT72">
        <f>SUMIFS('MoodysData(Raw)'!AW$2:AW$180,'MoodysData(Raw)'!$B$2:$B$180,"=GDP",'MoodysData(Raw)'!$D$2:$D$180,"="&amp;'Implied Productivity Ratios'!$C72)/SUMIFS('MoodysData(Raw)'!AW$2:AW$180,'MoodysData(Raw)'!$B$2:$B$180,"=EMP",'MoodysData(Raw)'!$D$2:$D$180,"="&amp;'Implied Productivity Ratios'!$C72)</f>
        <v>1650.0219696557726</v>
      </c>
      <c r="AU72">
        <f>SUMIFS('MoodysData(Raw)'!AX$2:AX$180,'MoodysData(Raw)'!$B$2:$B$180,"=GDP",'MoodysData(Raw)'!$D$2:$D$180,"="&amp;'Implied Productivity Ratios'!$C72)/SUMIFS('MoodysData(Raw)'!AX$2:AX$180,'MoodysData(Raw)'!$B$2:$B$180,"=EMP",'MoodysData(Raw)'!$D$2:$D$180,"="&amp;'Implied Productivity Ratios'!$C72)</f>
        <v>1686.0444748358861</v>
      </c>
      <c r="AV72">
        <f>SUMIFS('MoodysData(Raw)'!AY$2:AY$180,'MoodysData(Raw)'!$B$2:$B$180,"=GDP",'MoodysData(Raw)'!$D$2:$D$180,"="&amp;'Implied Productivity Ratios'!$C72)/SUMIFS('MoodysData(Raw)'!AY$2:AY$180,'MoodysData(Raw)'!$B$2:$B$180,"=EMP",'MoodysData(Raw)'!$D$2:$D$180,"="&amp;'Implied Productivity Ratios'!$C72)</f>
        <v>1722.5119335679717</v>
      </c>
      <c r="AW72">
        <f>SUMIFS('MoodysData(Raw)'!AZ$2:AZ$180,'MoodysData(Raw)'!$B$2:$B$180,"=GDP",'MoodysData(Raw)'!$D$2:$D$180,"="&amp;'Implied Productivity Ratios'!$C72)/SUMIFS('MoodysData(Raw)'!AZ$2:AZ$180,'MoodysData(Raw)'!$B$2:$B$180,"=EMP",'MoodysData(Raw)'!$D$2:$D$180,"="&amp;'Implied Productivity Ratios'!$C72)</f>
        <v>1758.4481939688499</v>
      </c>
      <c r="AX72">
        <f>SUMIFS('MoodysData(Raw)'!BA$2:BA$180,'MoodysData(Raw)'!$B$2:$B$180,"=GDP",'MoodysData(Raw)'!$D$2:$D$180,"="&amp;'Implied Productivity Ratios'!$C72)/SUMIFS('MoodysData(Raw)'!BA$2:BA$180,'MoodysData(Raw)'!$B$2:$B$180,"=EMP",'MoodysData(Raw)'!$D$2:$D$180,"="&amp;'Implied Productivity Ratios'!$C72)</f>
        <v>1793.5833425689905</v>
      </c>
      <c r="AY72">
        <f>SUMIFS('MoodysData(Raw)'!BB$2:BB$180,'MoodysData(Raw)'!$B$2:$B$180,"=GDP",'MoodysData(Raw)'!$D$2:$D$180,"="&amp;'Implied Productivity Ratios'!$C72)/SUMIFS('MoodysData(Raw)'!BB$2:BB$180,'MoodysData(Raw)'!$B$2:$B$180,"=EMP",'MoodysData(Raw)'!$D$2:$D$180,"="&amp;'Implied Productivity Ratios'!$C72)</f>
        <v>1827.8744723394802</v>
      </c>
      <c r="AZ72">
        <f>SUMIFS('MoodysData(Raw)'!BC$2:BC$180,'MoodysData(Raw)'!$B$2:$B$180,"=GDP",'MoodysData(Raw)'!$D$2:$D$180,"="&amp;'Implied Productivity Ratios'!$C72)/SUMIFS('MoodysData(Raw)'!BC$2:BC$180,'MoodysData(Raw)'!$B$2:$B$180,"=EMP",'MoodysData(Raw)'!$D$2:$D$180,"="&amp;'Implied Productivity Ratios'!$C72)</f>
        <v>1862.1865264797509</v>
      </c>
      <c r="BA72">
        <f>SUMIFS('MoodysData(Raw)'!BD$2:BD$180,'MoodysData(Raw)'!$B$2:$B$180,"=GDP",'MoodysData(Raw)'!$D$2:$D$180,"="&amp;'Implied Productivity Ratios'!$C72)/SUMIFS('MoodysData(Raw)'!BD$2:BD$180,'MoodysData(Raw)'!$B$2:$B$180,"=EMP",'MoodysData(Raw)'!$D$2:$D$180,"="&amp;'Implied Productivity Ratios'!$C72)</f>
        <v>1897.7112770225096</v>
      </c>
      <c r="BB72">
        <f>SUMIFS('MoodysData(Raw)'!BE$2:BE$180,'MoodysData(Raw)'!$B$2:$B$180,"=GDP",'MoodysData(Raw)'!$D$2:$D$180,"="&amp;'Implied Productivity Ratios'!$C72)/SUMIFS('MoodysData(Raw)'!BE$2:BE$180,'MoodysData(Raw)'!$B$2:$B$180,"=EMP",'MoodysData(Raw)'!$D$2:$D$180,"="&amp;'Implied Productivity Ratios'!$C72)</f>
        <v>1934.2889905697225</v>
      </c>
      <c r="BC72">
        <f>SUMIFS('MoodysData(Raw)'!BF$2:BF$180,'MoodysData(Raw)'!$B$2:$B$180,"=GDP",'MoodysData(Raw)'!$D$2:$D$180,"="&amp;'Implied Productivity Ratios'!$C72)/SUMIFS('MoodysData(Raw)'!BF$2:BF$180,'MoodysData(Raw)'!$B$2:$B$180,"=EMP",'MoodysData(Raw)'!$D$2:$D$180,"="&amp;'Implied Productivity Ratios'!$C72)</f>
        <v>1972.3472113557616</v>
      </c>
      <c r="BD72" s="5">
        <f t="shared" ref="BD72:BH72" si="66">BC72+($BC72-$AX72)/5</f>
        <v>2008.0999851131157</v>
      </c>
      <c r="BE72" s="5">
        <f t="shared" si="66"/>
        <v>2043.8527588704699</v>
      </c>
      <c r="BF72" s="5">
        <f t="shared" si="66"/>
        <v>2079.6055326278242</v>
      </c>
      <c r="BG72" s="5">
        <f t="shared" si="66"/>
        <v>2115.3583063851784</v>
      </c>
      <c r="BH72" s="5">
        <f t="shared" si="66"/>
        <v>2151.1110801425325</v>
      </c>
    </row>
    <row r="73" spans="3:60">
      <c r="C73">
        <v>541</v>
      </c>
      <c r="D73" t="s">
        <v>26</v>
      </c>
      <c r="E73">
        <f>SUMIFS('MoodysData(Raw)'!H$2:H$180,'MoodysData(Raw)'!$B$2:$B$180,"=GDP",'MoodysData(Raw)'!$D$2:$D$180,"="&amp;'Implied Productivity Ratios'!$C73)/SUMIFS('MoodysData(Raw)'!H$2:H$180,'MoodysData(Raw)'!$B$2:$B$180,"=EMP",'MoodysData(Raw)'!$D$2:$D$180,"="&amp;'Implied Productivity Ratios'!$C73)</f>
        <v>141.08767089897225</v>
      </c>
      <c r="F73">
        <f>SUMIFS('MoodysData(Raw)'!I$2:I$180,'MoodysData(Raw)'!$B$2:$B$180,"=GDP",'MoodysData(Raw)'!$D$2:$D$180,"="&amp;'Implied Productivity Ratios'!$C73)/SUMIFS('MoodysData(Raw)'!I$2:I$180,'MoodysData(Raw)'!$B$2:$B$180,"=EMP",'MoodysData(Raw)'!$D$2:$D$180,"="&amp;'Implied Productivity Ratios'!$C73)</f>
        <v>140.45164622614863</v>
      </c>
      <c r="G73">
        <f>SUMIFS('MoodysData(Raw)'!J$2:J$180,'MoodysData(Raw)'!$B$2:$B$180,"=GDP",'MoodysData(Raw)'!$D$2:$D$180,"="&amp;'Implied Productivity Ratios'!$C73)/SUMIFS('MoodysData(Raw)'!J$2:J$180,'MoodysData(Raw)'!$B$2:$B$180,"=EMP",'MoodysData(Raw)'!$D$2:$D$180,"="&amp;'Implied Productivity Ratios'!$C73)</f>
        <v>141.36483898048235</v>
      </c>
      <c r="H73">
        <f>SUMIFS('MoodysData(Raw)'!K$2:K$180,'MoodysData(Raw)'!$B$2:$B$180,"=GDP",'MoodysData(Raw)'!$D$2:$D$180,"="&amp;'Implied Productivity Ratios'!$C73)/SUMIFS('MoodysData(Raw)'!K$2:K$180,'MoodysData(Raw)'!$B$2:$B$180,"=EMP",'MoodysData(Raw)'!$D$2:$D$180,"="&amp;'Implied Productivity Ratios'!$C73)</f>
        <v>149.46554615595258</v>
      </c>
      <c r="I73">
        <f>SUMIFS('MoodysData(Raw)'!L$2:L$180,'MoodysData(Raw)'!$B$2:$B$180,"=GDP",'MoodysData(Raw)'!$D$2:$D$180,"="&amp;'Implied Productivity Ratios'!$C73)/SUMIFS('MoodysData(Raw)'!L$2:L$180,'MoodysData(Raw)'!$B$2:$B$180,"=EMP",'MoodysData(Raw)'!$D$2:$D$180,"="&amp;'Implied Productivity Ratios'!$C73)</f>
        <v>147.58016067583856</v>
      </c>
      <c r="J73">
        <f>SUMIFS('MoodysData(Raw)'!M$2:M$180,'MoodysData(Raw)'!$B$2:$B$180,"=GDP",'MoodysData(Raw)'!$D$2:$D$180,"="&amp;'Implied Productivity Ratios'!$C73)/SUMIFS('MoodysData(Raw)'!M$2:M$180,'MoodysData(Raw)'!$B$2:$B$180,"=EMP",'MoodysData(Raw)'!$D$2:$D$180,"="&amp;'Implied Productivity Ratios'!$C73)</f>
        <v>151.86780520447999</v>
      </c>
      <c r="K73">
        <f>SUMIFS('MoodysData(Raw)'!N$2:N$180,'MoodysData(Raw)'!$B$2:$B$180,"=GDP",'MoodysData(Raw)'!$D$2:$D$180,"="&amp;'Implied Productivity Ratios'!$C73)/SUMIFS('MoodysData(Raw)'!N$2:N$180,'MoodysData(Raw)'!$B$2:$B$180,"=EMP",'MoodysData(Raw)'!$D$2:$D$180,"="&amp;'Implied Productivity Ratios'!$C73)</f>
        <v>154.53519677448176</v>
      </c>
      <c r="L73">
        <f>SUMIFS('MoodysData(Raw)'!O$2:O$180,'MoodysData(Raw)'!$B$2:$B$180,"=GDP",'MoodysData(Raw)'!$D$2:$D$180,"="&amp;'Implied Productivity Ratios'!$C73)/SUMIFS('MoodysData(Raw)'!O$2:O$180,'MoodysData(Raw)'!$B$2:$B$180,"=EMP",'MoodysData(Raw)'!$D$2:$D$180,"="&amp;'Implied Productivity Ratios'!$C73)</f>
        <v>156.39236286549482</v>
      </c>
      <c r="M73">
        <f>SUMIFS('MoodysData(Raw)'!P$2:P$180,'MoodysData(Raw)'!$B$2:$B$180,"=GDP",'MoodysData(Raw)'!$D$2:$D$180,"="&amp;'Implied Productivity Ratios'!$C73)/SUMIFS('MoodysData(Raw)'!P$2:P$180,'MoodysData(Raw)'!$B$2:$B$180,"=EMP",'MoodysData(Raw)'!$D$2:$D$180,"="&amp;'Implied Productivity Ratios'!$C73)</f>
        <v>153.23650931082926</v>
      </c>
      <c r="N73">
        <f>SUMIFS('MoodysData(Raw)'!Q$2:Q$180,'MoodysData(Raw)'!$B$2:$B$180,"=GDP",'MoodysData(Raw)'!$D$2:$D$180,"="&amp;'Implied Productivity Ratios'!$C73)/SUMIFS('MoodysData(Raw)'!Q$2:Q$180,'MoodysData(Raw)'!$B$2:$B$180,"=EMP",'MoodysData(Raw)'!$D$2:$D$180,"="&amp;'Implied Productivity Ratios'!$C73)</f>
        <v>155.45761641417809</v>
      </c>
      <c r="O73">
        <f>SUMIFS('MoodysData(Raw)'!R$2:R$180,'MoodysData(Raw)'!$B$2:$B$180,"=GDP",'MoodysData(Raw)'!$D$2:$D$180,"="&amp;'Implied Productivity Ratios'!$C73)/SUMIFS('MoodysData(Raw)'!R$2:R$180,'MoodysData(Raw)'!$B$2:$B$180,"=EMP",'MoodysData(Raw)'!$D$2:$D$180,"="&amp;'Implied Productivity Ratios'!$C73)</f>
        <v>157.66356956010219</v>
      </c>
      <c r="P73">
        <f>SUMIFS('MoodysData(Raw)'!S$2:S$180,'MoodysData(Raw)'!$B$2:$B$180,"=GDP",'MoodysData(Raw)'!$D$2:$D$180,"="&amp;'Implied Productivity Ratios'!$C73)/SUMIFS('MoodysData(Raw)'!S$2:S$180,'MoodysData(Raw)'!$B$2:$B$180,"=EMP",'MoodysData(Raw)'!$D$2:$D$180,"="&amp;'Implied Productivity Ratios'!$C73)</f>
        <v>158.54422300172462</v>
      </c>
      <c r="Q73">
        <f>SUMIFS('MoodysData(Raw)'!T$2:T$180,'MoodysData(Raw)'!$B$2:$B$180,"=GDP",'MoodysData(Raw)'!$D$2:$D$180,"="&amp;'Implied Productivity Ratios'!$C73)/SUMIFS('MoodysData(Raw)'!T$2:T$180,'MoodysData(Raw)'!$B$2:$B$180,"=EMP",'MoodysData(Raw)'!$D$2:$D$180,"="&amp;'Implied Productivity Ratios'!$C73)</f>
        <v>161.08412912694499</v>
      </c>
      <c r="R73">
        <f>SUMIFS('MoodysData(Raw)'!U$2:U$180,'MoodysData(Raw)'!$B$2:$B$180,"=GDP",'MoodysData(Raw)'!$D$2:$D$180,"="&amp;'Implied Productivity Ratios'!$C73)/SUMIFS('MoodysData(Raw)'!U$2:U$180,'MoodysData(Raw)'!$B$2:$B$180,"=EMP",'MoodysData(Raw)'!$D$2:$D$180,"="&amp;'Implied Productivity Ratios'!$C73)</f>
        <v>167.50910440361159</v>
      </c>
      <c r="S73">
        <f>SUMIFS('MoodysData(Raw)'!V$2:V$180,'MoodysData(Raw)'!$B$2:$B$180,"=GDP",'MoodysData(Raw)'!$D$2:$D$180,"="&amp;'Implied Productivity Ratios'!$C73)/SUMIFS('MoodysData(Raw)'!V$2:V$180,'MoodysData(Raw)'!$B$2:$B$180,"=EMP",'MoodysData(Raw)'!$D$2:$D$180,"="&amp;'Implied Productivity Ratios'!$C73)</f>
        <v>171.88126364070138</v>
      </c>
      <c r="T73">
        <f>SUMIFS('MoodysData(Raw)'!W$2:W$180,'MoodysData(Raw)'!$B$2:$B$180,"=GDP",'MoodysData(Raw)'!$D$2:$D$180,"="&amp;'Implied Productivity Ratios'!$C73)/SUMIFS('MoodysData(Raw)'!W$2:W$180,'MoodysData(Raw)'!$B$2:$B$180,"=EMP",'MoodysData(Raw)'!$D$2:$D$180,"="&amp;'Implied Productivity Ratios'!$C73)</f>
        <v>174.85480152849163</v>
      </c>
      <c r="U73">
        <f>SUMIFS('MoodysData(Raw)'!X$2:X$180,'MoodysData(Raw)'!$B$2:$B$180,"=GDP",'MoodysData(Raw)'!$D$2:$D$180,"="&amp;'Implied Productivity Ratios'!$C73)/SUMIFS('MoodysData(Raw)'!X$2:X$180,'MoodysData(Raw)'!$B$2:$B$180,"=EMP",'MoodysData(Raw)'!$D$2:$D$180,"="&amp;'Implied Productivity Ratios'!$C73)</f>
        <v>189.81654115015283</v>
      </c>
      <c r="V73">
        <f>SUMIFS('MoodysData(Raw)'!Y$2:Y$180,'MoodysData(Raw)'!$B$2:$B$180,"=GDP",'MoodysData(Raw)'!$D$2:$D$180,"="&amp;'Implied Productivity Ratios'!$C73)/SUMIFS('MoodysData(Raw)'!Y$2:Y$180,'MoodysData(Raw)'!$B$2:$B$180,"=EMP",'MoodysData(Raw)'!$D$2:$D$180,"="&amp;'Implied Productivity Ratios'!$C73)</f>
        <v>192.75503067994441</v>
      </c>
      <c r="W73">
        <f>SUMIFS('MoodysData(Raw)'!Z$2:Z$180,'MoodysData(Raw)'!$B$2:$B$180,"=GDP",'MoodysData(Raw)'!$D$2:$D$180,"="&amp;'Implied Productivity Ratios'!$C73)/SUMIFS('MoodysData(Raw)'!Z$2:Z$180,'MoodysData(Raw)'!$B$2:$B$180,"=EMP",'MoodysData(Raw)'!$D$2:$D$180,"="&amp;'Implied Productivity Ratios'!$C73)</f>
        <v>196.83500763242395</v>
      </c>
      <c r="X73">
        <f>SUMIFS('MoodysData(Raw)'!AA$2:AA$180,'MoodysData(Raw)'!$B$2:$B$180,"=GDP",'MoodysData(Raw)'!$D$2:$D$180,"="&amp;'Implied Productivity Ratios'!$C73)/SUMIFS('MoodysData(Raw)'!AA$2:AA$180,'MoodysData(Raw)'!$B$2:$B$180,"=EMP",'MoodysData(Raw)'!$D$2:$D$180,"="&amp;'Implied Productivity Ratios'!$C73)</f>
        <v>202.71171638912787</v>
      </c>
      <c r="Y73">
        <f>SUMIFS('MoodysData(Raw)'!AB$2:AB$180,'MoodysData(Raw)'!$B$2:$B$180,"=GDP",'MoodysData(Raw)'!$D$2:$D$180,"="&amp;'Implied Productivity Ratios'!$C73)/SUMIFS('MoodysData(Raw)'!AB$2:AB$180,'MoodysData(Raw)'!$B$2:$B$180,"=EMP",'MoodysData(Raw)'!$D$2:$D$180,"="&amp;'Implied Productivity Ratios'!$C73)</f>
        <v>206.89063295271953</v>
      </c>
      <c r="Z73">
        <f>SUMIFS('MoodysData(Raw)'!AC$2:AC$180,'MoodysData(Raw)'!$B$2:$B$180,"=GDP",'MoodysData(Raw)'!$D$2:$D$180,"="&amp;'Implied Productivity Ratios'!$C73)/SUMIFS('MoodysData(Raw)'!AC$2:AC$180,'MoodysData(Raw)'!$B$2:$B$180,"=EMP",'MoodysData(Raw)'!$D$2:$D$180,"="&amp;'Implied Productivity Ratios'!$C73)</f>
        <v>210.57318410548163</v>
      </c>
      <c r="AA73">
        <f>SUMIFS('MoodysData(Raw)'!AD$2:AD$180,'MoodysData(Raw)'!$B$2:$B$180,"=GDP",'MoodysData(Raw)'!$D$2:$D$180,"="&amp;'Implied Productivity Ratios'!$C73)/SUMIFS('MoodysData(Raw)'!AD$2:AD$180,'MoodysData(Raw)'!$B$2:$B$180,"=EMP",'MoodysData(Raw)'!$D$2:$D$180,"="&amp;'Implied Productivity Ratios'!$C73)</f>
        <v>215.38328325004011</v>
      </c>
      <c r="AB73">
        <f>SUMIFS('MoodysData(Raw)'!AE$2:AE$180,'MoodysData(Raw)'!$B$2:$B$180,"=GDP",'MoodysData(Raw)'!$D$2:$D$180,"="&amp;'Implied Productivity Ratios'!$C73)/SUMIFS('MoodysData(Raw)'!AE$2:AE$180,'MoodysData(Raw)'!$B$2:$B$180,"=EMP",'MoodysData(Raw)'!$D$2:$D$180,"="&amp;'Implied Productivity Ratios'!$C73)</f>
        <v>220.69431454682797</v>
      </c>
      <c r="AC73">
        <f>SUMIFS('MoodysData(Raw)'!AF$2:AF$180,'MoodysData(Raw)'!$B$2:$B$180,"=GDP",'MoodysData(Raw)'!$D$2:$D$180,"="&amp;'Implied Productivity Ratios'!$C73)/SUMIFS('MoodysData(Raw)'!AF$2:AF$180,'MoodysData(Raw)'!$B$2:$B$180,"=EMP",'MoodysData(Raw)'!$D$2:$D$180,"="&amp;'Implied Productivity Ratios'!$C73)</f>
        <v>226.4275179093076</v>
      </c>
      <c r="AD73">
        <f>SUMIFS('MoodysData(Raw)'!AG$2:AG$180,'MoodysData(Raw)'!$B$2:$B$180,"=GDP",'MoodysData(Raw)'!$D$2:$D$180,"="&amp;'Implied Productivity Ratios'!$C73)/SUMIFS('MoodysData(Raw)'!AG$2:AG$180,'MoodysData(Raw)'!$B$2:$B$180,"=EMP",'MoodysData(Raw)'!$D$2:$D$180,"="&amp;'Implied Productivity Ratios'!$C73)</f>
        <v>232.50683274095363</v>
      </c>
      <c r="AE73">
        <f>SUMIFS('MoodysData(Raw)'!AH$2:AH$180,'MoodysData(Raw)'!$B$2:$B$180,"=GDP",'MoodysData(Raw)'!$D$2:$D$180,"="&amp;'Implied Productivity Ratios'!$C73)/SUMIFS('MoodysData(Raw)'!AH$2:AH$180,'MoodysData(Raw)'!$B$2:$B$180,"=EMP",'MoodysData(Raw)'!$D$2:$D$180,"="&amp;'Implied Productivity Ratios'!$C73)</f>
        <v>238.42575341153295</v>
      </c>
      <c r="AF73">
        <f>SUMIFS('MoodysData(Raw)'!AI$2:AI$180,'MoodysData(Raw)'!$B$2:$B$180,"=GDP",'MoodysData(Raw)'!$D$2:$D$180,"="&amp;'Implied Productivity Ratios'!$C73)/SUMIFS('MoodysData(Raw)'!AI$2:AI$180,'MoodysData(Raw)'!$B$2:$B$180,"=EMP",'MoodysData(Raw)'!$D$2:$D$180,"="&amp;'Implied Productivity Ratios'!$C73)</f>
        <v>244.43915222829665</v>
      </c>
      <c r="AG73">
        <f>SUMIFS('MoodysData(Raw)'!AJ$2:AJ$180,'MoodysData(Raw)'!$B$2:$B$180,"=GDP",'MoodysData(Raw)'!$D$2:$D$180,"="&amp;'Implied Productivity Ratios'!$C73)/SUMIFS('MoodysData(Raw)'!AJ$2:AJ$180,'MoodysData(Raw)'!$B$2:$B$180,"=EMP",'MoodysData(Raw)'!$D$2:$D$180,"="&amp;'Implied Productivity Ratios'!$C73)</f>
        <v>250.29067563612443</v>
      </c>
      <c r="AH73">
        <f>SUMIFS('MoodysData(Raw)'!AK$2:AK$180,'MoodysData(Raw)'!$B$2:$B$180,"=GDP",'MoodysData(Raw)'!$D$2:$D$180,"="&amp;'Implied Productivity Ratios'!$C73)/SUMIFS('MoodysData(Raw)'!AK$2:AK$180,'MoodysData(Raw)'!$B$2:$B$180,"=EMP",'MoodysData(Raw)'!$D$2:$D$180,"="&amp;'Implied Productivity Ratios'!$C73)</f>
        <v>255.70680083606564</v>
      </c>
      <c r="AI73">
        <f>SUMIFS('MoodysData(Raw)'!AL$2:AL$180,'MoodysData(Raw)'!$B$2:$B$180,"=GDP",'MoodysData(Raw)'!$D$2:$D$180,"="&amp;'Implied Productivity Ratios'!$C73)/SUMIFS('MoodysData(Raw)'!AL$2:AL$180,'MoodysData(Raw)'!$B$2:$B$180,"=EMP",'MoodysData(Raw)'!$D$2:$D$180,"="&amp;'Implied Productivity Ratios'!$C73)</f>
        <v>260.82403281647873</v>
      </c>
      <c r="AJ73">
        <f>SUMIFS('MoodysData(Raw)'!AM$2:AM$180,'MoodysData(Raw)'!$B$2:$B$180,"=GDP",'MoodysData(Raw)'!$D$2:$D$180,"="&amp;'Implied Productivity Ratios'!$C73)/SUMIFS('MoodysData(Raw)'!AM$2:AM$180,'MoodysData(Raw)'!$B$2:$B$180,"=EMP",'MoodysData(Raw)'!$D$2:$D$180,"="&amp;'Implied Productivity Ratios'!$C73)</f>
        <v>266.19400157602615</v>
      </c>
      <c r="AK73">
        <f>SUMIFS('MoodysData(Raw)'!AN$2:AN$180,'MoodysData(Raw)'!$B$2:$B$180,"=GDP",'MoodysData(Raw)'!$D$2:$D$180,"="&amp;'Implied Productivity Ratios'!$C73)/SUMIFS('MoodysData(Raw)'!AN$2:AN$180,'MoodysData(Raw)'!$B$2:$B$180,"=EMP",'MoodysData(Raw)'!$D$2:$D$180,"="&amp;'Implied Productivity Ratios'!$C73)</f>
        <v>272.00915869475256</v>
      </c>
      <c r="AL73">
        <f>SUMIFS('MoodysData(Raw)'!AO$2:AO$180,'MoodysData(Raw)'!$B$2:$B$180,"=GDP",'MoodysData(Raw)'!$D$2:$D$180,"="&amp;'Implied Productivity Ratios'!$C73)/SUMIFS('MoodysData(Raw)'!AO$2:AO$180,'MoodysData(Raw)'!$B$2:$B$180,"=EMP",'MoodysData(Raw)'!$D$2:$D$180,"="&amp;'Implied Productivity Ratios'!$C73)</f>
        <v>277.87347118322526</v>
      </c>
      <c r="AM73">
        <f>SUMIFS('MoodysData(Raw)'!AP$2:AP$180,'MoodysData(Raw)'!$B$2:$B$180,"=GDP",'MoodysData(Raw)'!$D$2:$D$180,"="&amp;'Implied Productivity Ratios'!$C73)/SUMIFS('MoodysData(Raw)'!AP$2:AP$180,'MoodysData(Raw)'!$B$2:$B$180,"=EMP",'MoodysData(Raw)'!$D$2:$D$180,"="&amp;'Implied Productivity Ratios'!$C73)</f>
        <v>283.76972005777236</v>
      </c>
      <c r="AN73">
        <f>SUMIFS('MoodysData(Raw)'!AQ$2:AQ$180,'MoodysData(Raw)'!$B$2:$B$180,"=GDP",'MoodysData(Raw)'!$D$2:$D$180,"="&amp;'Implied Productivity Ratios'!$C73)/SUMIFS('MoodysData(Raw)'!AQ$2:AQ$180,'MoodysData(Raw)'!$B$2:$B$180,"=EMP",'MoodysData(Raw)'!$D$2:$D$180,"="&amp;'Implied Productivity Ratios'!$C73)</f>
        <v>289.63992041671429</v>
      </c>
      <c r="AO73">
        <f>SUMIFS('MoodysData(Raw)'!AR$2:AR$180,'MoodysData(Raw)'!$B$2:$B$180,"=GDP",'MoodysData(Raw)'!$D$2:$D$180,"="&amp;'Implied Productivity Ratios'!$C73)/SUMIFS('MoodysData(Raw)'!AR$2:AR$180,'MoodysData(Raw)'!$B$2:$B$180,"=EMP",'MoodysData(Raw)'!$D$2:$D$180,"="&amp;'Implied Productivity Ratios'!$C73)</f>
        <v>295.32346354390467</v>
      </c>
      <c r="AP73">
        <f>SUMIFS('MoodysData(Raw)'!AS$2:AS$180,'MoodysData(Raw)'!$B$2:$B$180,"=GDP",'MoodysData(Raw)'!$D$2:$D$180,"="&amp;'Implied Productivity Ratios'!$C73)/SUMIFS('MoodysData(Raw)'!AS$2:AS$180,'MoodysData(Raw)'!$B$2:$B$180,"=EMP",'MoodysData(Raw)'!$D$2:$D$180,"="&amp;'Implied Productivity Ratios'!$C73)</f>
        <v>300.98590966207007</v>
      </c>
      <c r="AQ73">
        <f>SUMIFS('MoodysData(Raw)'!AT$2:AT$180,'MoodysData(Raw)'!$B$2:$B$180,"=GDP",'MoodysData(Raw)'!$D$2:$D$180,"="&amp;'Implied Productivity Ratios'!$C73)/SUMIFS('MoodysData(Raw)'!AT$2:AT$180,'MoodysData(Raw)'!$B$2:$B$180,"=EMP",'MoodysData(Raw)'!$D$2:$D$180,"="&amp;'Implied Productivity Ratios'!$C73)</f>
        <v>306.71568722122305</v>
      </c>
      <c r="AR73">
        <f>SUMIFS('MoodysData(Raw)'!AU$2:AU$180,'MoodysData(Raw)'!$B$2:$B$180,"=GDP",'MoodysData(Raw)'!$D$2:$D$180,"="&amp;'Implied Productivity Ratios'!$C73)/SUMIFS('MoodysData(Raw)'!AU$2:AU$180,'MoodysData(Raw)'!$B$2:$B$180,"=EMP",'MoodysData(Raw)'!$D$2:$D$180,"="&amp;'Implied Productivity Ratios'!$C73)</f>
        <v>312.5281107168064</v>
      </c>
      <c r="AS73">
        <f>SUMIFS('MoodysData(Raw)'!AV$2:AV$180,'MoodysData(Raw)'!$B$2:$B$180,"=GDP",'MoodysData(Raw)'!$D$2:$D$180,"="&amp;'Implied Productivity Ratios'!$C73)/SUMIFS('MoodysData(Raw)'!AV$2:AV$180,'MoodysData(Raw)'!$B$2:$B$180,"=EMP",'MoodysData(Raw)'!$D$2:$D$180,"="&amp;'Implied Productivity Ratios'!$C73)</f>
        <v>318.41316488473302</v>
      </c>
      <c r="AT73">
        <f>SUMIFS('MoodysData(Raw)'!AW$2:AW$180,'MoodysData(Raw)'!$B$2:$B$180,"=GDP",'MoodysData(Raw)'!$D$2:$D$180,"="&amp;'Implied Productivity Ratios'!$C73)/SUMIFS('MoodysData(Raw)'!AW$2:AW$180,'MoodysData(Raw)'!$B$2:$B$180,"=EMP",'MoodysData(Raw)'!$D$2:$D$180,"="&amp;'Implied Productivity Ratios'!$C73)</f>
        <v>324.40093662836921</v>
      </c>
      <c r="AU73">
        <f>SUMIFS('MoodysData(Raw)'!AX$2:AX$180,'MoodysData(Raw)'!$B$2:$B$180,"=GDP",'MoodysData(Raw)'!$D$2:$D$180,"="&amp;'Implied Productivity Ratios'!$C73)/SUMIFS('MoodysData(Raw)'!AX$2:AX$180,'MoodysData(Raw)'!$B$2:$B$180,"=EMP",'MoodysData(Raw)'!$D$2:$D$180,"="&amp;'Implied Productivity Ratios'!$C73)</f>
        <v>330.73763963664135</v>
      </c>
      <c r="AV73">
        <f>SUMIFS('MoodysData(Raw)'!AY$2:AY$180,'MoodysData(Raw)'!$B$2:$B$180,"=GDP",'MoodysData(Raw)'!$D$2:$D$180,"="&amp;'Implied Productivity Ratios'!$C73)/SUMIFS('MoodysData(Raw)'!AY$2:AY$180,'MoodysData(Raw)'!$B$2:$B$180,"=EMP",'MoodysData(Raw)'!$D$2:$D$180,"="&amp;'Implied Productivity Ratios'!$C73)</f>
        <v>337.39289143387123</v>
      </c>
      <c r="AW73">
        <f>SUMIFS('MoodysData(Raw)'!AZ$2:AZ$180,'MoodysData(Raw)'!$B$2:$B$180,"=GDP",'MoodysData(Raw)'!$D$2:$D$180,"="&amp;'Implied Productivity Ratios'!$C73)/SUMIFS('MoodysData(Raw)'!AZ$2:AZ$180,'MoodysData(Raw)'!$B$2:$B$180,"=EMP",'MoodysData(Raw)'!$D$2:$D$180,"="&amp;'Implied Productivity Ratios'!$C73)</f>
        <v>344.19378387866089</v>
      </c>
      <c r="AX73">
        <f>SUMIFS('MoodysData(Raw)'!BA$2:BA$180,'MoodysData(Raw)'!$B$2:$B$180,"=GDP",'MoodysData(Raw)'!$D$2:$D$180,"="&amp;'Implied Productivity Ratios'!$C73)/SUMIFS('MoodysData(Raw)'!BA$2:BA$180,'MoodysData(Raw)'!$B$2:$B$180,"=EMP",'MoodysData(Raw)'!$D$2:$D$180,"="&amp;'Implied Productivity Ratios'!$C73)</f>
        <v>351.11722252693835</v>
      </c>
      <c r="AY73">
        <f>SUMIFS('MoodysData(Raw)'!BB$2:BB$180,'MoodysData(Raw)'!$B$2:$B$180,"=GDP",'MoodysData(Raw)'!$D$2:$D$180,"="&amp;'Implied Productivity Ratios'!$C73)/SUMIFS('MoodysData(Raw)'!BB$2:BB$180,'MoodysData(Raw)'!$B$2:$B$180,"=EMP",'MoodysData(Raw)'!$D$2:$D$180,"="&amp;'Implied Productivity Ratios'!$C73)</f>
        <v>358.19916826423395</v>
      </c>
      <c r="AZ73">
        <f>SUMIFS('MoodysData(Raw)'!BC$2:BC$180,'MoodysData(Raw)'!$B$2:$B$180,"=GDP",'MoodysData(Raw)'!$D$2:$D$180,"="&amp;'Implied Productivity Ratios'!$C73)/SUMIFS('MoodysData(Raw)'!BC$2:BC$180,'MoodysData(Raw)'!$B$2:$B$180,"=EMP",'MoodysData(Raw)'!$D$2:$D$180,"="&amp;'Implied Productivity Ratios'!$C73)</f>
        <v>365.62261716878726</v>
      </c>
      <c r="BA73">
        <f>SUMIFS('MoodysData(Raw)'!BD$2:BD$180,'MoodysData(Raw)'!$B$2:$B$180,"=GDP",'MoodysData(Raw)'!$D$2:$D$180,"="&amp;'Implied Productivity Ratios'!$C73)/SUMIFS('MoodysData(Raw)'!BD$2:BD$180,'MoodysData(Raw)'!$B$2:$B$180,"=EMP",'MoodysData(Raw)'!$D$2:$D$180,"="&amp;'Implied Productivity Ratios'!$C73)</f>
        <v>373.37099857626822</v>
      </c>
      <c r="BB73">
        <f>SUMIFS('MoodysData(Raw)'!BE$2:BE$180,'MoodysData(Raw)'!$B$2:$B$180,"=GDP",'MoodysData(Raw)'!$D$2:$D$180,"="&amp;'Implied Productivity Ratios'!$C73)/SUMIFS('MoodysData(Raw)'!BE$2:BE$180,'MoodysData(Raw)'!$B$2:$B$180,"=EMP",'MoodysData(Raw)'!$D$2:$D$180,"="&amp;'Implied Productivity Ratios'!$C73)</f>
        <v>381.60690721051134</v>
      </c>
      <c r="BC73">
        <f>SUMIFS('MoodysData(Raw)'!BF$2:BF$180,'MoodysData(Raw)'!$B$2:$B$180,"=GDP",'MoodysData(Raw)'!$D$2:$D$180,"="&amp;'Implied Productivity Ratios'!$C73)/SUMIFS('MoodysData(Raw)'!BF$2:BF$180,'MoodysData(Raw)'!$B$2:$B$180,"=EMP",'MoodysData(Raw)'!$D$2:$D$180,"="&amp;'Implied Productivity Ratios'!$C73)</f>
        <v>390.29661148208203</v>
      </c>
      <c r="BD73" s="5">
        <f t="shared" ref="BD73:BH73" si="67">BC73+($BC73-$AX73)/5</f>
        <v>398.13248927311076</v>
      </c>
      <c r="BE73" s="5">
        <f t="shared" si="67"/>
        <v>405.9683670641395</v>
      </c>
      <c r="BF73" s="5">
        <f t="shared" si="67"/>
        <v>413.80424485516824</v>
      </c>
      <c r="BG73" s="5">
        <f t="shared" si="67"/>
        <v>421.64012264619697</v>
      </c>
      <c r="BH73" s="5">
        <f t="shared" si="67"/>
        <v>429.47600043722571</v>
      </c>
    </row>
    <row r="74" spans="3:60">
      <c r="C74">
        <v>551</v>
      </c>
      <c r="D74" t="s">
        <v>27</v>
      </c>
      <c r="E74">
        <f>SUMIFS('MoodysData(Raw)'!H$2:H$180,'MoodysData(Raw)'!$B$2:$B$180,"=GDP",'MoodysData(Raw)'!$D$2:$D$180,"="&amp;'Implied Productivity Ratios'!$C74)/SUMIFS('MoodysData(Raw)'!H$2:H$180,'MoodysData(Raw)'!$B$2:$B$180,"=EMP",'MoodysData(Raw)'!$D$2:$D$180,"="&amp;'Implied Productivity Ratios'!$C74)</f>
        <v>146.25298629107655</v>
      </c>
      <c r="F74">
        <f>SUMIFS('MoodysData(Raw)'!I$2:I$180,'MoodysData(Raw)'!$B$2:$B$180,"=GDP",'MoodysData(Raw)'!$D$2:$D$180,"="&amp;'Implied Productivity Ratios'!$C74)/SUMIFS('MoodysData(Raw)'!I$2:I$180,'MoodysData(Raw)'!$B$2:$B$180,"=EMP",'MoodysData(Raw)'!$D$2:$D$180,"="&amp;'Implied Productivity Ratios'!$C74)</f>
        <v>142.40991741296634</v>
      </c>
      <c r="G74">
        <f>SUMIFS('MoodysData(Raw)'!J$2:J$180,'MoodysData(Raw)'!$B$2:$B$180,"=GDP",'MoodysData(Raw)'!$D$2:$D$180,"="&amp;'Implied Productivity Ratios'!$C74)/SUMIFS('MoodysData(Raw)'!J$2:J$180,'MoodysData(Raw)'!$B$2:$B$180,"=EMP",'MoodysData(Raw)'!$D$2:$D$180,"="&amp;'Implied Productivity Ratios'!$C74)</f>
        <v>136.31594413597909</v>
      </c>
      <c r="H74">
        <f>SUMIFS('MoodysData(Raw)'!K$2:K$180,'MoodysData(Raw)'!$B$2:$B$180,"=GDP",'MoodysData(Raw)'!$D$2:$D$180,"="&amp;'Implied Productivity Ratios'!$C74)/SUMIFS('MoodysData(Raw)'!K$2:K$180,'MoodysData(Raw)'!$B$2:$B$180,"=EMP",'MoodysData(Raw)'!$D$2:$D$180,"="&amp;'Implied Productivity Ratios'!$C74)</f>
        <v>134.20903773772466</v>
      </c>
      <c r="I74">
        <f>SUMIFS('MoodysData(Raw)'!L$2:L$180,'MoodysData(Raw)'!$B$2:$B$180,"=GDP",'MoodysData(Raw)'!$D$2:$D$180,"="&amp;'Implied Productivity Ratios'!$C74)/SUMIFS('MoodysData(Raw)'!L$2:L$180,'MoodysData(Raw)'!$B$2:$B$180,"=EMP",'MoodysData(Raw)'!$D$2:$D$180,"="&amp;'Implied Productivity Ratios'!$C74)</f>
        <v>125.28255155030676</v>
      </c>
      <c r="J74">
        <f>SUMIFS('MoodysData(Raw)'!M$2:M$180,'MoodysData(Raw)'!$B$2:$B$180,"=GDP",'MoodysData(Raw)'!$D$2:$D$180,"="&amp;'Implied Productivity Ratios'!$C74)/SUMIFS('MoodysData(Raw)'!M$2:M$180,'MoodysData(Raw)'!$B$2:$B$180,"=EMP",'MoodysData(Raw)'!$D$2:$D$180,"="&amp;'Implied Productivity Ratios'!$C74)</f>
        <v>133.90970799592222</v>
      </c>
      <c r="K74">
        <f>SUMIFS('MoodysData(Raw)'!N$2:N$180,'MoodysData(Raw)'!$B$2:$B$180,"=GDP",'MoodysData(Raw)'!$D$2:$D$180,"="&amp;'Implied Productivity Ratios'!$C74)/SUMIFS('MoodysData(Raw)'!N$2:N$180,'MoodysData(Raw)'!$B$2:$B$180,"=EMP",'MoodysData(Raw)'!$D$2:$D$180,"="&amp;'Implied Productivity Ratios'!$C74)</f>
        <v>134.52616012755777</v>
      </c>
      <c r="L74">
        <f>SUMIFS('MoodysData(Raw)'!O$2:O$180,'MoodysData(Raw)'!$B$2:$B$180,"=GDP",'MoodysData(Raw)'!$D$2:$D$180,"="&amp;'Implied Productivity Ratios'!$C74)/SUMIFS('MoodysData(Raw)'!O$2:O$180,'MoodysData(Raw)'!$B$2:$B$180,"=EMP",'MoodysData(Raw)'!$D$2:$D$180,"="&amp;'Implied Productivity Ratios'!$C74)</f>
        <v>139.4057340028773</v>
      </c>
      <c r="M74">
        <f>SUMIFS('MoodysData(Raw)'!P$2:P$180,'MoodysData(Raw)'!$B$2:$B$180,"=GDP",'MoodysData(Raw)'!$D$2:$D$180,"="&amp;'Implied Productivity Ratios'!$C74)/SUMIFS('MoodysData(Raw)'!P$2:P$180,'MoodysData(Raw)'!$B$2:$B$180,"=EMP",'MoodysData(Raw)'!$D$2:$D$180,"="&amp;'Implied Productivity Ratios'!$C74)</f>
        <v>142.26973073671041</v>
      </c>
      <c r="N74">
        <f>SUMIFS('MoodysData(Raw)'!Q$2:Q$180,'MoodysData(Raw)'!$B$2:$B$180,"=GDP",'MoodysData(Raw)'!$D$2:$D$180,"="&amp;'Implied Productivity Ratios'!$C74)/SUMIFS('MoodysData(Raw)'!Q$2:Q$180,'MoodysData(Raw)'!$B$2:$B$180,"=EMP",'MoodysData(Raw)'!$D$2:$D$180,"="&amp;'Implied Productivity Ratios'!$C74)</f>
        <v>147.89010405871886</v>
      </c>
      <c r="O74">
        <f>SUMIFS('MoodysData(Raw)'!R$2:R$180,'MoodysData(Raw)'!$B$2:$B$180,"=GDP",'MoodysData(Raw)'!$D$2:$D$180,"="&amp;'Implied Productivity Ratios'!$C74)/SUMIFS('MoodysData(Raw)'!R$2:R$180,'MoodysData(Raw)'!$B$2:$B$180,"=EMP",'MoodysData(Raw)'!$D$2:$D$180,"="&amp;'Implied Productivity Ratios'!$C74)</f>
        <v>148.69552649642216</v>
      </c>
      <c r="P74">
        <f>SUMIFS('MoodysData(Raw)'!S$2:S$180,'MoodysData(Raw)'!$B$2:$B$180,"=GDP",'MoodysData(Raw)'!$D$2:$D$180,"="&amp;'Implied Productivity Ratios'!$C74)/SUMIFS('MoodysData(Raw)'!S$2:S$180,'MoodysData(Raw)'!$B$2:$B$180,"=EMP",'MoodysData(Raw)'!$D$2:$D$180,"="&amp;'Implied Productivity Ratios'!$C74)</f>
        <v>148.17257213768002</v>
      </c>
      <c r="Q74">
        <f>SUMIFS('MoodysData(Raw)'!T$2:T$180,'MoodysData(Raw)'!$B$2:$B$180,"=GDP",'MoodysData(Raw)'!$D$2:$D$180,"="&amp;'Implied Productivity Ratios'!$C74)/SUMIFS('MoodysData(Raw)'!T$2:T$180,'MoodysData(Raw)'!$B$2:$B$180,"=EMP",'MoodysData(Raw)'!$D$2:$D$180,"="&amp;'Implied Productivity Ratios'!$C74)</f>
        <v>155.28536804651509</v>
      </c>
      <c r="R74">
        <f>SUMIFS('MoodysData(Raw)'!U$2:U$180,'MoodysData(Raw)'!$B$2:$B$180,"=GDP",'MoodysData(Raw)'!$D$2:$D$180,"="&amp;'Implied Productivity Ratios'!$C74)/SUMIFS('MoodysData(Raw)'!U$2:U$180,'MoodysData(Raw)'!$B$2:$B$180,"=EMP",'MoodysData(Raw)'!$D$2:$D$180,"="&amp;'Implied Productivity Ratios'!$C74)</f>
        <v>162.44071463236079</v>
      </c>
      <c r="S74">
        <f>SUMIFS('MoodysData(Raw)'!V$2:V$180,'MoodysData(Raw)'!$B$2:$B$180,"=GDP",'MoodysData(Raw)'!$D$2:$D$180,"="&amp;'Implied Productivity Ratios'!$C74)/SUMIFS('MoodysData(Raw)'!V$2:V$180,'MoodysData(Raw)'!$B$2:$B$180,"=EMP",'MoodysData(Raw)'!$D$2:$D$180,"="&amp;'Implied Productivity Ratios'!$C74)</f>
        <v>170.77769109942977</v>
      </c>
      <c r="T74">
        <f>SUMIFS('MoodysData(Raw)'!W$2:W$180,'MoodysData(Raw)'!$B$2:$B$180,"=GDP",'MoodysData(Raw)'!$D$2:$D$180,"="&amp;'Implied Productivity Ratios'!$C74)/SUMIFS('MoodysData(Raw)'!W$2:W$180,'MoodysData(Raw)'!$B$2:$B$180,"=EMP",'MoodysData(Raw)'!$D$2:$D$180,"="&amp;'Implied Productivity Ratios'!$C74)</f>
        <v>180.397049806533</v>
      </c>
      <c r="U74">
        <f>SUMIFS('MoodysData(Raw)'!X$2:X$180,'MoodysData(Raw)'!$B$2:$B$180,"=GDP",'MoodysData(Raw)'!$D$2:$D$180,"="&amp;'Implied Productivity Ratios'!$C74)/SUMIFS('MoodysData(Raw)'!X$2:X$180,'MoodysData(Raw)'!$B$2:$B$180,"=EMP",'MoodysData(Raw)'!$D$2:$D$180,"="&amp;'Implied Productivity Ratios'!$C74)</f>
        <v>198.47511150312874</v>
      </c>
      <c r="V74">
        <f>SUMIFS('MoodysData(Raw)'!Y$2:Y$180,'MoodysData(Raw)'!$B$2:$B$180,"=GDP",'MoodysData(Raw)'!$D$2:$D$180,"="&amp;'Implied Productivity Ratios'!$C74)/SUMIFS('MoodysData(Raw)'!Y$2:Y$180,'MoodysData(Raw)'!$B$2:$B$180,"=EMP",'MoodysData(Raw)'!$D$2:$D$180,"="&amp;'Implied Productivity Ratios'!$C74)</f>
        <v>210.44919547376773</v>
      </c>
      <c r="W74">
        <f>SUMIFS('MoodysData(Raw)'!Z$2:Z$180,'MoodysData(Raw)'!$B$2:$B$180,"=GDP",'MoodysData(Raw)'!$D$2:$D$180,"="&amp;'Implied Productivity Ratios'!$C74)/SUMIFS('MoodysData(Raw)'!Z$2:Z$180,'MoodysData(Raw)'!$B$2:$B$180,"=EMP",'MoodysData(Raw)'!$D$2:$D$180,"="&amp;'Implied Productivity Ratios'!$C74)</f>
        <v>209.72489358840838</v>
      </c>
      <c r="X74">
        <f>SUMIFS('MoodysData(Raw)'!AA$2:AA$180,'MoodysData(Raw)'!$B$2:$B$180,"=GDP",'MoodysData(Raw)'!$D$2:$D$180,"="&amp;'Implied Productivity Ratios'!$C74)/SUMIFS('MoodysData(Raw)'!AA$2:AA$180,'MoodysData(Raw)'!$B$2:$B$180,"=EMP",'MoodysData(Raw)'!$D$2:$D$180,"="&amp;'Implied Productivity Ratios'!$C74)</f>
        <v>214.70100474211461</v>
      </c>
      <c r="Y74">
        <f>SUMIFS('MoodysData(Raw)'!AB$2:AB$180,'MoodysData(Raw)'!$B$2:$B$180,"=GDP",'MoodysData(Raw)'!$D$2:$D$180,"="&amp;'Implied Productivity Ratios'!$C74)/SUMIFS('MoodysData(Raw)'!AB$2:AB$180,'MoodysData(Raw)'!$B$2:$B$180,"=EMP",'MoodysData(Raw)'!$D$2:$D$180,"="&amp;'Implied Productivity Ratios'!$C74)</f>
        <v>218.82723172677288</v>
      </c>
      <c r="Z74">
        <f>SUMIFS('MoodysData(Raw)'!AC$2:AC$180,'MoodysData(Raw)'!$B$2:$B$180,"=GDP",'MoodysData(Raw)'!$D$2:$D$180,"="&amp;'Implied Productivity Ratios'!$C74)/SUMIFS('MoodysData(Raw)'!AC$2:AC$180,'MoodysData(Raw)'!$B$2:$B$180,"=EMP",'MoodysData(Raw)'!$D$2:$D$180,"="&amp;'Implied Productivity Ratios'!$C74)</f>
        <v>222.25409247252205</v>
      </c>
      <c r="AA74">
        <f>SUMIFS('MoodysData(Raw)'!AD$2:AD$180,'MoodysData(Raw)'!$B$2:$B$180,"=GDP",'MoodysData(Raw)'!$D$2:$D$180,"="&amp;'Implied Productivity Ratios'!$C74)/SUMIFS('MoodysData(Raw)'!AD$2:AD$180,'MoodysData(Raw)'!$B$2:$B$180,"=EMP",'MoodysData(Raw)'!$D$2:$D$180,"="&amp;'Implied Productivity Ratios'!$C74)</f>
        <v>226.41112195562363</v>
      </c>
      <c r="AB74">
        <f>SUMIFS('MoodysData(Raw)'!AE$2:AE$180,'MoodysData(Raw)'!$B$2:$B$180,"=GDP",'MoodysData(Raw)'!$D$2:$D$180,"="&amp;'Implied Productivity Ratios'!$C74)/SUMIFS('MoodysData(Raw)'!AE$2:AE$180,'MoodysData(Raw)'!$B$2:$B$180,"=EMP",'MoodysData(Raw)'!$D$2:$D$180,"="&amp;'Implied Productivity Ratios'!$C74)</f>
        <v>231.18318396975829</v>
      </c>
      <c r="AC74">
        <f>SUMIFS('MoodysData(Raw)'!AF$2:AF$180,'MoodysData(Raw)'!$B$2:$B$180,"=GDP",'MoodysData(Raw)'!$D$2:$D$180,"="&amp;'Implied Productivity Ratios'!$C74)/SUMIFS('MoodysData(Raw)'!AF$2:AF$180,'MoodysData(Raw)'!$B$2:$B$180,"=EMP",'MoodysData(Raw)'!$D$2:$D$180,"="&amp;'Implied Productivity Ratios'!$C74)</f>
        <v>236.53700075369767</v>
      </c>
      <c r="AD74">
        <f>SUMIFS('MoodysData(Raw)'!AG$2:AG$180,'MoodysData(Raw)'!$B$2:$B$180,"=GDP",'MoodysData(Raw)'!$D$2:$D$180,"="&amp;'Implied Productivity Ratios'!$C74)/SUMIFS('MoodysData(Raw)'!AG$2:AG$180,'MoodysData(Raw)'!$B$2:$B$180,"=EMP",'MoodysData(Raw)'!$D$2:$D$180,"="&amp;'Implied Productivity Ratios'!$C74)</f>
        <v>242.2791895275931</v>
      </c>
      <c r="AE74">
        <f>SUMIFS('MoodysData(Raw)'!AH$2:AH$180,'MoodysData(Raw)'!$B$2:$B$180,"=GDP",'MoodysData(Raw)'!$D$2:$D$180,"="&amp;'Implied Productivity Ratios'!$C74)/SUMIFS('MoodysData(Raw)'!AH$2:AH$180,'MoodysData(Raw)'!$B$2:$B$180,"=EMP",'MoodysData(Raw)'!$D$2:$D$180,"="&amp;'Implied Productivity Ratios'!$C74)</f>
        <v>247.84842687309924</v>
      </c>
      <c r="AF74">
        <f>SUMIFS('MoodysData(Raw)'!AI$2:AI$180,'MoodysData(Raw)'!$B$2:$B$180,"=GDP",'MoodysData(Raw)'!$D$2:$D$180,"="&amp;'Implied Productivity Ratios'!$C74)/SUMIFS('MoodysData(Raw)'!AI$2:AI$180,'MoodysData(Raw)'!$B$2:$B$180,"=EMP",'MoodysData(Raw)'!$D$2:$D$180,"="&amp;'Implied Productivity Ratios'!$C74)</f>
        <v>253.44359314072059</v>
      </c>
      <c r="AG74">
        <f>SUMIFS('MoodysData(Raw)'!AJ$2:AJ$180,'MoodysData(Raw)'!$B$2:$B$180,"=GDP",'MoodysData(Raw)'!$D$2:$D$180,"="&amp;'Implied Productivity Ratios'!$C74)/SUMIFS('MoodysData(Raw)'!AJ$2:AJ$180,'MoodysData(Raw)'!$B$2:$B$180,"=EMP",'MoodysData(Raw)'!$D$2:$D$180,"="&amp;'Implied Productivity Ratios'!$C74)</f>
        <v>259.15720679057085</v>
      </c>
      <c r="AH74">
        <f>SUMIFS('MoodysData(Raw)'!AK$2:AK$180,'MoodysData(Raw)'!$B$2:$B$180,"=GDP",'MoodysData(Raw)'!$D$2:$D$180,"="&amp;'Implied Productivity Ratios'!$C74)/SUMIFS('MoodysData(Raw)'!AK$2:AK$180,'MoodysData(Raw)'!$B$2:$B$180,"=EMP",'MoodysData(Raw)'!$D$2:$D$180,"="&amp;'Implied Productivity Ratios'!$C74)</f>
        <v>264.49640707149769</v>
      </c>
      <c r="AI74">
        <f>SUMIFS('MoodysData(Raw)'!AL$2:AL$180,'MoodysData(Raw)'!$B$2:$B$180,"=GDP",'MoodysData(Raw)'!$D$2:$D$180,"="&amp;'Implied Productivity Ratios'!$C74)/SUMIFS('MoodysData(Raw)'!AL$2:AL$180,'MoodysData(Raw)'!$B$2:$B$180,"=EMP",'MoodysData(Raw)'!$D$2:$D$180,"="&amp;'Implied Productivity Ratios'!$C74)</f>
        <v>269.65187547481759</v>
      </c>
      <c r="AJ74">
        <f>SUMIFS('MoodysData(Raw)'!AM$2:AM$180,'MoodysData(Raw)'!$B$2:$B$180,"=GDP",'MoodysData(Raw)'!$D$2:$D$180,"="&amp;'Implied Productivity Ratios'!$C74)/SUMIFS('MoodysData(Raw)'!AM$2:AM$180,'MoodysData(Raw)'!$B$2:$B$180,"=EMP",'MoodysData(Raw)'!$D$2:$D$180,"="&amp;'Implied Productivity Ratios'!$C74)</f>
        <v>275.17307513348726</v>
      </c>
      <c r="AK74">
        <f>SUMIFS('MoodysData(Raw)'!AN$2:AN$180,'MoodysData(Raw)'!$B$2:$B$180,"=GDP",'MoodysData(Raw)'!$D$2:$D$180,"="&amp;'Implied Productivity Ratios'!$C74)/SUMIFS('MoodysData(Raw)'!AN$2:AN$180,'MoodysData(Raw)'!$B$2:$B$180,"=EMP",'MoodysData(Raw)'!$D$2:$D$180,"="&amp;'Implied Productivity Ratios'!$C74)</f>
        <v>281.09320796919224</v>
      </c>
      <c r="AL74">
        <f>SUMIFS('MoodysData(Raw)'!AO$2:AO$180,'MoodysData(Raw)'!$B$2:$B$180,"=GDP",'MoodysData(Raw)'!$D$2:$D$180,"="&amp;'Implied Productivity Ratios'!$C74)/SUMIFS('MoodysData(Raw)'!AO$2:AO$180,'MoodysData(Raw)'!$B$2:$B$180,"=EMP",'MoodysData(Raw)'!$D$2:$D$180,"="&amp;'Implied Productivity Ratios'!$C74)</f>
        <v>287.04346360197599</v>
      </c>
      <c r="AM74">
        <f>SUMIFS('MoodysData(Raw)'!AP$2:AP$180,'MoodysData(Raw)'!$B$2:$B$180,"=GDP",'MoodysData(Raw)'!$D$2:$D$180,"="&amp;'Implied Productivity Ratios'!$C74)/SUMIFS('MoodysData(Raw)'!AP$2:AP$180,'MoodysData(Raw)'!$B$2:$B$180,"=EMP",'MoodysData(Raw)'!$D$2:$D$180,"="&amp;'Implied Productivity Ratios'!$C74)</f>
        <v>292.9207188054188</v>
      </c>
      <c r="AN74">
        <f>SUMIFS('MoodysData(Raw)'!AQ$2:AQ$180,'MoodysData(Raw)'!$B$2:$B$180,"=GDP",'MoodysData(Raw)'!$D$2:$D$180,"="&amp;'Implied Productivity Ratios'!$C74)/SUMIFS('MoodysData(Raw)'!AQ$2:AQ$180,'MoodysData(Raw)'!$B$2:$B$180,"=EMP",'MoodysData(Raw)'!$D$2:$D$180,"="&amp;'Implied Productivity Ratios'!$C74)</f>
        <v>298.7131164892985</v>
      </c>
      <c r="AO74">
        <f>SUMIFS('MoodysData(Raw)'!AR$2:AR$180,'MoodysData(Raw)'!$B$2:$B$180,"=GDP",'MoodysData(Raw)'!$D$2:$D$180,"="&amp;'Implied Productivity Ratios'!$C74)/SUMIFS('MoodysData(Raw)'!AR$2:AR$180,'MoodysData(Raw)'!$B$2:$B$180,"=EMP",'MoodysData(Raw)'!$D$2:$D$180,"="&amp;'Implied Productivity Ratios'!$C74)</f>
        <v>304.38187003411883</v>
      </c>
      <c r="AP74">
        <f>SUMIFS('MoodysData(Raw)'!AS$2:AS$180,'MoodysData(Raw)'!$B$2:$B$180,"=GDP",'MoodysData(Raw)'!$D$2:$D$180,"="&amp;'Implied Productivity Ratios'!$C74)/SUMIFS('MoodysData(Raw)'!AS$2:AS$180,'MoodysData(Raw)'!$B$2:$B$180,"=EMP",'MoodysData(Raw)'!$D$2:$D$180,"="&amp;'Implied Productivity Ratios'!$C74)</f>
        <v>310.07775111413054</v>
      </c>
      <c r="AQ74">
        <f>SUMIFS('MoodysData(Raw)'!AT$2:AT$180,'MoodysData(Raw)'!$B$2:$B$180,"=GDP",'MoodysData(Raw)'!$D$2:$D$180,"="&amp;'Implied Productivity Ratios'!$C74)/SUMIFS('MoodysData(Raw)'!AT$2:AT$180,'MoodysData(Raw)'!$B$2:$B$180,"=EMP",'MoodysData(Raw)'!$D$2:$D$180,"="&amp;'Implied Productivity Ratios'!$C74)</f>
        <v>315.85984763420493</v>
      </c>
      <c r="AR74">
        <f>SUMIFS('MoodysData(Raw)'!AU$2:AU$180,'MoodysData(Raw)'!$B$2:$B$180,"=GDP",'MoodysData(Raw)'!$D$2:$D$180,"="&amp;'Implied Productivity Ratios'!$C74)/SUMIFS('MoodysData(Raw)'!AU$2:AU$180,'MoodysData(Raw)'!$B$2:$B$180,"=EMP",'MoodysData(Raw)'!$D$2:$D$180,"="&amp;'Implied Productivity Ratios'!$C74)</f>
        <v>321.78856191539558</v>
      </c>
      <c r="AS74">
        <f>SUMIFS('MoodysData(Raw)'!AV$2:AV$180,'MoodysData(Raw)'!$B$2:$B$180,"=GDP",'MoodysData(Raw)'!$D$2:$D$180,"="&amp;'Implied Productivity Ratios'!$C74)/SUMIFS('MoodysData(Raw)'!AV$2:AV$180,'MoodysData(Raw)'!$B$2:$B$180,"=EMP",'MoodysData(Raw)'!$D$2:$D$180,"="&amp;'Implied Productivity Ratios'!$C74)</f>
        <v>327.81026441814021</v>
      </c>
      <c r="AT74">
        <f>SUMIFS('MoodysData(Raw)'!AW$2:AW$180,'MoodysData(Raw)'!$B$2:$B$180,"=GDP",'MoodysData(Raw)'!$D$2:$D$180,"="&amp;'Implied Productivity Ratios'!$C74)/SUMIFS('MoodysData(Raw)'!AW$2:AW$180,'MoodysData(Raw)'!$B$2:$B$180,"=EMP",'MoodysData(Raw)'!$D$2:$D$180,"="&amp;'Implied Productivity Ratios'!$C74)</f>
        <v>333.83248356950043</v>
      </c>
      <c r="AU74">
        <f>SUMIFS('MoodysData(Raw)'!AX$2:AX$180,'MoodysData(Raw)'!$B$2:$B$180,"=GDP",'MoodysData(Raw)'!$D$2:$D$180,"="&amp;'Implied Productivity Ratios'!$C74)/SUMIFS('MoodysData(Raw)'!AX$2:AX$180,'MoodysData(Raw)'!$B$2:$B$180,"=EMP",'MoodysData(Raw)'!$D$2:$D$180,"="&amp;'Implied Productivity Ratios'!$C74)</f>
        <v>340.03804732245032</v>
      </c>
      <c r="AV74">
        <f>SUMIFS('MoodysData(Raw)'!AY$2:AY$180,'MoodysData(Raw)'!$B$2:$B$180,"=GDP",'MoodysData(Raw)'!$D$2:$D$180,"="&amp;'Implied Productivity Ratios'!$C74)/SUMIFS('MoodysData(Raw)'!AY$2:AY$180,'MoodysData(Raw)'!$B$2:$B$180,"=EMP",'MoodysData(Raw)'!$D$2:$D$180,"="&amp;'Implied Productivity Ratios'!$C74)</f>
        <v>346.47922830293345</v>
      </c>
      <c r="AW74">
        <f>SUMIFS('MoodysData(Raw)'!AZ$2:AZ$180,'MoodysData(Raw)'!$B$2:$B$180,"=GDP",'MoodysData(Raw)'!$D$2:$D$180,"="&amp;'Implied Productivity Ratios'!$C74)/SUMIFS('MoodysData(Raw)'!AZ$2:AZ$180,'MoodysData(Raw)'!$B$2:$B$180,"=EMP",'MoodysData(Raw)'!$D$2:$D$180,"="&amp;'Implied Productivity Ratios'!$C74)</f>
        <v>352.93154591537501</v>
      </c>
      <c r="AX74">
        <f>SUMIFS('MoodysData(Raw)'!BA$2:BA$180,'MoodysData(Raw)'!$B$2:$B$180,"=GDP",'MoodysData(Raw)'!$D$2:$D$180,"="&amp;'Implied Productivity Ratios'!$C74)/SUMIFS('MoodysData(Raw)'!BA$2:BA$180,'MoodysData(Raw)'!$B$2:$B$180,"=EMP",'MoodysData(Raw)'!$D$2:$D$180,"="&amp;'Implied Productivity Ratios'!$C74)</f>
        <v>359.4156809811571</v>
      </c>
      <c r="AY74">
        <f>SUMIFS('MoodysData(Raw)'!BB$2:BB$180,'MoodysData(Raw)'!$B$2:$B$180,"=GDP",'MoodysData(Raw)'!$D$2:$D$180,"="&amp;'Implied Productivity Ratios'!$C74)/SUMIFS('MoodysData(Raw)'!BB$2:BB$180,'MoodysData(Raw)'!$B$2:$B$180,"=EMP",'MoodysData(Raw)'!$D$2:$D$180,"="&amp;'Implied Productivity Ratios'!$C74)</f>
        <v>365.92133308248583</v>
      </c>
      <c r="AZ74">
        <f>SUMIFS('MoodysData(Raw)'!BC$2:BC$180,'MoodysData(Raw)'!$B$2:$B$180,"=GDP",'MoodysData(Raw)'!$D$2:$D$180,"="&amp;'Implied Productivity Ratios'!$C74)/SUMIFS('MoodysData(Raw)'!BC$2:BC$180,'MoodysData(Raw)'!$B$2:$B$180,"=EMP",'MoodysData(Raw)'!$D$2:$D$180,"="&amp;'Implied Productivity Ratios'!$C74)</f>
        <v>372.64235324274546</v>
      </c>
      <c r="BA74">
        <f>SUMIFS('MoodysData(Raw)'!BD$2:BD$180,'MoodysData(Raw)'!$B$2:$B$180,"=GDP",'MoodysData(Raw)'!$D$2:$D$180,"="&amp;'Implied Productivity Ratios'!$C74)/SUMIFS('MoodysData(Raw)'!BD$2:BD$180,'MoodysData(Raw)'!$B$2:$B$180,"=EMP",'MoodysData(Raw)'!$D$2:$D$180,"="&amp;'Implied Productivity Ratios'!$C74)</f>
        <v>379.5604342077213</v>
      </c>
      <c r="BB74">
        <f>SUMIFS('MoodysData(Raw)'!BE$2:BE$180,'MoodysData(Raw)'!$B$2:$B$180,"=GDP",'MoodysData(Raw)'!$D$2:$D$180,"="&amp;'Implied Productivity Ratios'!$C74)/SUMIFS('MoodysData(Raw)'!BE$2:BE$180,'MoodysData(Raw)'!$B$2:$B$180,"=EMP",'MoodysData(Raw)'!$D$2:$D$180,"="&amp;'Implied Productivity Ratios'!$C74)</f>
        <v>386.84557237373434</v>
      </c>
      <c r="BC74">
        <f>SUMIFS('MoodysData(Raw)'!BF$2:BF$180,'MoodysData(Raw)'!$B$2:$B$180,"=GDP",'MoodysData(Raw)'!$D$2:$D$180,"="&amp;'Implied Productivity Ratios'!$C74)/SUMIFS('MoodysData(Raw)'!BF$2:BF$180,'MoodysData(Raw)'!$B$2:$B$180,"=EMP",'MoodysData(Raw)'!$D$2:$D$180,"="&amp;'Implied Productivity Ratios'!$C74)</f>
        <v>394.52377140236894</v>
      </c>
      <c r="BD74" s="5">
        <f t="shared" ref="BD74:BH74" si="68">BC74+($BC74-$AX74)/5</f>
        <v>401.54538948661133</v>
      </c>
      <c r="BE74" s="5">
        <f t="shared" si="68"/>
        <v>408.56700757085372</v>
      </c>
      <c r="BF74" s="5">
        <f t="shared" si="68"/>
        <v>415.58862565509611</v>
      </c>
      <c r="BG74" s="5">
        <f t="shared" si="68"/>
        <v>422.6102437393385</v>
      </c>
      <c r="BH74" s="5">
        <f t="shared" si="68"/>
        <v>429.63186182358089</v>
      </c>
    </row>
    <row r="75" spans="3:60">
      <c r="C75">
        <v>561</v>
      </c>
      <c r="D75" t="s">
        <v>406</v>
      </c>
      <c r="E75">
        <f>SUMIFS('MoodysData(Raw)'!H$2:H$180,'MoodysData(Raw)'!$B$2:$B$180,"=GDP",'MoodysData(Raw)'!$D$2:$D$180,"="&amp;'Implied Productivity Ratios'!$C75)/SUMIFS('MoodysData(Raw)'!H$2:H$180,'MoodysData(Raw)'!$B$2:$B$180,"=EMP",'MoodysData(Raw)'!$D$2:$D$180,"="&amp;'Implied Productivity Ratios'!$C75)</f>
        <v>55.365895775565683</v>
      </c>
      <c r="F75">
        <f>SUMIFS('MoodysData(Raw)'!I$2:I$180,'MoodysData(Raw)'!$B$2:$B$180,"=GDP",'MoodysData(Raw)'!$D$2:$D$180,"="&amp;'Implied Productivity Ratios'!$C75)/SUMIFS('MoodysData(Raw)'!I$2:I$180,'MoodysData(Raw)'!$B$2:$B$180,"=EMP",'MoodysData(Raw)'!$D$2:$D$180,"="&amp;'Implied Productivity Ratios'!$C75)</f>
        <v>55.259414723960134</v>
      </c>
      <c r="G75">
        <f>SUMIFS('MoodysData(Raw)'!J$2:J$180,'MoodysData(Raw)'!$B$2:$B$180,"=GDP",'MoodysData(Raw)'!$D$2:$D$180,"="&amp;'Implied Productivity Ratios'!$C75)/SUMIFS('MoodysData(Raw)'!J$2:J$180,'MoodysData(Raw)'!$B$2:$B$180,"=EMP",'MoodysData(Raw)'!$D$2:$D$180,"="&amp;'Implied Productivity Ratios'!$C75)</f>
        <v>57.626647209103396</v>
      </c>
      <c r="H75">
        <f>SUMIFS('MoodysData(Raw)'!K$2:K$180,'MoodysData(Raw)'!$B$2:$B$180,"=GDP",'MoodysData(Raw)'!$D$2:$D$180,"="&amp;'Implied Productivity Ratios'!$C75)/SUMIFS('MoodysData(Raw)'!K$2:K$180,'MoodysData(Raw)'!$B$2:$B$180,"=EMP",'MoodysData(Raw)'!$D$2:$D$180,"="&amp;'Implied Productivity Ratios'!$C75)</f>
        <v>59.916444025562022</v>
      </c>
      <c r="I75">
        <f>SUMIFS('MoodysData(Raw)'!L$2:L$180,'MoodysData(Raw)'!$B$2:$B$180,"=GDP",'MoodysData(Raw)'!$D$2:$D$180,"="&amp;'Implied Productivity Ratios'!$C75)/SUMIFS('MoodysData(Raw)'!L$2:L$180,'MoodysData(Raw)'!$B$2:$B$180,"=EMP",'MoodysData(Raw)'!$D$2:$D$180,"="&amp;'Implied Productivity Ratios'!$C75)</f>
        <v>61.328131523291027</v>
      </c>
      <c r="J75">
        <f>SUMIFS('MoodysData(Raw)'!M$2:M$180,'MoodysData(Raw)'!$B$2:$B$180,"=GDP",'MoodysData(Raw)'!$D$2:$D$180,"="&amp;'Implied Productivity Ratios'!$C75)/SUMIFS('MoodysData(Raw)'!M$2:M$180,'MoodysData(Raw)'!$B$2:$B$180,"=EMP",'MoodysData(Raw)'!$D$2:$D$180,"="&amp;'Implied Productivity Ratios'!$C75)</f>
        <v>62.27527397204657</v>
      </c>
      <c r="K75">
        <f>SUMIFS('MoodysData(Raw)'!N$2:N$180,'MoodysData(Raw)'!$B$2:$B$180,"=GDP",'MoodysData(Raw)'!$D$2:$D$180,"="&amp;'Implied Productivity Ratios'!$C75)/SUMIFS('MoodysData(Raw)'!N$2:N$180,'MoodysData(Raw)'!$B$2:$B$180,"=EMP",'MoodysData(Raw)'!$D$2:$D$180,"="&amp;'Implied Productivity Ratios'!$C75)</f>
        <v>62.690304924224662</v>
      </c>
      <c r="L75">
        <f>SUMIFS('MoodysData(Raw)'!O$2:O$180,'MoodysData(Raw)'!$B$2:$B$180,"=GDP",'MoodysData(Raw)'!$D$2:$D$180,"="&amp;'Implied Productivity Ratios'!$C75)/SUMIFS('MoodysData(Raw)'!O$2:O$180,'MoodysData(Raw)'!$B$2:$B$180,"=EMP",'MoodysData(Raw)'!$D$2:$D$180,"="&amp;'Implied Productivity Ratios'!$C75)</f>
        <v>62.75120676733107</v>
      </c>
      <c r="M75">
        <f>SUMIFS('MoodysData(Raw)'!P$2:P$180,'MoodysData(Raw)'!$B$2:$B$180,"=GDP",'MoodysData(Raw)'!$D$2:$D$180,"="&amp;'Implied Productivity Ratios'!$C75)/SUMIFS('MoodysData(Raw)'!P$2:P$180,'MoodysData(Raw)'!$B$2:$B$180,"=EMP",'MoodysData(Raw)'!$D$2:$D$180,"="&amp;'Implied Productivity Ratios'!$C75)</f>
        <v>61.862950029867818</v>
      </c>
      <c r="N75">
        <f>SUMIFS('MoodysData(Raw)'!Q$2:Q$180,'MoodysData(Raw)'!$B$2:$B$180,"=GDP",'MoodysData(Raw)'!$D$2:$D$180,"="&amp;'Implied Productivity Ratios'!$C75)/SUMIFS('MoodysData(Raw)'!Q$2:Q$180,'MoodysData(Raw)'!$B$2:$B$180,"=EMP",'MoodysData(Raw)'!$D$2:$D$180,"="&amp;'Implied Productivity Ratios'!$C75)</f>
        <v>62.006644993661574</v>
      </c>
      <c r="O75">
        <f>SUMIFS('MoodysData(Raw)'!R$2:R$180,'MoodysData(Raw)'!$B$2:$B$180,"=GDP",'MoodysData(Raw)'!$D$2:$D$180,"="&amp;'Implied Productivity Ratios'!$C75)/SUMIFS('MoodysData(Raw)'!R$2:R$180,'MoodysData(Raw)'!$B$2:$B$180,"=EMP",'MoodysData(Raw)'!$D$2:$D$180,"="&amp;'Implied Productivity Ratios'!$C75)</f>
        <v>61.226319129366296</v>
      </c>
      <c r="P75">
        <f>SUMIFS('MoodysData(Raw)'!S$2:S$180,'MoodysData(Raw)'!$B$2:$B$180,"=GDP",'MoodysData(Raw)'!$D$2:$D$180,"="&amp;'Implied Productivity Ratios'!$C75)/SUMIFS('MoodysData(Raw)'!S$2:S$180,'MoodysData(Raw)'!$B$2:$B$180,"=EMP",'MoodysData(Raw)'!$D$2:$D$180,"="&amp;'Implied Productivity Ratios'!$C75)</f>
        <v>60.549331507214305</v>
      </c>
      <c r="Q75">
        <f>SUMIFS('MoodysData(Raw)'!T$2:T$180,'MoodysData(Raw)'!$B$2:$B$180,"=GDP",'MoodysData(Raw)'!$D$2:$D$180,"="&amp;'Implied Productivity Ratios'!$C75)/SUMIFS('MoodysData(Raw)'!T$2:T$180,'MoodysData(Raw)'!$B$2:$B$180,"=EMP",'MoodysData(Raw)'!$D$2:$D$180,"="&amp;'Implied Productivity Ratios'!$C75)</f>
        <v>63.620561548076481</v>
      </c>
      <c r="R75">
        <f>SUMIFS('MoodysData(Raw)'!U$2:U$180,'MoodysData(Raw)'!$B$2:$B$180,"=GDP",'MoodysData(Raw)'!$D$2:$D$180,"="&amp;'Implied Productivity Ratios'!$C75)/SUMIFS('MoodysData(Raw)'!U$2:U$180,'MoodysData(Raw)'!$B$2:$B$180,"=EMP",'MoodysData(Raw)'!$D$2:$D$180,"="&amp;'Implied Productivity Ratios'!$C75)</f>
        <v>65.744583932513351</v>
      </c>
      <c r="S75">
        <f>SUMIFS('MoodysData(Raw)'!V$2:V$180,'MoodysData(Raw)'!$B$2:$B$180,"=GDP",'MoodysData(Raw)'!$D$2:$D$180,"="&amp;'Implied Productivity Ratios'!$C75)/SUMIFS('MoodysData(Raw)'!V$2:V$180,'MoodysData(Raw)'!$B$2:$B$180,"=EMP",'MoodysData(Raw)'!$D$2:$D$180,"="&amp;'Implied Productivity Ratios'!$C75)</f>
        <v>67.331254178139488</v>
      </c>
      <c r="T75">
        <f>SUMIFS('MoodysData(Raw)'!W$2:W$180,'MoodysData(Raw)'!$B$2:$B$180,"=GDP",'MoodysData(Raw)'!$D$2:$D$180,"="&amp;'Implied Productivity Ratios'!$C75)/SUMIFS('MoodysData(Raw)'!W$2:W$180,'MoodysData(Raw)'!$B$2:$B$180,"=EMP",'MoodysData(Raw)'!$D$2:$D$180,"="&amp;'Implied Productivity Ratios'!$C75)</f>
        <v>69.232530747487402</v>
      </c>
      <c r="U75">
        <f>SUMIFS('MoodysData(Raw)'!X$2:X$180,'MoodysData(Raw)'!$B$2:$B$180,"=GDP",'MoodysData(Raw)'!$D$2:$D$180,"="&amp;'Implied Productivity Ratios'!$C75)/SUMIFS('MoodysData(Raw)'!X$2:X$180,'MoodysData(Raw)'!$B$2:$B$180,"=EMP",'MoodysData(Raw)'!$D$2:$D$180,"="&amp;'Implied Productivity Ratios'!$C75)</f>
        <v>73.171633705125274</v>
      </c>
      <c r="V75">
        <f>SUMIFS('MoodysData(Raw)'!Y$2:Y$180,'MoodysData(Raw)'!$B$2:$B$180,"=GDP",'MoodysData(Raw)'!$D$2:$D$180,"="&amp;'Implied Productivity Ratios'!$C75)/SUMIFS('MoodysData(Raw)'!Y$2:Y$180,'MoodysData(Raw)'!$B$2:$B$180,"=EMP",'MoodysData(Raw)'!$D$2:$D$180,"="&amp;'Implied Productivity Ratios'!$C75)</f>
        <v>75.900878728274336</v>
      </c>
      <c r="W75">
        <f>SUMIFS('MoodysData(Raw)'!Z$2:Z$180,'MoodysData(Raw)'!$B$2:$B$180,"=GDP",'MoodysData(Raw)'!$D$2:$D$180,"="&amp;'Implied Productivity Ratios'!$C75)/SUMIFS('MoodysData(Raw)'!Z$2:Z$180,'MoodysData(Raw)'!$B$2:$B$180,"=EMP",'MoodysData(Raw)'!$D$2:$D$180,"="&amp;'Implied Productivity Ratios'!$C75)</f>
        <v>77.743545214585666</v>
      </c>
      <c r="X75">
        <f>SUMIFS('MoodysData(Raw)'!AA$2:AA$180,'MoodysData(Raw)'!$B$2:$B$180,"=GDP",'MoodysData(Raw)'!$D$2:$D$180,"="&amp;'Implied Productivity Ratios'!$C75)/SUMIFS('MoodysData(Raw)'!AA$2:AA$180,'MoodysData(Raw)'!$B$2:$B$180,"=EMP",'MoodysData(Raw)'!$D$2:$D$180,"="&amp;'Implied Productivity Ratios'!$C75)</f>
        <v>79.532670303748731</v>
      </c>
      <c r="Y75">
        <f>SUMIFS('MoodysData(Raw)'!AB$2:AB$180,'MoodysData(Raw)'!$B$2:$B$180,"=GDP",'MoodysData(Raw)'!$D$2:$D$180,"="&amp;'Implied Productivity Ratios'!$C75)/SUMIFS('MoodysData(Raw)'!AB$2:AB$180,'MoodysData(Raw)'!$B$2:$B$180,"=EMP",'MoodysData(Raw)'!$D$2:$D$180,"="&amp;'Implied Productivity Ratios'!$C75)</f>
        <v>81.702304096991313</v>
      </c>
      <c r="Z75">
        <f>SUMIFS('MoodysData(Raw)'!AC$2:AC$180,'MoodysData(Raw)'!$B$2:$B$180,"=GDP",'MoodysData(Raw)'!$D$2:$D$180,"="&amp;'Implied Productivity Ratios'!$C75)/SUMIFS('MoodysData(Raw)'!AC$2:AC$180,'MoodysData(Raw)'!$B$2:$B$180,"=EMP",'MoodysData(Raw)'!$D$2:$D$180,"="&amp;'Implied Productivity Ratios'!$C75)</f>
        <v>82.532964236731004</v>
      </c>
      <c r="AA75">
        <f>SUMIFS('MoodysData(Raw)'!AD$2:AD$180,'MoodysData(Raw)'!$B$2:$B$180,"=GDP",'MoodysData(Raw)'!$D$2:$D$180,"="&amp;'Implied Productivity Ratios'!$C75)/SUMIFS('MoodysData(Raw)'!AD$2:AD$180,'MoodysData(Raw)'!$B$2:$B$180,"=EMP",'MoodysData(Raw)'!$D$2:$D$180,"="&amp;'Implied Productivity Ratios'!$C75)</f>
        <v>83.181954235800475</v>
      </c>
      <c r="AB75">
        <f>SUMIFS('MoodysData(Raw)'!AE$2:AE$180,'MoodysData(Raw)'!$B$2:$B$180,"=GDP",'MoodysData(Raw)'!$D$2:$D$180,"="&amp;'Implied Productivity Ratios'!$C75)/SUMIFS('MoodysData(Raw)'!AE$2:AE$180,'MoodysData(Raw)'!$B$2:$B$180,"=EMP",'MoodysData(Raw)'!$D$2:$D$180,"="&amp;'Implied Productivity Ratios'!$C75)</f>
        <v>83.87988527476125</v>
      </c>
      <c r="AC75">
        <f>SUMIFS('MoodysData(Raw)'!AF$2:AF$180,'MoodysData(Raw)'!$B$2:$B$180,"=GDP",'MoodysData(Raw)'!$D$2:$D$180,"="&amp;'Implied Productivity Ratios'!$C75)/SUMIFS('MoodysData(Raw)'!AF$2:AF$180,'MoodysData(Raw)'!$B$2:$B$180,"=EMP",'MoodysData(Raw)'!$D$2:$D$180,"="&amp;'Implied Productivity Ratios'!$C75)</f>
        <v>84.681491763407834</v>
      </c>
      <c r="AD75">
        <f>SUMIFS('MoodysData(Raw)'!AG$2:AG$180,'MoodysData(Raw)'!$B$2:$B$180,"=GDP",'MoodysData(Raw)'!$D$2:$D$180,"="&amp;'Implied Productivity Ratios'!$C75)/SUMIFS('MoodysData(Raw)'!AG$2:AG$180,'MoodysData(Raw)'!$B$2:$B$180,"=EMP",'MoodysData(Raw)'!$D$2:$D$180,"="&amp;'Implied Productivity Ratios'!$C75)</f>
        <v>85.625695736162569</v>
      </c>
      <c r="AE75">
        <f>SUMIFS('MoodysData(Raw)'!AH$2:AH$180,'MoodysData(Raw)'!$B$2:$B$180,"=GDP",'MoodysData(Raw)'!$D$2:$D$180,"="&amp;'Implied Productivity Ratios'!$C75)/SUMIFS('MoodysData(Raw)'!AH$2:AH$180,'MoodysData(Raw)'!$B$2:$B$180,"=EMP",'MoodysData(Raw)'!$D$2:$D$180,"="&amp;'Implied Productivity Ratios'!$C75)</f>
        <v>86.624162026665203</v>
      </c>
      <c r="AF75">
        <f>SUMIFS('MoodysData(Raw)'!AI$2:AI$180,'MoodysData(Raw)'!$B$2:$B$180,"=GDP",'MoodysData(Raw)'!$D$2:$D$180,"="&amp;'Implied Productivity Ratios'!$C75)/SUMIFS('MoodysData(Raw)'!AI$2:AI$180,'MoodysData(Raw)'!$B$2:$B$180,"=EMP",'MoodysData(Raw)'!$D$2:$D$180,"="&amp;'Implied Productivity Ratios'!$C75)</f>
        <v>87.618530318627052</v>
      </c>
      <c r="AG75">
        <f>SUMIFS('MoodysData(Raw)'!AJ$2:AJ$180,'MoodysData(Raw)'!$B$2:$B$180,"=GDP",'MoodysData(Raw)'!$D$2:$D$180,"="&amp;'Implied Productivity Ratios'!$C75)/SUMIFS('MoodysData(Raw)'!AJ$2:AJ$180,'MoodysData(Raw)'!$B$2:$B$180,"=EMP",'MoodysData(Raw)'!$D$2:$D$180,"="&amp;'Implied Productivity Ratios'!$C75)</f>
        <v>88.543648864243679</v>
      </c>
      <c r="AH75">
        <f>SUMIFS('MoodysData(Raw)'!AK$2:AK$180,'MoodysData(Raw)'!$B$2:$B$180,"=GDP",'MoodysData(Raw)'!$D$2:$D$180,"="&amp;'Implied Productivity Ratios'!$C75)/SUMIFS('MoodysData(Raw)'!AK$2:AK$180,'MoodysData(Raw)'!$B$2:$B$180,"=EMP",'MoodysData(Raw)'!$D$2:$D$180,"="&amp;'Implied Productivity Ratios'!$C75)</f>
        <v>89.33312352567151</v>
      </c>
      <c r="AI75">
        <f>SUMIFS('MoodysData(Raw)'!AL$2:AL$180,'MoodysData(Raw)'!$B$2:$B$180,"=GDP",'MoodysData(Raw)'!$D$2:$D$180,"="&amp;'Implied Productivity Ratios'!$C75)/SUMIFS('MoodysData(Raw)'!AL$2:AL$180,'MoodysData(Raw)'!$B$2:$B$180,"=EMP",'MoodysData(Raw)'!$D$2:$D$180,"="&amp;'Implied Productivity Ratios'!$C75)</f>
        <v>90.130875836391581</v>
      </c>
      <c r="AJ75">
        <f>SUMIFS('MoodysData(Raw)'!AM$2:AM$180,'MoodysData(Raw)'!$B$2:$B$180,"=GDP",'MoodysData(Raw)'!$D$2:$D$180,"="&amp;'Implied Productivity Ratios'!$C75)/SUMIFS('MoodysData(Raw)'!AM$2:AM$180,'MoodysData(Raw)'!$B$2:$B$180,"=EMP",'MoodysData(Raw)'!$D$2:$D$180,"="&amp;'Implied Productivity Ratios'!$C75)</f>
        <v>91.015908027948768</v>
      </c>
      <c r="AK75">
        <f>SUMIFS('MoodysData(Raw)'!AN$2:AN$180,'MoodysData(Raw)'!$B$2:$B$180,"=GDP",'MoodysData(Raw)'!$D$2:$D$180,"="&amp;'Implied Productivity Ratios'!$C75)/SUMIFS('MoodysData(Raw)'!AN$2:AN$180,'MoodysData(Raw)'!$B$2:$B$180,"=EMP",'MoodysData(Raw)'!$D$2:$D$180,"="&amp;'Implied Productivity Ratios'!$C75)</f>
        <v>92.012717020523056</v>
      </c>
      <c r="AL75">
        <f>SUMIFS('MoodysData(Raw)'!AO$2:AO$180,'MoodysData(Raw)'!$B$2:$B$180,"=GDP",'MoodysData(Raw)'!$D$2:$D$180,"="&amp;'Implied Productivity Ratios'!$C75)/SUMIFS('MoodysData(Raw)'!AO$2:AO$180,'MoodysData(Raw)'!$B$2:$B$180,"=EMP",'MoodysData(Raw)'!$D$2:$D$180,"="&amp;'Implied Productivity Ratios'!$C75)</f>
        <v>93.07304271096632</v>
      </c>
      <c r="AM75">
        <f>SUMIFS('MoodysData(Raw)'!AP$2:AP$180,'MoodysData(Raw)'!$B$2:$B$180,"=GDP",'MoodysData(Raw)'!$D$2:$D$180,"="&amp;'Implied Productivity Ratios'!$C75)/SUMIFS('MoodysData(Raw)'!AP$2:AP$180,'MoodysData(Raw)'!$B$2:$B$180,"=EMP",'MoodysData(Raw)'!$D$2:$D$180,"="&amp;'Implied Productivity Ratios'!$C75)</f>
        <v>94.189969870084866</v>
      </c>
      <c r="AN75">
        <f>SUMIFS('MoodysData(Raw)'!AQ$2:AQ$180,'MoodysData(Raw)'!$B$2:$B$180,"=GDP",'MoodysData(Raw)'!$D$2:$D$180,"="&amp;'Implied Productivity Ratios'!$C75)/SUMIFS('MoodysData(Raw)'!AQ$2:AQ$180,'MoodysData(Raw)'!$B$2:$B$180,"=EMP",'MoodysData(Raw)'!$D$2:$D$180,"="&amp;'Implied Productivity Ratios'!$C75)</f>
        <v>95.361032095764074</v>
      </c>
      <c r="AO75">
        <f>SUMIFS('MoodysData(Raw)'!AR$2:AR$180,'MoodysData(Raw)'!$B$2:$B$180,"=GDP",'MoodysData(Raw)'!$D$2:$D$180,"="&amp;'Implied Productivity Ratios'!$C75)/SUMIFS('MoodysData(Raw)'!AR$2:AR$180,'MoodysData(Raw)'!$B$2:$B$180,"=EMP",'MoodysData(Raw)'!$D$2:$D$180,"="&amp;'Implied Productivity Ratios'!$C75)</f>
        <v>96.584763917463277</v>
      </c>
      <c r="AP75">
        <f>SUMIFS('MoodysData(Raw)'!AS$2:AS$180,'MoodysData(Raw)'!$B$2:$B$180,"=GDP",'MoodysData(Raw)'!$D$2:$D$180,"="&amp;'Implied Productivity Ratios'!$C75)/SUMIFS('MoodysData(Raw)'!AS$2:AS$180,'MoodysData(Raw)'!$B$2:$B$180,"=EMP",'MoodysData(Raw)'!$D$2:$D$180,"="&amp;'Implied Productivity Ratios'!$C75)</f>
        <v>97.868517720969365</v>
      </c>
      <c r="AQ75">
        <f>SUMIFS('MoodysData(Raw)'!AT$2:AT$180,'MoodysData(Raw)'!$B$2:$B$180,"=GDP",'MoodysData(Raw)'!$D$2:$D$180,"="&amp;'Implied Productivity Ratios'!$C75)/SUMIFS('MoodysData(Raw)'!AT$2:AT$180,'MoodysData(Raw)'!$B$2:$B$180,"=EMP",'MoodysData(Raw)'!$D$2:$D$180,"="&amp;'Implied Productivity Ratios'!$C75)</f>
        <v>99.248071730759378</v>
      </c>
      <c r="AR75">
        <f>SUMIFS('MoodysData(Raw)'!AU$2:AU$180,'MoodysData(Raw)'!$B$2:$B$180,"=GDP",'MoodysData(Raw)'!$D$2:$D$180,"="&amp;'Implied Productivity Ratios'!$C75)/SUMIFS('MoodysData(Raw)'!AU$2:AU$180,'MoodysData(Raw)'!$B$2:$B$180,"=EMP",'MoodysData(Raw)'!$D$2:$D$180,"="&amp;'Implied Productivity Ratios'!$C75)</f>
        <v>100.69730023275605</v>
      </c>
      <c r="AS75">
        <f>SUMIFS('MoodysData(Raw)'!AV$2:AV$180,'MoodysData(Raw)'!$B$2:$B$180,"=GDP",'MoodysData(Raw)'!$D$2:$D$180,"="&amp;'Implied Productivity Ratios'!$C75)/SUMIFS('MoodysData(Raw)'!AV$2:AV$180,'MoodysData(Raw)'!$B$2:$B$180,"=EMP",'MoodysData(Raw)'!$D$2:$D$180,"="&amp;'Implied Productivity Ratios'!$C75)</f>
        <v>102.15779129974676</v>
      </c>
      <c r="AT75">
        <f>SUMIFS('MoodysData(Raw)'!AW$2:AW$180,'MoodysData(Raw)'!$B$2:$B$180,"=GDP",'MoodysData(Raw)'!$D$2:$D$180,"="&amp;'Implied Productivity Ratios'!$C75)/SUMIFS('MoodysData(Raw)'!AW$2:AW$180,'MoodysData(Raw)'!$B$2:$B$180,"=EMP",'MoodysData(Raw)'!$D$2:$D$180,"="&amp;'Implied Productivity Ratios'!$C75)</f>
        <v>103.68443533359458</v>
      </c>
      <c r="AU75">
        <f>SUMIFS('MoodysData(Raw)'!AX$2:AX$180,'MoodysData(Raw)'!$B$2:$B$180,"=GDP",'MoodysData(Raw)'!$D$2:$D$180,"="&amp;'Implied Productivity Ratios'!$C75)/SUMIFS('MoodysData(Raw)'!AX$2:AX$180,'MoodysData(Raw)'!$B$2:$B$180,"=EMP",'MoodysData(Raw)'!$D$2:$D$180,"="&amp;'Implied Productivity Ratios'!$C75)</f>
        <v>105.28672518225888</v>
      </c>
      <c r="AV75">
        <f>SUMIFS('MoodysData(Raw)'!AY$2:AY$180,'MoodysData(Raw)'!$B$2:$B$180,"=GDP",'MoodysData(Raw)'!$D$2:$D$180,"="&amp;'Implied Productivity Ratios'!$C75)/SUMIFS('MoodysData(Raw)'!AY$2:AY$180,'MoodysData(Raw)'!$B$2:$B$180,"=EMP",'MoodysData(Raw)'!$D$2:$D$180,"="&amp;'Implied Productivity Ratios'!$C75)</f>
        <v>106.92093280617696</v>
      </c>
      <c r="AW75">
        <f>SUMIFS('MoodysData(Raw)'!AZ$2:AZ$180,'MoodysData(Raw)'!$B$2:$B$180,"=GDP",'MoodysData(Raw)'!$D$2:$D$180,"="&amp;'Implied Productivity Ratios'!$C75)/SUMIFS('MoodysData(Raw)'!AZ$2:AZ$180,'MoodysData(Raw)'!$B$2:$B$180,"=EMP",'MoodysData(Raw)'!$D$2:$D$180,"="&amp;'Implied Productivity Ratios'!$C75)</f>
        <v>108.52484928544139</v>
      </c>
      <c r="AX75">
        <f>SUMIFS('MoodysData(Raw)'!BA$2:BA$180,'MoodysData(Raw)'!$B$2:$B$180,"=GDP",'MoodysData(Raw)'!$D$2:$D$180,"="&amp;'Implied Productivity Ratios'!$C75)/SUMIFS('MoodysData(Raw)'!BA$2:BA$180,'MoodysData(Raw)'!$B$2:$B$180,"=EMP",'MoodysData(Raw)'!$D$2:$D$180,"="&amp;'Implied Productivity Ratios'!$C75)</f>
        <v>110.13778967754673</v>
      </c>
      <c r="AY75">
        <f>SUMIFS('MoodysData(Raw)'!BB$2:BB$180,'MoodysData(Raw)'!$B$2:$B$180,"=GDP",'MoodysData(Raw)'!$D$2:$D$180,"="&amp;'Implied Productivity Ratios'!$C75)/SUMIFS('MoodysData(Raw)'!BB$2:BB$180,'MoodysData(Raw)'!$B$2:$B$180,"=EMP",'MoodysData(Raw)'!$D$2:$D$180,"="&amp;'Implied Productivity Ratios'!$C75)</f>
        <v>111.76594848043807</v>
      </c>
      <c r="AZ75">
        <f>SUMIFS('MoodysData(Raw)'!BC$2:BC$180,'MoodysData(Raw)'!$B$2:$B$180,"=GDP",'MoodysData(Raw)'!$D$2:$D$180,"="&amp;'Implied Productivity Ratios'!$C75)/SUMIFS('MoodysData(Raw)'!BC$2:BC$180,'MoodysData(Raw)'!$B$2:$B$180,"=EMP",'MoodysData(Raw)'!$D$2:$D$180,"="&amp;'Implied Productivity Ratios'!$C75)</f>
        <v>113.43590858856506</v>
      </c>
      <c r="BA75">
        <f>SUMIFS('MoodysData(Raw)'!BD$2:BD$180,'MoodysData(Raw)'!$B$2:$B$180,"=GDP",'MoodysData(Raw)'!$D$2:$D$180,"="&amp;'Implied Productivity Ratios'!$C75)/SUMIFS('MoodysData(Raw)'!BD$2:BD$180,'MoodysData(Raw)'!$B$2:$B$180,"=EMP",'MoodysData(Raw)'!$D$2:$D$180,"="&amp;'Implied Productivity Ratios'!$C75)</f>
        <v>115.15240276507494</v>
      </c>
      <c r="BB75">
        <f>SUMIFS('MoodysData(Raw)'!BE$2:BE$180,'MoodysData(Raw)'!$B$2:$B$180,"=GDP",'MoodysData(Raw)'!$D$2:$D$180,"="&amp;'Implied Productivity Ratios'!$C75)/SUMIFS('MoodysData(Raw)'!BE$2:BE$180,'MoodysData(Raw)'!$B$2:$B$180,"=EMP",'MoodysData(Raw)'!$D$2:$D$180,"="&amp;'Implied Productivity Ratios'!$C75)</f>
        <v>116.96201394027847</v>
      </c>
      <c r="BC75">
        <f>SUMIFS('MoodysData(Raw)'!BF$2:BF$180,'MoodysData(Raw)'!$B$2:$B$180,"=GDP",'MoodysData(Raw)'!$D$2:$D$180,"="&amp;'Implied Productivity Ratios'!$C75)/SUMIFS('MoodysData(Raw)'!BF$2:BF$180,'MoodysData(Raw)'!$B$2:$B$180,"=EMP",'MoodysData(Raw)'!$D$2:$D$180,"="&amp;'Implied Productivity Ratios'!$C75)</f>
        <v>118.84553898404211</v>
      </c>
      <c r="BD75" s="5">
        <f t="shared" ref="BD75:BH75" si="69">BC75+($BC75-$AX75)/5</f>
        <v>120.58708884534119</v>
      </c>
      <c r="BE75" s="5">
        <f t="shared" si="69"/>
        <v>122.32863870664026</v>
      </c>
      <c r="BF75" s="5">
        <f t="shared" si="69"/>
        <v>124.07018856793934</v>
      </c>
      <c r="BG75" s="5">
        <f t="shared" si="69"/>
        <v>125.81173842923842</v>
      </c>
      <c r="BH75" s="5">
        <f t="shared" si="69"/>
        <v>127.55328829053749</v>
      </c>
    </row>
    <row r="76" spans="3:60">
      <c r="C76">
        <v>562</v>
      </c>
      <c r="D76" t="s">
        <v>410</v>
      </c>
      <c r="E76">
        <f>SUMIFS('MoodysData(Raw)'!H$2:H$180,'MoodysData(Raw)'!$B$2:$B$180,"=GDP",'MoodysData(Raw)'!$D$2:$D$180,"="&amp;'Implied Productivity Ratios'!$C76)/SUMIFS('MoodysData(Raw)'!H$2:H$180,'MoodysData(Raw)'!$B$2:$B$180,"=EMP",'MoodysData(Raw)'!$D$2:$D$180,"="&amp;'Implied Productivity Ratios'!$C76)</f>
        <v>132.62819319715229</v>
      </c>
      <c r="F76">
        <f>SUMIFS('MoodysData(Raw)'!I$2:I$180,'MoodysData(Raw)'!$B$2:$B$180,"=GDP",'MoodysData(Raw)'!$D$2:$D$180,"="&amp;'Implied Productivity Ratios'!$C76)/SUMIFS('MoodysData(Raw)'!I$2:I$180,'MoodysData(Raw)'!$B$2:$B$180,"=EMP",'MoodysData(Raw)'!$D$2:$D$180,"="&amp;'Implied Productivity Ratios'!$C76)</f>
        <v>121.41835089578417</v>
      </c>
      <c r="G76">
        <f>SUMIFS('MoodysData(Raw)'!J$2:J$180,'MoodysData(Raw)'!$B$2:$B$180,"=GDP",'MoodysData(Raw)'!$D$2:$D$180,"="&amp;'Implied Productivity Ratios'!$C76)/SUMIFS('MoodysData(Raw)'!J$2:J$180,'MoodysData(Raw)'!$B$2:$B$180,"=EMP",'MoodysData(Raw)'!$D$2:$D$180,"="&amp;'Implied Productivity Ratios'!$C76)</f>
        <v>129.64236340017635</v>
      </c>
      <c r="H76">
        <f>SUMIFS('MoodysData(Raw)'!K$2:K$180,'MoodysData(Raw)'!$B$2:$B$180,"=GDP",'MoodysData(Raw)'!$D$2:$D$180,"="&amp;'Implied Productivity Ratios'!$C76)/SUMIFS('MoodysData(Raw)'!K$2:K$180,'MoodysData(Raw)'!$B$2:$B$180,"=EMP",'MoodysData(Raw)'!$D$2:$D$180,"="&amp;'Implied Productivity Ratios'!$C76)</f>
        <v>130.65169700735103</v>
      </c>
      <c r="I76">
        <f>SUMIFS('MoodysData(Raw)'!L$2:L$180,'MoodysData(Raw)'!$B$2:$B$180,"=GDP",'MoodysData(Raw)'!$D$2:$D$180,"="&amp;'Implied Productivity Ratios'!$C76)/SUMIFS('MoodysData(Raw)'!L$2:L$180,'MoodysData(Raw)'!$B$2:$B$180,"=EMP",'MoodysData(Raw)'!$D$2:$D$180,"="&amp;'Implied Productivity Ratios'!$C76)</f>
        <v>133.17604107634608</v>
      </c>
      <c r="J76">
        <f>SUMIFS('MoodysData(Raw)'!M$2:M$180,'MoodysData(Raw)'!$B$2:$B$180,"=GDP",'MoodysData(Raw)'!$D$2:$D$180,"="&amp;'Implied Productivity Ratios'!$C76)/SUMIFS('MoodysData(Raw)'!M$2:M$180,'MoodysData(Raw)'!$B$2:$B$180,"=EMP",'MoodysData(Raw)'!$D$2:$D$180,"="&amp;'Implied Productivity Ratios'!$C76)</f>
        <v>158.6190459033931</v>
      </c>
      <c r="K76">
        <f>SUMIFS('MoodysData(Raw)'!N$2:N$180,'MoodysData(Raw)'!$B$2:$B$180,"=GDP",'MoodysData(Raw)'!$D$2:$D$180,"="&amp;'Implied Productivity Ratios'!$C76)/SUMIFS('MoodysData(Raw)'!N$2:N$180,'MoodysData(Raw)'!$B$2:$B$180,"=EMP",'MoodysData(Raw)'!$D$2:$D$180,"="&amp;'Implied Productivity Ratios'!$C76)</f>
        <v>136.49412941925027</v>
      </c>
      <c r="L76">
        <f>SUMIFS('MoodysData(Raw)'!O$2:O$180,'MoodysData(Raw)'!$B$2:$B$180,"=GDP",'MoodysData(Raw)'!$D$2:$D$180,"="&amp;'Implied Productivity Ratios'!$C76)/SUMIFS('MoodysData(Raw)'!O$2:O$180,'MoodysData(Raw)'!$B$2:$B$180,"=EMP",'MoodysData(Raw)'!$D$2:$D$180,"="&amp;'Implied Productivity Ratios'!$C76)</f>
        <v>133.45745151745211</v>
      </c>
      <c r="M76">
        <f>SUMIFS('MoodysData(Raw)'!P$2:P$180,'MoodysData(Raw)'!$B$2:$B$180,"=GDP",'MoodysData(Raw)'!$D$2:$D$180,"="&amp;'Implied Productivity Ratios'!$C76)/SUMIFS('MoodysData(Raw)'!P$2:P$180,'MoodysData(Raw)'!$B$2:$B$180,"=EMP",'MoodysData(Raw)'!$D$2:$D$180,"="&amp;'Implied Productivity Ratios'!$C76)</f>
        <v>130.12302823282636</v>
      </c>
      <c r="N76">
        <f>SUMIFS('MoodysData(Raw)'!Q$2:Q$180,'MoodysData(Raw)'!$B$2:$B$180,"=GDP",'MoodysData(Raw)'!$D$2:$D$180,"="&amp;'Implied Productivity Ratios'!$C76)/SUMIFS('MoodysData(Raw)'!Q$2:Q$180,'MoodysData(Raw)'!$B$2:$B$180,"=EMP",'MoodysData(Raw)'!$D$2:$D$180,"="&amp;'Implied Productivity Ratios'!$C76)</f>
        <v>130.22813981469105</v>
      </c>
      <c r="O76">
        <f>SUMIFS('MoodysData(Raw)'!R$2:R$180,'MoodysData(Raw)'!$B$2:$B$180,"=GDP",'MoodysData(Raw)'!$D$2:$D$180,"="&amp;'Implied Productivity Ratios'!$C76)/SUMIFS('MoodysData(Raw)'!R$2:R$180,'MoodysData(Raw)'!$B$2:$B$180,"=EMP",'MoodysData(Raw)'!$D$2:$D$180,"="&amp;'Implied Productivity Ratios'!$C76)</f>
        <v>128.03592808346664</v>
      </c>
      <c r="P76">
        <f>SUMIFS('MoodysData(Raw)'!S$2:S$180,'MoodysData(Raw)'!$B$2:$B$180,"=GDP",'MoodysData(Raw)'!$D$2:$D$180,"="&amp;'Implied Productivity Ratios'!$C76)/SUMIFS('MoodysData(Raw)'!S$2:S$180,'MoodysData(Raw)'!$B$2:$B$180,"=EMP",'MoodysData(Raw)'!$D$2:$D$180,"="&amp;'Implied Productivity Ratios'!$C76)</f>
        <v>120.71930827142396</v>
      </c>
      <c r="Q76">
        <f>SUMIFS('MoodysData(Raw)'!T$2:T$180,'MoodysData(Raw)'!$B$2:$B$180,"=GDP",'MoodysData(Raw)'!$D$2:$D$180,"="&amp;'Implied Productivity Ratios'!$C76)/SUMIFS('MoodysData(Raw)'!T$2:T$180,'MoodysData(Raw)'!$B$2:$B$180,"=EMP",'MoodysData(Raw)'!$D$2:$D$180,"="&amp;'Implied Productivity Ratios'!$C76)</f>
        <v>127.68722287075869</v>
      </c>
      <c r="R76">
        <f>SUMIFS('MoodysData(Raw)'!U$2:U$180,'MoodysData(Raw)'!$B$2:$B$180,"=GDP",'MoodysData(Raw)'!$D$2:$D$180,"="&amp;'Implied Productivity Ratios'!$C76)/SUMIFS('MoodysData(Raw)'!U$2:U$180,'MoodysData(Raw)'!$B$2:$B$180,"=EMP",'MoodysData(Raw)'!$D$2:$D$180,"="&amp;'Implied Productivity Ratios'!$C76)</f>
        <v>124.78041094687816</v>
      </c>
      <c r="S76">
        <f>SUMIFS('MoodysData(Raw)'!V$2:V$180,'MoodysData(Raw)'!$B$2:$B$180,"=GDP",'MoodysData(Raw)'!$D$2:$D$180,"="&amp;'Implied Productivity Ratios'!$C76)/SUMIFS('MoodysData(Raw)'!V$2:V$180,'MoodysData(Raw)'!$B$2:$B$180,"=EMP",'MoodysData(Raw)'!$D$2:$D$180,"="&amp;'Implied Productivity Ratios'!$C76)</f>
        <v>119.38072423398329</v>
      </c>
      <c r="T76">
        <f>SUMIFS('MoodysData(Raw)'!W$2:W$180,'MoodysData(Raw)'!$B$2:$B$180,"=GDP",'MoodysData(Raw)'!$D$2:$D$180,"="&amp;'Implied Productivity Ratios'!$C76)/SUMIFS('MoodysData(Raw)'!W$2:W$180,'MoodysData(Raw)'!$B$2:$B$180,"=EMP",'MoodysData(Raw)'!$D$2:$D$180,"="&amp;'Implied Productivity Ratios'!$C76)</f>
        <v>117.54567072002524</v>
      </c>
      <c r="U76">
        <f>SUMIFS('MoodysData(Raw)'!X$2:X$180,'MoodysData(Raw)'!$B$2:$B$180,"=GDP",'MoodysData(Raw)'!$D$2:$D$180,"="&amp;'Implied Productivity Ratios'!$C76)/SUMIFS('MoodysData(Raw)'!X$2:X$180,'MoodysData(Raw)'!$B$2:$B$180,"=EMP",'MoodysData(Raw)'!$D$2:$D$180,"="&amp;'Implied Productivity Ratios'!$C76)</f>
        <v>125.60400204650105</v>
      </c>
      <c r="V76">
        <f>SUMIFS('MoodysData(Raw)'!Y$2:Y$180,'MoodysData(Raw)'!$B$2:$B$180,"=GDP",'MoodysData(Raw)'!$D$2:$D$180,"="&amp;'Implied Productivity Ratios'!$C76)/SUMIFS('MoodysData(Raw)'!Y$2:Y$180,'MoodysData(Raw)'!$B$2:$B$180,"=EMP",'MoodysData(Raw)'!$D$2:$D$180,"="&amp;'Implied Productivity Ratios'!$C76)</f>
        <v>124.80215616250021</v>
      </c>
      <c r="W76">
        <f>SUMIFS('MoodysData(Raw)'!Z$2:Z$180,'MoodysData(Raw)'!$B$2:$B$180,"=GDP",'MoodysData(Raw)'!$D$2:$D$180,"="&amp;'Implied Productivity Ratios'!$C76)/SUMIFS('MoodysData(Raw)'!Z$2:Z$180,'MoodysData(Raw)'!$B$2:$B$180,"=EMP",'MoodysData(Raw)'!$D$2:$D$180,"="&amp;'Implied Productivity Ratios'!$C76)</f>
        <v>115.39408639171232</v>
      </c>
      <c r="X76">
        <f>SUMIFS('MoodysData(Raw)'!AA$2:AA$180,'MoodysData(Raw)'!$B$2:$B$180,"=GDP",'MoodysData(Raw)'!$D$2:$D$180,"="&amp;'Implied Productivity Ratios'!$C76)/SUMIFS('MoodysData(Raw)'!AA$2:AA$180,'MoodysData(Raw)'!$B$2:$B$180,"=EMP",'MoodysData(Raw)'!$D$2:$D$180,"="&amp;'Implied Productivity Ratios'!$C76)</f>
        <v>114.20812203643882</v>
      </c>
      <c r="Y76">
        <f>SUMIFS('MoodysData(Raw)'!AB$2:AB$180,'MoodysData(Raw)'!$B$2:$B$180,"=GDP",'MoodysData(Raw)'!$D$2:$D$180,"="&amp;'Implied Productivity Ratios'!$C76)/SUMIFS('MoodysData(Raw)'!AB$2:AB$180,'MoodysData(Raw)'!$B$2:$B$180,"=EMP",'MoodysData(Raw)'!$D$2:$D$180,"="&amp;'Implied Productivity Ratios'!$C76)</f>
        <v>112.52091016306953</v>
      </c>
      <c r="Z76">
        <f>SUMIFS('MoodysData(Raw)'!AC$2:AC$180,'MoodysData(Raw)'!$B$2:$B$180,"=GDP",'MoodysData(Raw)'!$D$2:$D$180,"="&amp;'Implied Productivity Ratios'!$C76)/SUMIFS('MoodysData(Raw)'!AC$2:AC$180,'MoodysData(Raw)'!$B$2:$B$180,"=EMP",'MoodysData(Raw)'!$D$2:$D$180,"="&amp;'Implied Productivity Ratios'!$C76)</f>
        <v>109.58434912761199</v>
      </c>
      <c r="AA76">
        <f>SUMIFS('MoodysData(Raw)'!AD$2:AD$180,'MoodysData(Raw)'!$B$2:$B$180,"=GDP",'MoodysData(Raw)'!$D$2:$D$180,"="&amp;'Implied Productivity Ratios'!$C76)/SUMIFS('MoodysData(Raw)'!AD$2:AD$180,'MoodysData(Raw)'!$B$2:$B$180,"=EMP",'MoodysData(Raw)'!$D$2:$D$180,"="&amp;'Implied Productivity Ratios'!$C76)</f>
        <v>106.61862105789331</v>
      </c>
      <c r="AB76">
        <f>SUMIFS('MoodysData(Raw)'!AE$2:AE$180,'MoodysData(Raw)'!$B$2:$B$180,"=GDP",'MoodysData(Raw)'!$D$2:$D$180,"="&amp;'Implied Productivity Ratios'!$C76)/SUMIFS('MoodysData(Raw)'!AE$2:AE$180,'MoodysData(Raw)'!$B$2:$B$180,"=EMP",'MoodysData(Raw)'!$D$2:$D$180,"="&amp;'Implied Productivity Ratios'!$C76)</f>
        <v>103.92349991322378</v>
      </c>
      <c r="AC76">
        <f>SUMIFS('MoodysData(Raw)'!AF$2:AF$180,'MoodysData(Raw)'!$B$2:$B$180,"=GDP",'MoodysData(Raw)'!$D$2:$D$180,"="&amp;'Implied Productivity Ratios'!$C76)/SUMIFS('MoodysData(Raw)'!AF$2:AF$180,'MoodysData(Raw)'!$B$2:$B$180,"=EMP",'MoodysData(Raw)'!$D$2:$D$180,"="&amp;'Implied Productivity Ratios'!$C76)</f>
        <v>101.54032626065263</v>
      </c>
      <c r="AD76">
        <f>SUMIFS('MoodysData(Raw)'!AG$2:AG$180,'MoodysData(Raw)'!$B$2:$B$180,"=GDP",'MoodysData(Raw)'!$D$2:$D$180,"="&amp;'Implied Productivity Ratios'!$C76)/SUMIFS('MoodysData(Raw)'!AG$2:AG$180,'MoodysData(Raw)'!$B$2:$B$180,"=EMP",'MoodysData(Raw)'!$D$2:$D$180,"="&amp;'Implied Productivity Ratios'!$C76)</f>
        <v>99.488495174627261</v>
      </c>
      <c r="AE76">
        <f>SUMIFS('MoodysData(Raw)'!AH$2:AH$180,'MoodysData(Raw)'!$B$2:$B$180,"=GDP",'MoodysData(Raw)'!$D$2:$D$180,"="&amp;'Implied Productivity Ratios'!$C76)/SUMIFS('MoodysData(Raw)'!AH$2:AH$180,'MoodysData(Raw)'!$B$2:$B$180,"=EMP",'MoodysData(Raw)'!$D$2:$D$180,"="&amp;'Implied Productivity Ratios'!$C76)</f>
        <v>97.64710536596462</v>
      </c>
      <c r="AF76">
        <f>SUMIFS('MoodysData(Raw)'!AI$2:AI$180,'MoodysData(Raw)'!$B$2:$B$180,"=GDP",'MoodysData(Raw)'!$D$2:$D$180,"="&amp;'Implied Productivity Ratios'!$C76)/SUMIFS('MoodysData(Raw)'!AI$2:AI$180,'MoodysData(Raw)'!$B$2:$B$180,"=EMP",'MoodysData(Raw)'!$D$2:$D$180,"="&amp;'Implied Productivity Ratios'!$C76)</f>
        <v>95.941487771858561</v>
      </c>
      <c r="AG76">
        <f>SUMIFS('MoodysData(Raw)'!AJ$2:AJ$180,'MoodysData(Raw)'!$B$2:$B$180,"=GDP",'MoodysData(Raw)'!$D$2:$D$180,"="&amp;'Implied Productivity Ratios'!$C76)/SUMIFS('MoodysData(Raw)'!AJ$2:AJ$180,'MoodysData(Raw)'!$B$2:$B$180,"=EMP",'MoodysData(Raw)'!$D$2:$D$180,"="&amp;'Implied Productivity Ratios'!$C76)</f>
        <v>94.29611721975138</v>
      </c>
      <c r="AH76">
        <f>SUMIFS('MoodysData(Raw)'!AK$2:AK$180,'MoodysData(Raw)'!$B$2:$B$180,"=GDP",'MoodysData(Raw)'!$D$2:$D$180,"="&amp;'Implied Productivity Ratios'!$C76)/SUMIFS('MoodysData(Raw)'!AK$2:AK$180,'MoodysData(Raw)'!$B$2:$B$180,"=EMP",'MoodysData(Raw)'!$D$2:$D$180,"="&amp;'Implied Productivity Ratios'!$C76)</f>
        <v>92.641806868219575</v>
      </c>
      <c r="AI76">
        <f>SUMIFS('MoodysData(Raw)'!AL$2:AL$180,'MoodysData(Raw)'!$B$2:$B$180,"=GDP",'MoodysData(Raw)'!$D$2:$D$180,"="&amp;'Implied Productivity Ratios'!$C76)/SUMIFS('MoodysData(Raw)'!AL$2:AL$180,'MoodysData(Raw)'!$B$2:$B$180,"=EMP",'MoodysData(Raw)'!$D$2:$D$180,"="&amp;'Implied Productivity Ratios'!$C76)</f>
        <v>91.128765460869104</v>
      </c>
      <c r="AJ76">
        <f>SUMIFS('MoodysData(Raw)'!AM$2:AM$180,'MoodysData(Raw)'!$B$2:$B$180,"=GDP",'MoodysData(Raw)'!$D$2:$D$180,"="&amp;'Implied Productivity Ratios'!$C76)/SUMIFS('MoodysData(Raw)'!AM$2:AM$180,'MoodysData(Raw)'!$B$2:$B$180,"=EMP",'MoodysData(Raw)'!$D$2:$D$180,"="&amp;'Implied Productivity Ratios'!$C76)</f>
        <v>89.829843735061644</v>
      </c>
      <c r="AK76">
        <f>SUMIFS('MoodysData(Raw)'!AN$2:AN$180,'MoodysData(Raw)'!$B$2:$B$180,"=GDP",'MoodysData(Raw)'!$D$2:$D$180,"="&amp;'Implied Productivity Ratios'!$C76)/SUMIFS('MoodysData(Raw)'!AN$2:AN$180,'MoodysData(Raw)'!$B$2:$B$180,"=EMP",'MoodysData(Raw)'!$D$2:$D$180,"="&amp;'Implied Productivity Ratios'!$C76)</f>
        <v>88.757920195489604</v>
      </c>
      <c r="AL76">
        <f>SUMIFS('MoodysData(Raw)'!AO$2:AO$180,'MoodysData(Raw)'!$B$2:$B$180,"=GDP",'MoodysData(Raw)'!$D$2:$D$180,"="&amp;'Implied Productivity Ratios'!$C76)/SUMIFS('MoodysData(Raw)'!AO$2:AO$180,'MoodysData(Raw)'!$B$2:$B$180,"=EMP",'MoodysData(Raw)'!$D$2:$D$180,"="&amp;'Implied Productivity Ratios'!$C76)</f>
        <v>87.855276094894236</v>
      </c>
      <c r="AM76">
        <f>SUMIFS('MoodysData(Raw)'!AP$2:AP$180,'MoodysData(Raw)'!$B$2:$B$180,"=GDP",'MoodysData(Raw)'!$D$2:$D$180,"="&amp;'Implied Productivity Ratios'!$C76)/SUMIFS('MoodysData(Raw)'!AP$2:AP$180,'MoodysData(Raw)'!$B$2:$B$180,"=EMP",'MoodysData(Raw)'!$D$2:$D$180,"="&amp;'Implied Productivity Ratios'!$C76)</f>
        <v>87.109163206689985</v>
      </c>
      <c r="AN76">
        <f>SUMIFS('MoodysData(Raw)'!AQ$2:AQ$180,'MoodysData(Raw)'!$B$2:$B$180,"=GDP",'MoodysData(Raw)'!$D$2:$D$180,"="&amp;'Implied Productivity Ratios'!$C76)/SUMIFS('MoodysData(Raw)'!AQ$2:AQ$180,'MoodysData(Raw)'!$B$2:$B$180,"=EMP",'MoodysData(Raw)'!$D$2:$D$180,"="&amp;'Implied Productivity Ratios'!$C76)</f>
        <v>86.512806482711895</v>
      </c>
      <c r="AO76">
        <f>SUMIFS('MoodysData(Raw)'!AR$2:AR$180,'MoodysData(Raw)'!$B$2:$B$180,"=GDP",'MoodysData(Raw)'!$D$2:$D$180,"="&amp;'Implied Productivity Ratios'!$C76)/SUMIFS('MoodysData(Raw)'!AR$2:AR$180,'MoodysData(Raw)'!$B$2:$B$180,"=EMP",'MoodysData(Raw)'!$D$2:$D$180,"="&amp;'Implied Productivity Ratios'!$C76)</f>
        <v>86.059779318026798</v>
      </c>
      <c r="AP76">
        <f>SUMIFS('MoodysData(Raw)'!AS$2:AS$180,'MoodysData(Raw)'!$B$2:$B$180,"=GDP",'MoodysData(Raw)'!$D$2:$D$180,"="&amp;'Implied Productivity Ratios'!$C76)/SUMIFS('MoodysData(Raw)'!AS$2:AS$180,'MoodysData(Raw)'!$B$2:$B$180,"=EMP",'MoodysData(Raw)'!$D$2:$D$180,"="&amp;'Implied Productivity Ratios'!$C76)</f>
        <v>85.752512619546991</v>
      </c>
      <c r="AQ76">
        <f>SUMIFS('MoodysData(Raw)'!AT$2:AT$180,'MoodysData(Raw)'!$B$2:$B$180,"=GDP",'MoodysData(Raw)'!$D$2:$D$180,"="&amp;'Implied Productivity Ratios'!$C76)/SUMIFS('MoodysData(Raw)'!AT$2:AT$180,'MoodysData(Raw)'!$B$2:$B$180,"=EMP",'MoodysData(Raw)'!$D$2:$D$180,"="&amp;'Implied Productivity Ratios'!$C76)</f>
        <v>85.618751319198523</v>
      </c>
      <c r="AR76">
        <f>SUMIFS('MoodysData(Raw)'!AU$2:AU$180,'MoodysData(Raw)'!$B$2:$B$180,"=GDP",'MoodysData(Raw)'!$D$2:$D$180,"="&amp;'Implied Productivity Ratios'!$C76)/SUMIFS('MoodysData(Raw)'!AU$2:AU$180,'MoodysData(Raw)'!$B$2:$B$180,"=EMP",'MoodysData(Raw)'!$D$2:$D$180,"="&amp;'Implied Productivity Ratios'!$C76)</f>
        <v>85.632134959385183</v>
      </c>
      <c r="AS76">
        <f>SUMIFS('MoodysData(Raw)'!AV$2:AV$180,'MoodysData(Raw)'!$B$2:$B$180,"=GDP",'MoodysData(Raw)'!$D$2:$D$180,"="&amp;'Implied Productivity Ratios'!$C76)/SUMIFS('MoodysData(Raw)'!AV$2:AV$180,'MoodysData(Raw)'!$B$2:$B$180,"=EMP",'MoodysData(Raw)'!$D$2:$D$180,"="&amp;'Implied Productivity Ratios'!$C76)</f>
        <v>85.741549119188761</v>
      </c>
      <c r="AT76">
        <f>SUMIFS('MoodysData(Raw)'!AW$2:AW$180,'MoodysData(Raw)'!$B$2:$B$180,"=GDP",'MoodysData(Raw)'!$D$2:$D$180,"="&amp;'Implied Productivity Ratios'!$C76)/SUMIFS('MoodysData(Raw)'!AW$2:AW$180,'MoodysData(Raw)'!$B$2:$B$180,"=EMP",'MoodysData(Raw)'!$D$2:$D$180,"="&amp;'Implied Productivity Ratios'!$C76)</f>
        <v>85.993218349928881</v>
      </c>
      <c r="AU76">
        <f>SUMIFS('MoodysData(Raw)'!AX$2:AX$180,'MoodysData(Raw)'!$B$2:$B$180,"=GDP",'MoodysData(Raw)'!$D$2:$D$180,"="&amp;'Implied Productivity Ratios'!$C76)/SUMIFS('MoodysData(Raw)'!AX$2:AX$180,'MoodysData(Raw)'!$B$2:$B$180,"=EMP",'MoodysData(Raw)'!$D$2:$D$180,"="&amp;'Implied Productivity Ratios'!$C76)</f>
        <v>86.394539074630927</v>
      </c>
      <c r="AV76">
        <f>SUMIFS('MoodysData(Raw)'!AY$2:AY$180,'MoodysData(Raw)'!$B$2:$B$180,"=GDP",'MoodysData(Raw)'!$D$2:$D$180,"="&amp;'Implied Productivity Ratios'!$C76)/SUMIFS('MoodysData(Raw)'!AY$2:AY$180,'MoodysData(Raw)'!$B$2:$B$180,"=EMP",'MoodysData(Raw)'!$D$2:$D$180,"="&amp;'Implied Productivity Ratios'!$C76)</f>
        <v>86.909513345475602</v>
      </c>
      <c r="AW76">
        <f>SUMIFS('MoodysData(Raw)'!AZ$2:AZ$180,'MoodysData(Raw)'!$B$2:$B$180,"=GDP",'MoodysData(Raw)'!$D$2:$D$180,"="&amp;'Implied Productivity Ratios'!$C76)/SUMIFS('MoodysData(Raw)'!AZ$2:AZ$180,'MoodysData(Raw)'!$B$2:$B$180,"=EMP",'MoodysData(Raw)'!$D$2:$D$180,"="&amp;'Implied Productivity Ratios'!$C76)</f>
        <v>87.489792798932569</v>
      </c>
      <c r="AX76">
        <f>SUMIFS('MoodysData(Raw)'!BA$2:BA$180,'MoodysData(Raw)'!$B$2:$B$180,"=GDP",'MoodysData(Raw)'!$D$2:$D$180,"="&amp;'Implied Productivity Ratios'!$C76)/SUMIFS('MoodysData(Raw)'!BA$2:BA$180,'MoodysData(Raw)'!$B$2:$B$180,"=EMP",'MoodysData(Raw)'!$D$2:$D$180,"="&amp;'Implied Productivity Ratios'!$C76)</f>
        <v>88.169496581784401</v>
      </c>
      <c r="AY76">
        <f>SUMIFS('MoodysData(Raw)'!BB$2:BB$180,'MoodysData(Raw)'!$B$2:$B$180,"=GDP",'MoodysData(Raw)'!$D$2:$D$180,"="&amp;'Implied Productivity Ratios'!$C76)/SUMIFS('MoodysData(Raw)'!BB$2:BB$180,'MoodysData(Raw)'!$B$2:$B$180,"=EMP",'MoodysData(Raw)'!$D$2:$D$180,"="&amp;'Implied Productivity Ratios'!$C76)</f>
        <v>88.956467984689553</v>
      </c>
      <c r="AZ76">
        <f>SUMIFS('MoodysData(Raw)'!BC$2:BC$180,'MoodysData(Raw)'!$B$2:$B$180,"=GDP",'MoodysData(Raw)'!$D$2:$D$180,"="&amp;'Implied Productivity Ratios'!$C76)/SUMIFS('MoodysData(Raw)'!BC$2:BC$180,'MoodysData(Raw)'!$B$2:$B$180,"=EMP",'MoodysData(Raw)'!$D$2:$D$180,"="&amp;'Implied Productivity Ratios'!$C76)</f>
        <v>89.874781503791738</v>
      </c>
      <c r="BA76">
        <f>SUMIFS('MoodysData(Raw)'!BD$2:BD$180,'MoodysData(Raw)'!$B$2:$B$180,"=GDP",'MoodysData(Raw)'!$D$2:$D$180,"="&amp;'Implied Productivity Ratios'!$C76)/SUMIFS('MoodysData(Raw)'!BD$2:BD$180,'MoodysData(Raw)'!$B$2:$B$180,"=EMP",'MoodysData(Raw)'!$D$2:$D$180,"="&amp;'Implied Productivity Ratios'!$C76)</f>
        <v>90.934480950891597</v>
      </c>
      <c r="BB76">
        <f>SUMIFS('MoodysData(Raw)'!BE$2:BE$180,'MoodysData(Raw)'!$B$2:$B$180,"=GDP",'MoodysData(Raw)'!$D$2:$D$180,"="&amp;'Implied Productivity Ratios'!$C76)/SUMIFS('MoodysData(Raw)'!BE$2:BE$180,'MoodysData(Raw)'!$B$2:$B$180,"=EMP",'MoodysData(Raw)'!$D$2:$D$180,"="&amp;'Implied Productivity Ratios'!$C76)</f>
        <v>92.173140111593298</v>
      </c>
      <c r="BC76">
        <f>SUMIFS('MoodysData(Raw)'!BF$2:BF$180,'MoodysData(Raw)'!$B$2:$B$180,"=GDP",'MoodysData(Raw)'!$D$2:$D$180,"="&amp;'Implied Productivity Ratios'!$C76)/SUMIFS('MoodysData(Raw)'!BF$2:BF$180,'MoodysData(Raw)'!$B$2:$B$180,"=EMP",'MoodysData(Raw)'!$D$2:$D$180,"="&amp;'Implied Productivity Ratios'!$C76)</f>
        <v>93.578877700823085</v>
      </c>
      <c r="BD76" s="5">
        <f t="shared" ref="BD76:BH76" si="70">BC76+($BC76-$AX76)/5</f>
        <v>94.660753924630825</v>
      </c>
      <c r="BE76" s="5">
        <f t="shared" si="70"/>
        <v>95.742630148438565</v>
      </c>
      <c r="BF76" s="5">
        <f t="shared" si="70"/>
        <v>96.824506372246304</v>
      </c>
      <c r="BG76" s="5">
        <f t="shared" si="70"/>
        <v>97.906382596054044</v>
      </c>
      <c r="BH76" s="5">
        <f t="shared" si="70"/>
        <v>98.988258819861784</v>
      </c>
    </row>
    <row r="77" spans="3:60">
      <c r="C77">
        <v>611</v>
      </c>
      <c r="D77" t="s">
        <v>28</v>
      </c>
      <c r="E77">
        <f>SUMIFS('MoodysData(Raw)'!H$2:H$180,'MoodysData(Raw)'!$B$2:$B$180,"=GDP",'MoodysData(Raw)'!$D$2:$D$180,"="&amp;'Implied Productivity Ratios'!$C77)/SUMIFS('MoodysData(Raw)'!H$2:H$180,'MoodysData(Raw)'!$B$2:$B$180,"=EMP",'MoodysData(Raw)'!$D$2:$D$180,"="&amp;'Implied Productivity Ratios'!$C77)</f>
        <v>70.800544761213004</v>
      </c>
      <c r="F77">
        <f>SUMIFS('MoodysData(Raw)'!I$2:I$180,'MoodysData(Raw)'!$B$2:$B$180,"=GDP",'MoodysData(Raw)'!$D$2:$D$180,"="&amp;'Implied Productivity Ratios'!$C77)/SUMIFS('MoodysData(Raw)'!I$2:I$180,'MoodysData(Raw)'!$B$2:$B$180,"=EMP",'MoodysData(Raw)'!$D$2:$D$180,"="&amp;'Implied Productivity Ratios'!$C77)</f>
        <v>70.815055111143877</v>
      </c>
      <c r="G77">
        <f>SUMIFS('MoodysData(Raw)'!J$2:J$180,'MoodysData(Raw)'!$B$2:$B$180,"=GDP",'MoodysData(Raw)'!$D$2:$D$180,"="&amp;'Implied Productivity Ratios'!$C77)/SUMIFS('MoodysData(Raw)'!J$2:J$180,'MoodysData(Raw)'!$B$2:$B$180,"=EMP",'MoodysData(Raw)'!$D$2:$D$180,"="&amp;'Implied Productivity Ratios'!$C77)</f>
        <v>70.092803730071637</v>
      </c>
      <c r="H77">
        <f>SUMIFS('MoodysData(Raw)'!K$2:K$180,'MoodysData(Raw)'!$B$2:$B$180,"=GDP",'MoodysData(Raw)'!$D$2:$D$180,"="&amp;'Implied Productivity Ratios'!$C77)/SUMIFS('MoodysData(Raw)'!K$2:K$180,'MoodysData(Raw)'!$B$2:$B$180,"=EMP",'MoodysData(Raw)'!$D$2:$D$180,"="&amp;'Implied Productivity Ratios'!$C77)</f>
        <v>72.739366564102838</v>
      </c>
      <c r="I77">
        <f>SUMIFS('MoodysData(Raw)'!L$2:L$180,'MoodysData(Raw)'!$B$2:$B$180,"=GDP",'MoodysData(Raw)'!$D$2:$D$180,"="&amp;'Implied Productivity Ratios'!$C77)/SUMIFS('MoodysData(Raw)'!L$2:L$180,'MoodysData(Raw)'!$B$2:$B$180,"=EMP",'MoodysData(Raw)'!$D$2:$D$180,"="&amp;'Implied Productivity Ratios'!$C77)</f>
        <v>77.379601252570311</v>
      </c>
      <c r="J77">
        <f>SUMIFS('MoodysData(Raw)'!M$2:M$180,'MoodysData(Raw)'!$B$2:$B$180,"=GDP",'MoodysData(Raw)'!$D$2:$D$180,"="&amp;'Implied Productivity Ratios'!$C77)/SUMIFS('MoodysData(Raw)'!M$2:M$180,'MoodysData(Raw)'!$B$2:$B$180,"=EMP",'MoodysData(Raw)'!$D$2:$D$180,"="&amp;'Implied Productivity Ratios'!$C77)</f>
        <v>78.451054159271834</v>
      </c>
      <c r="K77">
        <f>SUMIFS('MoodysData(Raw)'!N$2:N$180,'MoodysData(Raw)'!$B$2:$B$180,"=GDP",'MoodysData(Raw)'!$D$2:$D$180,"="&amp;'Implied Productivity Ratios'!$C77)/SUMIFS('MoodysData(Raw)'!N$2:N$180,'MoodysData(Raw)'!$B$2:$B$180,"=EMP",'MoodysData(Raw)'!$D$2:$D$180,"="&amp;'Implied Productivity Ratios'!$C77)</f>
        <v>77.320871741373509</v>
      </c>
      <c r="L77">
        <f>SUMIFS('MoodysData(Raw)'!O$2:O$180,'MoodysData(Raw)'!$B$2:$B$180,"=GDP",'MoodysData(Raw)'!$D$2:$D$180,"="&amp;'Implied Productivity Ratios'!$C77)/SUMIFS('MoodysData(Raw)'!O$2:O$180,'MoodysData(Raw)'!$B$2:$B$180,"=EMP",'MoodysData(Raw)'!$D$2:$D$180,"="&amp;'Implied Productivity Ratios'!$C77)</f>
        <v>76.122772084167664</v>
      </c>
      <c r="M77">
        <f>SUMIFS('MoodysData(Raw)'!P$2:P$180,'MoodysData(Raw)'!$B$2:$B$180,"=GDP",'MoodysData(Raw)'!$D$2:$D$180,"="&amp;'Implied Productivity Ratios'!$C77)/SUMIFS('MoodysData(Raw)'!P$2:P$180,'MoodysData(Raw)'!$B$2:$B$180,"=EMP",'MoodysData(Raw)'!$D$2:$D$180,"="&amp;'Implied Productivity Ratios'!$C77)</f>
        <v>73.338790921671972</v>
      </c>
      <c r="N77">
        <f>SUMIFS('MoodysData(Raw)'!Q$2:Q$180,'MoodysData(Raw)'!$B$2:$B$180,"=GDP",'MoodysData(Raw)'!$D$2:$D$180,"="&amp;'Implied Productivity Ratios'!$C77)/SUMIFS('MoodysData(Raw)'!Q$2:Q$180,'MoodysData(Raw)'!$B$2:$B$180,"=EMP",'MoodysData(Raw)'!$D$2:$D$180,"="&amp;'Implied Productivity Ratios'!$C77)</f>
        <v>72.381321282547887</v>
      </c>
      <c r="O77">
        <f>SUMIFS('MoodysData(Raw)'!R$2:R$180,'MoodysData(Raw)'!$B$2:$B$180,"=GDP",'MoodysData(Raw)'!$D$2:$D$180,"="&amp;'Implied Productivity Ratios'!$C77)/SUMIFS('MoodysData(Raw)'!R$2:R$180,'MoodysData(Raw)'!$B$2:$B$180,"=EMP",'MoodysData(Raw)'!$D$2:$D$180,"="&amp;'Implied Productivity Ratios'!$C77)</f>
        <v>70.80132675486945</v>
      </c>
      <c r="P77">
        <f>SUMIFS('MoodysData(Raw)'!S$2:S$180,'MoodysData(Raw)'!$B$2:$B$180,"=GDP",'MoodysData(Raw)'!$D$2:$D$180,"="&amp;'Implied Productivity Ratios'!$C77)/SUMIFS('MoodysData(Raw)'!S$2:S$180,'MoodysData(Raw)'!$B$2:$B$180,"=EMP",'MoodysData(Raw)'!$D$2:$D$180,"="&amp;'Implied Productivity Ratios'!$C77)</f>
        <v>71.081789854651717</v>
      </c>
      <c r="Q77">
        <f>SUMIFS('MoodysData(Raw)'!T$2:T$180,'MoodysData(Raw)'!$B$2:$B$180,"=GDP",'MoodysData(Raw)'!$D$2:$D$180,"="&amp;'Implied Productivity Ratios'!$C77)/SUMIFS('MoodysData(Raw)'!T$2:T$180,'MoodysData(Raw)'!$B$2:$B$180,"=EMP",'MoodysData(Raw)'!$D$2:$D$180,"="&amp;'Implied Productivity Ratios'!$C77)</f>
        <v>68.650565362628768</v>
      </c>
      <c r="R77">
        <f>SUMIFS('MoodysData(Raw)'!U$2:U$180,'MoodysData(Raw)'!$B$2:$B$180,"=GDP",'MoodysData(Raw)'!$D$2:$D$180,"="&amp;'Implied Productivity Ratios'!$C77)/SUMIFS('MoodysData(Raw)'!U$2:U$180,'MoodysData(Raw)'!$B$2:$B$180,"=EMP",'MoodysData(Raw)'!$D$2:$D$180,"="&amp;'Implied Productivity Ratios'!$C77)</f>
        <v>68.817836018833916</v>
      </c>
      <c r="S77">
        <f>SUMIFS('MoodysData(Raw)'!V$2:V$180,'MoodysData(Raw)'!$B$2:$B$180,"=GDP",'MoodysData(Raw)'!$D$2:$D$180,"="&amp;'Implied Productivity Ratios'!$C77)/SUMIFS('MoodysData(Raw)'!V$2:V$180,'MoodysData(Raw)'!$B$2:$B$180,"=EMP",'MoodysData(Raw)'!$D$2:$D$180,"="&amp;'Implied Productivity Ratios'!$C77)</f>
        <v>69.519273395685786</v>
      </c>
      <c r="T77">
        <f>SUMIFS('MoodysData(Raw)'!W$2:W$180,'MoodysData(Raw)'!$B$2:$B$180,"=GDP",'MoodysData(Raw)'!$D$2:$D$180,"="&amp;'Implied Productivity Ratios'!$C77)/SUMIFS('MoodysData(Raw)'!W$2:W$180,'MoodysData(Raw)'!$B$2:$B$180,"=EMP",'MoodysData(Raw)'!$D$2:$D$180,"="&amp;'Implied Productivity Ratios'!$C77)</f>
        <v>68.733645645617685</v>
      </c>
      <c r="U77">
        <f>SUMIFS('MoodysData(Raw)'!X$2:X$180,'MoodysData(Raw)'!$B$2:$B$180,"=GDP",'MoodysData(Raw)'!$D$2:$D$180,"="&amp;'Implied Productivity Ratios'!$C77)/SUMIFS('MoodysData(Raw)'!X$2:X$180,'MoodysData(Raw)'!$B$2:$B$180,"=EMP",'MoodysData(Raw)'!$D$2:$D$180,"="&amp;'Implied Productivity Ratios'!$C77)</f>
        <v>68.700504417539918</v>
      </c>
      <c r="V77">
        <f>SUMIFS('MoodysData(Raw)'!Y$2:Y$180,'MoodysData(Raw)'!$B$2:$B$180,"=GDP",'MoodysData(Raw)'!$D$2:$D$180,"="&amp;'Implied Productivity Ratios'!$C77)/SUMIFS('MoodysData(Raw)'!Y$2:Y$180,'MoodysData(Raw)'!$B$2:$B$180,"=EMP",'MoodysData(Raw)'!$D$2:$D$180,"="&amp;'Implied Productivity Ratios'!$C77)</f>
        <v>69.310971799471872</v>
      </c>
      <c r="W77">
        <f>SUMIFS('MoodysData(Raw)'!Z$2:Z$180,'MoodysData(Raw)'!$B$2:$B$180,"=GDP",'MoodysData(Raw)'!$D$2:$D$180,"="&amp;'Implied Productivity Ratios'!$C77)/SUMIFS('MoodysData(Raw)'!Z$2:Z$180,'MoodysData(Raw)'!$B$2:$B$180,"=EMP",'MoodysData(Raw)'!$D$2:$D$180,"="&amp;'Implied Productivity Ratios'!$C77)</f>
        <v>68.264788095585004</v>
      </c>
      <c r="X77">
        <f>SUMIFS('MoodysData(Raw)'!AA$2:AA$180,'MoodysData(Raw)'!$B$2:$B$180,"=GDP",'MoodysData(Raw)'!$D$2:$D$180,"="&amp;'Implied Productivity Ratios'!$C77)/SUMIFS('MoodysData(Raw)'!AA$2:AA$180,'MoodysData(Raw)'!$B$2:$B$180,"=EMP",'MoodysData(Raw)'!$D$2:$D$180,"="&amp;'Implied Productivity Ratios'!$C77)</f>
        <v>67.706790383485142</v>
      </c>
      <c r="Y77">
        <f>SUMIFS('MoodysData(Raw)'!AB$2:AB$180,'MoodysData(Raw)'!$B$2:$B$180,"=GDP",'MoodysData(Raw)'!$D$2:$D$180,"="&amp;'Implied Productivity Ratios'!$C77)/SUMIFS('MoodysData(Raw)'!AB$2:AB$180,'MoodysData(Raw)'!$B$2:$B$180,"=EMP",'MoodysData(Raw)'!$D$2:$D$180,"="&amp;'Implied Productivity Ratios'!$C77)</f>
        <v>67.515417820751978</v>
      </c>
      <c r="Z77">
        <f>SUMIFS('MoodysData(Raw)'!AC$2:AC$180,'MoodysData(Raw)'!$B$2:$B$180,"=GDP",'MoodysData(Raw)'!$D$2:$D$180,"="&amp;'Implied Productivity Ratios'!$C77)/SUMIFS('MoodysData(Raw)'!AC$2:AC$180,'MoodysData(Raw)'!$B$2:$B$180,"=EMP",'MoodysData(Raw)'!$D$2:$D$180,"="&amp;'Implied Productivity Ratios'!$C77)</f>
        <v>67.764599440818486</v>
      </c>
      <c r="AA77">
        <f>SUMIFS('MoodysData(Raw)'!AD$2:AD$180,'MoodysData(Raw)'!$B$2:$B$180,"=GDP",'MoodysData(Raw)'!$D$2:$D$180,"="&amp;'Implied Productivity Ratios'!$C77)/SUMIFS('MoodysData(Raw)'!AD$2:AD$180,'MoodysData(Raw)'!$B$2:$B$180,"=EMP",'MoodysData(Raw)'!$D$2:$D$180,"="&amp;'Implied Productivity Ratios'!$C77)</f>
        <v>68.346620502711289</v>
      </c>
      <c r="AB77">
        <f>SUMIFS('MoodysData(Raw)'!AE$2:AE$180,'MoodysData(Raw)'!$B$2:$B$180,"=GDP",'MoodysData(Raw)'!$D$2:$D$180,"="&amp;'Implied Productivity Ratios'!$C77)/SUMIFS('MoodysData(Raw)'!AE$2:AE$180,'MoodysData(Raw)'!$B$2:$B$180,"=EMP",'MoodysData(Raw)'!$D$2:$D$180,"="&amp;'Implied Productivity Ratios'!$C77)</f>
        <v>69.093968951879603</v>
      </c>
      <c r="AC77">
        <f>SUMIFS('MoodysData(Raw)'!AF$2:AF$180,'MoodysData(Raw)'!$B$2:$B$180,"=GDP",'MoodysData(Raw)'!$D$2:$D$180,"="&amp;'Implied Productivity Ratios'!$C77)/SUMIFS('MoodysData(Raw)'!AF$2:AF$180,'MoodysData(Raw)'!$B$2:$B$180,"=EMP",'MoodysData(Raw)'!$D$2:$D$180,"="&amp;'Implied Productivity Ratios'!$C77)</f>
        <v>69.810440678657216</v>
      </c>
      <c r="AD77">
        <f>SUMIFS('MoodysData(Raw)'!AG$2:AG$180,'MoodysData(Raw)'!$B$2:$B$180,"=GDP",'MoodysData(Raw)'!$D$2:$D$180,"="&amp;'Implied Productivity Ratios'!$C77)/SUMIFS('MoodysData(Raw)'!AG$2:AG$180,'MoodysData(Raw)'!$B$2:$B$180,"=EMP",'MoodysData(Raw)'!$D$2:$D$180,"="&amp;'Implied Productivity Ratios'!$C77)</f>
        <v>70.606275628006827</v>
      </c>
      <c r="AE77">
        <f>SUMIFS('MoodysData(Raw)'!AH$2:AH$180,'MoodysData(Raw)'!$B$2:$B$180,"=GDP",'MoodysData(Raw)'!$D$2:$D$180,"="&amp;'Implied Productivity Ratios'!$C77)/SUMIFS('MoodysData(Raw)'!AH$2:AH$180,'MoodysData(Raw)'!$B$2:$B$180,"=EMP",'MoodysData(Raw)'!$D$2:$D$180,"="&amp;'Implied Productivity Ratios'!$C77)</f>
        <v>71.31931175831275</v>
      </c>
      <c r="AF77">
        <f>SUMIFS('MoodysData(Raw)'!AI$2:AI$180,'MoodysData(Raw)'!$B$2:$B$180,"=GDP",'MoodysData(Raw)'!$D$2:$D$180,"="&amp;'Implied Productivity Ratios'!$C77)/SUMIFS('MoodysData(Raw)'!AI$2:AI$180,'MoodysData(Raw)'!$B$2:$B$180,"=EMP",'MoodysData(Raw)'!$D$2:$D$180,"="&amp;'Implied Productivity Ratios'!$C77)</f>
        <v>71.99379285641669</v>
      </c>
      <c r="AG77">
        <f>SUMIFS('MoodysData(Raw)'!AJ$2:AJ$180,'MoodysData(Raw)'!$B$2:$B$180,"=GDP",'MoodysData(Raw)'!$D$2:$D$180,"="&amp;'Implied Productivity Ratios'!$C77)/SUMIFS('MoodysData(Raw)'!AJ$2:AJ$180,'MoodysData(Raw)'!$B$2:$B$180,"=EMP",'MoodysData(Raw)'!$D$2:$D$180,"="&amp;'Implied Productivity Ratios'!$C77)</f>
        <v>72.670108019770879</v>
      </c>
      <c r="AH77">
        <f>SUMIFS('MoodysData(Raw)'!AK$2:AK$180,'MoodysData(Raw)'!$B$2:$B$180,"=GDP",'MoodysData(Raw)'!$D$2:$D$180,"="&amp;'Implied Productivity Ratios'!$C77)/SUMIFS('MoodysData(Raw)'!AK$2:AK$180,'MoodysData(Raw)'!$B$2:$B$180,"=EMP",'MoodysData(Raw)'!$D$2:$D$180,"="&amp;'Implied Productivity Ratios'!$C77)</f>
        <v>73.225868756922452</v>
      </c>
      <c r="AI77">
        <f>SUMIFS('MoodysData(Raw)'!AL$2:AL$180,'MoodysData(Raw)'!$B$2:$B$180,"=GDP",'MoodysData(Raw)'!$D$2:$D$180,"="&amp;'Implied Productivity Ratios'!$C77)/SUMIFS('MoodysData(Raw)'!AL$2:AL$180,'MoodysData(Raw)'!$B$2:$B$180,"=EMP",'MoodysData(Raw)'!$D$2:$D$180,"="&amp;'Implied Productivity Ratios'!$C77)</f>
        <v>73.734394077623975</v>
      </c>
      <c r="AJ77">
        <f>SUMIFS('MoodysData(Raw)'!AM$2:AM$180,'MoodysData(Raw)'!$B$2:$B$180,"=GDP",'MoodysData(Raw)'!$D$2:$D$180,"="&amp;'Implied Productivity Ratios'!$C77)/SUMIFS('MoodysData(Raw)'!AM$2:AM$180,'MoodysData(Raw)'!$B$2:$B$180,"=EMP",'MoodysData(Raw)'!$D$2:$D$180,"="&amp;'Implied Productivity Ratios'!$C77)</f>
        <v>74.347026716329211</v>
      </c>
      <c r="AK77">
        <f>SUMIFS('MoodysData(Raw)'!AN$2:AN$180,'MoodysData(Raw)'!$B$2:$B$180,"=GDP",'MoodysData(Raw)'!$D$2:$D$180,"="&amp;'Implied Productivity Ratios'!$C77)/SUMIFS('MoodysData(Raw)'!AN$2:AN$180,'MoodysData(Raw)'!$B$2:$B$180,"=EMP",'MoodysData(Raw)'!$D$2:$D$180,"="&amp;'Implied Productivity Ratios'!$C77)</f>
        <v>75.050682383853001</v>
      </c>
      <c r="AL77">
        <f>SUMIFS('MoodysData(Raw)'!AO$2:AO$180,'MoodysData(Raw)'!$B$2:$B$180,"=GDP",'MoodysData(Raw)'!$D$2:$D$180,"="&amp;'Implied Productivity Ratios'!$C77)/SUMIFS('MoodysData(Raw)'!AO$2:AO$180,'MoodysData(Raw)'!$B$2:$B$180,"=EMP",'MoodysData(Raw)'!$D$2:$D$180,"="&amp;'Implied Productivity Ratios'!$C77)</f>
        <v>75.781089467935573</v>
      </c>
      <c r="AM77">
        <f>SUMIFS('MoodysData(Raw)'!AP$2:AP$180,'MoodysData(Raw)'!$B$2:$B$180,"=GDP",'MoodysData(Raw)'!$D$2:$D$180,"="&amp;'Implied Productivity Ratios'!$C77)/SUMIFS('MoodysData(Raw)'!AP$2:AP$180,'MoodysData(Raw)'!$B$2:$B$180,"=EMP",'MoodysData(Raw)'!$D$2:$D$180,"="&amp;'Implied Productivity Ratios'!$C77)</f>
        <v>76.513234528171196</v>
      </c>
      <c r="AN77">
        <f>SUMIFS('MoodysData(Raw)'!AQ$2:AQ$180,'MoodysData(Raw)'!$B$2:$B$180,"=GDP",'MoodysData(Raw)'!$D$2:$D$180,"="&amp;'Implied Productivity Ratios'!$C77)/SUMIFS('MoodysData(Raw)'!AQ$2:AQ$180,'MoodysData(Raw)'!$B$2:$B$180,"=EMP",'MoodysData(Raw)'!$D$2:$D$180,"="&amp;'Implied Productivity Ratios'!$C77)</f>
        <v>77.271925552490146</v>
      </c>
      <c r="AO77">
        <f>SUMIFS('MoodysData(Raw)'!AR$2:AR$180,'MoodysData(Raw)'!$B$2:$B$180,"=GDP",'MoodysData(Raw)'!$D$2:$D$180,"="&amp;'Implied Productivity Ratios'!$C77)/SUMIFS('MoodysData(Raw)'!AR$2:AR$180,'MoodysData(Raw)'!$B$2:$B$180,"=EMP",'MoodysData(Raw)'!$D$2:$D$180,"="&amp;'Implied Productivity Ratios'!$C77)</f>
        <v>78.046422736320622</v>
      </c>
      <c r="AP77">
        <f>SUMIFS('MoodysData(Raw)'!AS$2:AS$180,'MoodysData(Raw)'!$B$2:$B$180,"=GDP",'MoodysData(Raw)'!$D$2:$D$180,"="&amp;'Implied Productivity Ratios'!$C77)/SUMIFS('MoodysData(Raw)'!AS$2:AS$180,'MoodysData(Raw)'!$B$2:$B$180,"=EMP",'MoodysData(Raw)'!$D$2:$D$180,"="&amp;'Implied Productivity Ratios'!$C77)</f>
        <v>78.858235196357526</v>
      </c>
      <c r="AQ77">
        <f>SUMIFS('MoodysData(Raw)'!AT$2:AT$180,'MoodysData(Raw)'!$B$2:$B$180,"=GDP",'MoodysData(Raw)'!$D$2:$D$180,"="&amp;'Implied Productivity Ratios'!$C77)/SUMIFS('MoodysData(Raw)'!AT$2:AT$180,'MoodysData(Raw)'!$B$2:$B$180,"=EMP",'MoodysData(Raw)'!$D$2:$D$180,"="&amp;'Implied Productivity Ratios'!$C77)</f>
        <v>79.747157359842504</v>
      </c>
      <c r="AR77">
        <f>SUMIFS('MoodysData(Raw)'!AU$2:AU$180,'MoodysData(Raw)'!$B$2:$B$180,"=GDP",'MoodysData(Raw)'!$D$2:$D$180,"="&amp;'Implied Productivity Ratios'!$C77)/SUMIFS('MoodysData(Raw)'!AU$2:AU$180,'MoodysData(Raw)'!$B$2:$B$180,"=EMP",'MoodysData(Raw)'!$D$2:$D$180,"="&amp;'Implied Productivity Ratios'!$C77)</f>
        <v>80.708872023087309</v>
      </c>
      <c r="AS77">
        <f>SUMIFS('MoodysData(Raw)'!AV$2:AV$180,'MoodysData(Raw)'!$B$2:$B$180,"=GDP",'MoodysData(Raw)'!$D$2:$D$180,"="&amp;'Implied Productivity Ratios'!$C77)/SUMIFS('MoodysData(Raw)'!AV$2:AV$180,'MoodysData(Raw)'!$B$2:$B$180,"=EMP",'MoodysData(Raw)'!$D$2:$D$180,"="&amp;'Implied Productivity Ratios'!$C77)</f>
        <v>81.668515207383408</v>
      </c>
      <c r="AT77">
        <f>SUMIFS('MoodysData(Raw)'!AW$2:AW$180,'MoodysData(Raw)'!$B$2:$B$180,"=GDP",'MoodysData(Raw)'!$D$2:$D$180,"="&amp;'Implied Productivity Ratios'!$C77)/SUMIFS('MoodysData(Raw)'!AW$2:AW$180,'MoodysData(Raw)'!$B$2:$B$180,"=EMP",'MoodysData(Raw)'!$D$2:$D$180,"="&amp;'Implied Productivity Ratios'!$C77)</f>
        <v>82.617261509773485</v>
      </c>
      <c r="AU77">
        <f>SUMIFS('MoodysData(Raw)'!AX$2:AX$180,'MoodysData(Raw)'!$B$2:$B$180,"=GDP",'MoodysData(Raw)'!$D$2:$D$180,"="&amp;'Implied Productivity Ratios'!$C77)/SUMIFS('MoodysData(Raw)'!AX$2:AX$180,'MoodysData(Raw)'!$B$2:$B$180,"=EMP",'MoodysData(Raw)'!$D$2:$D$180,"="&amp;'Implied Productivity Ratios'!$C77)</f>
        <v>83.608306826604192</v>
      </c>
      <c r="AV77">
        <f>SUMIFS('MoodysData(Raw)'!AY$2:AY$180,'MoodysData(Raw)'!$B$2:$B$180,"=GDP",'MoodysData(Raw)'!$D$2:$D$180,"="&amp;'Implied Productivity Ratios'!$C77)/SUMIFS('MoodysData(Raw)'!AY$2:AY$180,'MoodysData(Raw)'!$B$2:$B$180,"=EMP",'MoodysData(Raw)'!$D$2:$D$180,"="&amp;'Implied Productivity Ratios'!$C77)</f>
        <v>84.621445858176415</v>
      </c>
      <c r="AW77">
        <f>SUMIFS('MoodysData(Raw)'!AZ$2:AZ$180,'MoodysData(Raw)'!$B$2:$B$180,"=GDP",'MoodysData(Raw)'!$D$2:$D$180,"="&amp;'Implied Productivity Ratios'!$C77)/SUMIFS('MoodysData(Raw)'!AZ$2:AZ$180,'MoodysData(Raw)'!$B$2:$B$180,"=EMP",'MoodysData(Raw)'!$D$2:$D$180,"="&amp;'Implied Productivity Ratios'!$C77)</f>
        <v>85.624795578368307</v>
      </c>
      <c r="AX77">
        <f>SUMIFS('MoodysData(Raw)'!BA$2:BA$180,'MoodysData(Raw)'!$B$2:$B$180,"=GDP",'MoodysData(Raw)'!$D$2:$D$180,"="&amp;'Implied Productivity Ratios'!$C77)/SUMIFS('MoodysData(Raw)'!BA$2:BA$180,'MoodysData(Raw)'!$B$2:$B$180,"=EMP",'MoodysData(Raw)'!$D$2:$D$180,"="&amp;'Implied Productivity Ratios'!$C77)</f>
        <v>86.644594122741594</v>
      </c>
      <c r="AY77">
        <f>SUMIFS('MoodysData(Raw)'!BB$2:BB$180,'MoodysData(Raw)'!$B$2:$B$180,"=GDP",'MoodysData(Raw)'!$D$2:$D$180,"="&amp;'Implied Productivity Ratios'!$C77)/SUMIFS('MoodysData(Raw)'!BB$2:BB$180,'MoodysData(Raw)'!$B$2:$B$180,"=EMP",'MoodysData(Raw)'!$D$2:$D$180,"="&amp;'Implied Productivity Ratios'!$C77)</f>
        <v>87.688444187138842</v>
      </c>
      <c r="AZ77">
        <f>SUMIFS('MoodysData(Raw)'!BC$2:BC$180,'MoodysData(Raw)'!$B$2:$B$180,"=GDP",'MoodysData(Raw)'!$D$2:$D$180,"="&amp;'Implied Productivity Ratios'!$C77)/SUMIFS('MoodysData(Raw)'!BC$2:BC$180,'MoodysData(Raw)'!$B$2:$B$180,"=EMP",'MoodysData(Raw)'!$D$2:$D$180,"="&amp;'Implied Productivity Ratios'!$C77)</f>
        <v>88.790565944182802</v>
      </c>
      <c r="BA77">
        <f>SUMIFS('MoodysData(Raw)'!BD$2:BD$180,'MoodysData(Raw)'!$B$2:$B$180,"=GDP",'MoodysData(Raw)'!$D$2:$D$180,"="&amp;'Implied Productivity Ratios'!$C77)/SUMIFS('MoodysData(Raw)'!BD$2:BD$180,'MoodysData(Raw)'!$B$2:$B$180,"=EMP",'MoodysData(Raw)'!$D$2:$D$180,"="&amp;'Implied Productivity Ratios'!$C77)</f>
        <v>89.993476880748943</v>
      </c>
      <c r="BB77">
        <f>SUMIFS('MoodysData(Raw)'!BE$2:BE$180,'MoodysData(Raw)'!$B$2:$B$180,"=GDP",'MoodysData(Raw)'!$D$2:$D$180,"="&amp;'Implied Productivity Ratios'!$C77)/SUMIFS('MoodysData(Raw)'!BE$2:BE$180,'MoodysData(Raw)'!$B$2:$B$180,"=EMP",'MoodysData(Raw)'!$D$2:$D$180,"="&amp;'Implied Productivity Ratios'!$C77)</f>
        <v>91.27447656991572</v>
      </c>
      <c r="BC77">
        <f>SUMIFS('MoodysData(Raw)'!BF$2:BF$180,'MoodysData(Raw)'!$B$2:$B$180,"=GDP",'MoodysData(Raw)'!$D$2:$D$180,"="&amp;'Implied Productivity Ratios'!$C77)/SUMIFS('MoodysData(Raw)'!BF$2:BF$180,'MoodysData(Raw)'!$B$2:$B$180,"=EMP",'MoodysData(Raw)'!$D$2:$D$180,"="&amp;'Implied Productivity Ratios'!$C77)</f>
        <v>92.59074704944868</v>
      </c>
      <c r="BD77" s="5">
        <f t="shared" ref="BD77:BH77" si="71">BC77+($BC77-$AX77)/5</f>
        <v>93.7799776347901</v>
      </c>
      <c r="BE77" s="5">
        <f t="shared" si="71"/>
        <v>94.96920822013152</v>
      </c>
      <c r="BF77" s="5">
        <f t="shared" si="71"/>
        <v>96.15843880547294</v>
      </c>
      <c r="BG77" s="5">
        <f t="shared" si="71"/>
        <v>97.34766939081436</v>
      </c>
      <c r="BH77" s="5">
        <f t="shared" si="71"/>
        <v>98.53689997615578</v>
      </c>
    </row>
    <row r="78" spans="3:60">
      <c r="C78">
        <v>621</v>
      </c>
      <c r="D78" t="s">
        <v>416</v>
      </c>
      <c r="E78">
        <f>SUMIFS('MoodysData(Raw)'!H$2:H$180,'MoodysData(Raw)'!$B$2:$B$180,"=GDP",'MoodysData(Raw)'!$D$2:$D$180,"="&amp;'Implied Productivity Ratios'!$C78)/SUMIFS('MoodysData(Raw)'!H$2:H$180,'MoodysData(Raw)'!$B$2:$B$180,"=EMP",'MoodysData(Raw)'!$D$2:$D$180,"="&amp;'Implied Productivity Ratios'!$C78)</f>
        <v>90.654491807373475</v>
      </c>
      <c r="F78">
        <f>SUMIFS('MoodysData(Raw)'!I$2:I$180,'MoodysData(Raw)'!$B$2:$B$180,"=GDP",'MoodysData(Raw)'!$D$2:$D$180,"="&amp;'Implied Productivity Ratios'!$C78)/SUMIFS('MoodysData(Raw)'!I$2:I$180,'MoodysData(Raw)'!$B$2:$B$180,"=EMP",'MoodysData(Raw)'!$D$2:$D$180,"="&amp;'Implied Productivity Ratios'!$C78)</f>
        <v>92.677642559187987</v>
      </c>
      <c r="G78">
        <f>SUMIFS('MoodysData(Raw)'!J$2:J$180,'MoodysData(Raw)'!$B$2:$B$180,"=GDP",'MoodysData(Raw)'!$D$2:$D$180,"="&amp;'Implied Productivity Ratios'!$C78)/SUMIFS('MoodysData(Raw)'!J$2:J$180,'MoodysData(Raw)'!$B$2:$B$180,"=EMP",'MoodysData(Raw)'!$D$2:$D$180,"="&amp;'Implied Productivity Ratios'!$C78)</f>
        <v>89.596481006990317</v>
      </c>
      <c r="H78">
        <f>SUMIFS('MoodysData(Raw)'!K$2:K$180,'MoodysData(Raw)'!$B$2:$B$180,"=GDP",'MoodysData(Raw)'!$D$2:$D$180,"="&amp;'Implied Productivity Ratios'!$C78)/SUMIFS('MoodysData(Raw)'!K$2:K$180,'MoodysData(Raw)'!$B$2:$B$180,"=EMP",'MoodysData(Raw)'!$D$2:$D$180,"="&amp;'Implied Productivity Ratios'!$C78)</f>
        <v>93.289137384683301</v>
      </c>
      <c r="I78">
        <f>SUMIFS('MoodysData(Raw)'!L$2:L$180,'MoodysData(Raw)'!$B$2:$B$180,"=GDP",'MoodysData(Raw)'!$D$2:$D$180,"="&amp;'Implied Productivity Ratios'!$C78)/SUMIFS('MoodysData(Raw)'!L$2:L$180,'MoodysData(Raw)'!$B$2:$B$180,"=EMP",'MoodysData(Raw)'!$D$2:$D$180,"="&amp;'Implied Productivity Ratios'!$C78)</f>
        <v>92.971447915907845</v>
      </c>
      <c r="J78">
        <f>SUMIFS('MoodysData(Raw)'!M$2:M$180,'MoodysData(Raw)'!$B$2:$B$180,"=GDP",'MoodysData(Raw)'!$D$2:$D$180,"="&amp;'Implied Productivity Ratios'!$C78)/SUMIFS('MoodysData(Raw)'!M$2:M$180,'MoodysData(Raw)'!$B$2:$B$180,"=EMP",'MoodysData(Raw)'!$D$2:$D$180,"="&amp;'Implied Productivity Ratios'!$C78)</f>
        <v>92.863182142533304</v>
      </c>
      <c r="K78">
        <f>SUMIFS('MoodysData(Raw)'!N$2:N$180,'MoodysData(Raw)'!$B$2:$B$180,"=GDP",'MoodysData(Raw)'!$D$2:$D$180,"="&amp;'Implied Productivity Ratios'!$C78)/SUMIFS('MoodysData(Raw)'!N$2:N$180,'MoodysData(Raw)'!$B$2:$B$180,"=EMP",'MoodysData(Raw)'!$D$2:$D$180,"="&amp;'Implied Productivity Ratios'!$C78)</f>
        <v>93.548298963941889</v>
      </c>
      <c r="L78">
        <f>SUMIFS('MoodysData(Raw)'!O$2:O$180,'MoodysData(Raw)'!$B$2:$B$180,"=GDP",'MoodysData(Raw)'!$D$2:$D$180,"="&amp;'Implied Productivity Ratios'!$C78)/SUMIFS('MoodysData(Raw)'!O$2:O$180,'MoodysData(Raw)'!$B$2:$B$180,"=EMP",'MoodysData(Raw)'!$D$2:$D$180,"="&amp;'Implied Productivity Ratios'!$C78)</f>
        <v>92.824862957894652</v>
      </c>
      <c r="M78">
        <f>SUMIFS('MoodysData(Raw)'!P$2:P$180,'MoodysData(Raw)'!$B$2:$B$180,"=GDP",'MoodysData(Raw)'!$D$2:$D$180,"="&amp;'Implied Productivity Ratios'!$C78)/SUMIFS('MoodysData(Raw)'!P$2:P$180,'MoodysData(Raw)'!$B$2:$B$180,"=EMP",'MoodysData(Raw)'!$D$2:$D$180,"="&amp;'Implied Productivity Ratios'!$C78)</f>
        <v>93.373390150376466</v>
      </c>
      <c r="N78">
        <f>SUMIFS('MoodysData(Raw)'!Q$2:Q$180,'MoodysData(Raw)'!$B$2:$B$180,"=GDP",'MoodysData(Raw)'!$D$2:$D$180,"="&amp;'Implied Productivity Ratios'!$C78)/SUMIFS('MoodysData(Raw)'!Q$2:Q$180,'MoodysData(Raw)'!$B$2:$B$180,"=EMP",'MoodysData(Raw)'!$D$2:$D$180,"="&amp;'Implied Productivity Ratios'!$C78)</f>
        <v>93.028754247130706</v>
      </c>
      <c r="O78">
        <f>SUMIFS('MoodysData(Raw)'!R$2:R$180,'MoodysData(Raw)'!$B$2:$B$180,"=GDP",'MoodysData(Raw)'!$D$2:$D$180,"="&amp;'Implied Productivity Ratios'!$C78)/SUMIFS('MoodysData(Raw)'!R$2:R$180,'MoodysData(Raw)'!$B$2:$B$180,"=EMP",'MoodysData(Raw)'!$D$2:$D$180,"="&amp;'Implied Productivity Ratios'!$C78)</f>
        <v>95.149900012338421</v>
      </c>
      <c r="P78">
        <f>SUMIFS('MoodysData(Raw)'!S$2:S$180,'MoodysData(Raw)'!$B$2:$B$180,"=GDP",'MoodysData(Raw)'!$D$2:$D$180,"="&amp;'Implied Productivity Ratios'!$C78)/SUMIFS('MoodysData(Raw)'!S$2:S$180,'MoodysData(Raw)'!$B$2:$B$180,"=EMP",'MoodysData(Raw)'!$D$2:$D$180,"="&amp;'Implied Productivity Ratios'!$C78)</f>
        <v>96.58856142151734</v>
      </c>
      <c r="Q78">
        <f>SUMIFS('MoodysData(Raw)'!T$2:T$180,'MoodysData(Raw)'!$B$2:$B$180,"=GDP",'MoodysData(Raw)'!$D$2:$D$180,"="&amp;'Implied Productivity Ratios'!$C78)/SUMIFS('MoodysData(Raw)'!T$2:T$180,'MoodysData(Raw)'!$B$2:$B$180,"=EMP",'MoodysData(Raw)'!$D$2:$D$180,"="&amp;'Implied Productivity Ratios'!$C78)</f>
        <v>97.317234518899198</v>
      </c>
      <c r="R78">
        <f>SUMIFS('MoodysData(Raw)'!U$2:U$180,'MoodysData(Raw)'!$B$2:$B$180,"=GDP",'MoodysData(Raw)'!$D$2:$D$180,"="&amp;'Implied Productivity Ratios'!$C78)/SUMIFS('MoodysData(Raw)'!U$2:U$180,'MoodysData(Raw)'!$B$2:$B$180,"=EMP",'MoodysData(Raw)'!$D$2:$D$180,"="&amp;'Implied Productivity Ratios'!$C78)</f>
        <v>98.244538961380229</v>
      </c>
      <c r="S78">
        <f>SUMIFS('MoodysData(Raw)'!V$2:V$180,'MoodysData(Raw)'!$B$2:$B$180,"=GDP",'MoodysData(Raw)'!$D$2:$D$180,"="&amp;'Implied Productivity Ratios'!$C78)/SUMIFS('MoodysData(Raw)'!V$2:V$180,'MoodysData(Raw)'!$B$2:$B$180,"=EMP",'MoodysData(Raw)'!$D$2:$D$180,"="&amp;'Implied Productivity Ratios'!$C78)</f>
        <v>100.30138704178373</v>
      </c>
      <c r="T78">
        <f>SUMIFS('MoodysData(Raw)'!W$2:W$180,'MoodysData(Raw)'!$B$2:$B$180,"=GDP",'MoodysData(Raw)'!$D$2:$D$180,"="&amp;'Implied Productivity Ratios'!$C78)/SUMIFS('MoodysData(Raw)'!W$2:W$180,'MoodysData(Raw)'!$B$2:$B$180,"=EMP",'MoodysData(Raw)'!$D$2:$D$180,"="&amp;'Implied Productivity Ratios'!$C78)</f>
        <v>98.836083625706536</v>
      </c>
      <c r="U78">
        <f>SUMIFS('MoodysData(Raw)'!X$2:X$180,'MoodysData(Raw)'!$B$2:$B$180,"=GDP",'MoodysData(Raw)'!$D$2:$D$180,"="&amp;'Implied Productivity Ratios'!$C78)/SUMIFS('MoodysData(Raw)'!X$2:X$180,'MoodysData(Raw)'!$B$2:$B$180,"=EMP",'MoodysData(Raw)'!$D$2:$D$180,"="&amp;'Implied Productivity Ratios'!$C78)</f>
        <v>101.80334896229839</v>
      </c>
      <c r="V78">
        <f>SUMIFS('MoodysData(Raw)'!Y$2:Y$180,'MoodysData(Raw)'!$B$2:$B$180,"=GDP",'MoodysData(Raw)'!$D$2:$D$180,"="&amp;'Implied Productivity Ratios'!$C78)/SUMIFS('MoodysData(Raw)'!Y$2:Y$180,'MoodysData(Raw)'!$B$2:$B$180,"=EMP",'MoodysData(Raw)'!$D$2:$D$180,"="&amp;'Implied Productivity Ratios'!$C78)</f>
        <v>104.03723517657104</v>
      </c>
      <c r="W78">
        <f>SUMIFS('MoodysData(Raw)'!Z$2:Z$180,'MoodysData(Raw)'!$B$2:$B$180,"=GDP",'MoodysData(Raw)'!$D$2:$D$180,"="&amp;'Implied Productivity Ratios'!$C78)/SUMIFS('MoodysData(Raw)'!Z$2:Z$180,'MoodysData(Raw)'!$B$2:$B$180,"=EMP",'MoodysData(Raw)'!$D$2:$D$180,"="&amp;'Implied Productivity Ratios'!$C78)</f>
        <v>108.96884871205779</v>
      </c>
      <c r="X78">
        <f>SUMIFS('MoodysData(Raw)'!AA$2:AA$180,'MoodysData(Raw)'!$B$2:$B$180,"=GDP",'MoodysData(Raw)'!$D$2:$D$180,"="&amp;'Implied Productivity Ratios'!$C78)/SUMIFS('MoodysData(Raw)'!AA$2:AA$180,'MoodysData(Raw)'!$B$2:$B$180,"=EMP",'MoodysData(Raw)'!$D$2:$D$180,"="&amp;'Implied Productivity Ratios'!$C78)</f>
        <v>111.19542609596446</v>
      </c>
      <c r="Y78">
        <f>SUMIFS('MoodysData(Raw)'!AB$2:AB$180,'MoodysData(Raw)'!$B$2:$B$180,"=GDP",'MoodysData(Raw)'!$D$2:$D$180,"="&amp;'Implied Productivity Ratios'!$C78)/SUMIFS('MoodysData(Raw)'!AB$2:AB$180,'MoodysData(Raw)'!$B$2:$B$180,"=EMP",'MoodysData(Raw)'!$D$2:$D$180,"="&amp;'Implied Productivity Ratios'!$C78)</f>
        <v>111.95908229111542</v>
      </c>
      <c r="Z78">
        <f>SUMIFS('MoodysData(Raw)'!AC$2:AC$180,'MoodysData(Raw)'!$B$2:$B$180,"=GDP",'MoodysData(Raw)'!$D$2:$D$180,"="&amp;'Implied Productivity Ratios'!$C78)/SUMIFS('MoodysData(Raw)'!AC$2:AC$180,'MoodysData(Raw)'!$B$2:$B$180,"=EMP",'MoodysData(Raw)'!$D$2:$D$180,"="&amp;'Implied Productivity Ratios'!$C78)</f>
        <v>112.13717538512218</v>
      </c>
      <c r="AA78">
        <f>SUMIFS('MoodysData(Raw)'!AD$2:AD$180,'MoodysData(Raw)'!$B$2:$B$180,"=GDP",'MoodysData(Raw)'!$D$2:$D$180,"="&amp;'Implied Productivity Ratios'!$C78)/SUMIFS('MoodysData(Raw)'!AD$2:AD$180,'MoodysData(Raw)'!$B$2:$B$180,"=EMP",'MoodysData(Raw)'!$D$2:$D$180,"="&amp;'Implied Productivity Ratios'!$C78)</f>
        <v>112.3579838361898</v>
      </c>
      <c r="AB78">
        <f>SUMIFS('MoodysData(Raw)'!AE$2:AE$180,'MoodysData(Raw)'!$B$2:$B$180,"=GDP",'MoodysData(Raw)'!$D$2:$D$180,"="&amp;'Implied Productivity Ratios'!$C78)/SUMIFS('MoodysData(Raw)'!AE$2:AE$180,'MoodysData(Raw)'!$B$2:$B$180,"=EMP",'MoodysData(Raw)'!$D$2:$D$180,"="&amp;'Implied Productivity Ratios'!$C78)</f>
        <v>112.89011183075553</v>
      </c>
      <c r="AC78">
        <f>SUMIFS('MoodysData(Raw)'!AF$2:AF$180,'MoodysData(Raw)'!$B$2:$B$180,"=GDP",'MoodysData(Raw)'!$D$2:$D$180,"="&amp;'Implied Productivity Ratios'!$C78)/SUMIFS('MoodysData(Raw)'!AF$2:AF$180,'MoodysData(Raw)'!$B$2:$B$180,"=EMP",'MoodysData(Raw)'!$D$2:$D$180,"="&amp;'Implied Productivity Ratios'!$C78)</f>
        <v>113.71751978466327</v>
      </c>
      <c r="AD78">
        <f>SUMIFS('MoodysData(Raw)'!AG$2:AG$180,'MoodysData(Raw)'!$B$2:$B$180,"=GDP",'MoodysData(Raw)'!$D$2:$D$180,"="&amp;'Implied Productivity Ratios'!$C78)/SUMIFS('MoodysData(Raw)'!AG$2:AG$180,'MoodysData(Raw)'!$B$2:$B$180,"=EMP",'MoodysData(Raw)'!$D$2:$D$180,"="&amp;'Implied Productivity Ratios'!$C78)</f>
        <v>114.772301755437</v>
      </c>
      <c r="AE78">
        <f>SUMIFS('MoodysData(Raw)'!AH$2:AH$180,'MoodysData(Raw)'!$B$2:$B$180,"=GDP",'MoodysData(Raw)'!$D$2:$D$180,"="&amp;'Implied Productivity Ratios'!$C78)/SUMIFS('MoodysData(Raw)'!AH$2:AH$180,'MoodysData(Raw)'!$B$2:$B$180,"=EMP",'MoodysData(Raw)'!$D$2:$D$180,"="&amp;'Implied Productivity Ratios'!$C78)</f>
        <v>115.85209463009042</v>
      </c>
      <c r="AF78">
        <f>SUMIFS('MoodysData(Raw)'!AI$2:AI$180,'MoodysData(Raw)'!$B$2:$B$180,"=GDP",'MoodysData(Raw)'!$D$2:$D$180,"="&amp;'Implied Productivity Ratios'!$C78)/SUMIFS('MoodysData(Raw)'!AI$2:AI$180,'MoodysData(Raw)'!$B$2:$B$180,"=EMP",'MoodysData(Raw)'!$D$2:$D$180,"="&amp;'Implied Productivity Ratios'!$C78)</f>
        <v>117.04176301636149</v>
      </c>
      <c r="AG78">
        <f>SUMIFS('MoodysData(Raw)'!AJ$2:AJ$180,'MoodysData(Raw)'!$B$2:$B$180,"=GDP",'MoodysData(Raw)'!$D$2:$D$180,"="&amp;'Implied Productivity Ratios'!$C78)/SUMIFS('MoodysData(Raw)'!AJ$2:AJ$180,'MoodysData(Raw)'!$B$2:$B$180,"=EMP",'MoodysData(Raw)'!$D$2:$D$180,"="&amp;'Implied Productivity Ratios'!$C78)</f>
        <v>118.39801469356968</v>
      </c>
      <c r="AH78">
        <f>SUMIFS('MoodysData(Raw)'!AK$2:AK$180,'MoodysData(Raw)'!$B$2:$B$180,"=GDP",'MoodysData(Raw)'!$D$2:$D$180,"="&amp;'Implied Productivity Ratios'!$C78)/SUMIFS('MoodysData(Raw)'!AK$2:AK$180,'MoodysData(Raw)'!$B$2:$B$180,"=EMP",'MoodysData(Raw)'!$D$2:$D$180,"="&amp;'Implied Productivity Ratios'!$C78)</f>
        <v>119.66574065940615</v>
      </c>
      <c r="AI78">
        <f>SUMIFS('MoodysData(Raw)'!AL$2:AL$180,'MoodysData(Raw)'!$B$2:$B$180,"=GDP",'MoodysData(Raw)'!$D$2:$D$180,"="&amp;'Implied Productivity Ratios'!$C78)/SUMIFS('MoodysData(Raw)'!AL$2:AL$180,'MoodysData(Raw)'!$B$2:$B$180,"=EMP",'MoodysData(Raw)'!$D$2:$D$180,"="&amp;'Implied Productivity Ratios'!$C78)</f>
        <v>121.00082552660002</v>
      </c>
      <c r="AJ78">
        <f>SUMIFS('MoodysData(Raw)'!AM$2:AM$180,'MoodysData(Raw)'!$B$2:$B$180,"=GDP",'MoodysData(Raw)'!$D$2:$D$180,"="&amp;'Implied Productivity Ratios'!$C78)/SUMIFS('MoodysData(Raw)'!AM$2:AM$180,'MoodysData(Raw)'!$B$2:$B$180,"=EMP",'MoodysData(Raw)'!$D$2:$D$180,"="&amp;'Implied Productivity Ratios'!$C78)</f>
        <v>122.67510486975772</v>
      </c>
      <c r="AK78">
        <f>SUMIFS('MoodysData(Raw)'!AN$2:AN$180,'MoodysData(Raw)'!$B$2:$B$180,"=GDP",'MoodysData(Raw)'!$D$2:$D$180,"="&amp;'Implied Productivity Ratios'!$C78)/SUMIFS('MoodysData(Raw)'!AN$2:AN$180,'MoodysData(Raw)'!$B$2:$B$180,"=EMP",'MoodysData(Raw)'!$D$2:$D$180,"="&amp;'Implied Productivity Ratios'!$C78)</f>
        <v>124.57565651149675</v>
      </c>
      <c r="AL78">
        <f>SUMIFS('MoodysData(Raw)'!AO$2:AO$180,'MoodysData(Raw)'!$B$2:$B$180,"=GDP",'MoodysData(Raw)'!$D$2:$D$180,"="&amp;'Implied Productivity Ratios'!$C78)/SUMIFS('MoodysData(Raw)'!AO$2:AO$180,'MoodysData(Raw)'!$B$2:$B$180,"=EMP",'MoodysData(Raw)'!$D$2:$D$180,"="&amp;'Implied Productivity Ratios'!$C78)</f>
        <v>126.60830570137907</v>
      </c>
      <c r="AM78">
        <f>SUMIFS('MoodysData(Raw)'!AP$2:AP$180,'MoodysData(Raw)'!$B$2:$B$180,"=GDP",'MoodysData(Raw)'!$D$2:$D$180,"="&amp;'Implied Productivity Ratios'!$C78)/SUMIFS('MoodysData(Raw)'!AP$2:AP$180,'MoodysData(Raw)'!$B$2:$B$180,"=EMP",'MoodysData(Raw)'!$D$2:$D$180,"="&amp;'Implied Productivity Ratios'!$C78)</f>
        <v>128.69483192917136</v>
      </c>
      <c r="AN78">
        <f>SUMIFS('MoodysData(Raw)'!AQ$2:AQ$180,'MoodysData(Raw)'!$B$2:$B$180,"=GDP",'MoodysData(Raw)'!$D$2:$D$180,"="&amp;'Implied Productivity Ratios'!$C78)/SUMIFS('MoodysData(Raw)'!AQ$2:AQ$180,'MoodysData(Raw)'!$B$2:$B$180,"=EMP",'MoodysData(Raw)'!$D$2:$D$180,"="&amp;'Implied Productivity Ratios'!$C78)</f>
        <v>130.80212958732108</v>
      </c>
      <c r="AO78">
        <f>SUMIFS('MoodysData(Raw)'!AR$2:AR$180,'MoodysData(Raw)'!$B$2:$B$180,"=GDP",'MoodysData(Raw)'!$D$2:$D$180,"="&amp;'Implied Productivity Ratios'!$C78)/SUMIFS('MoodysData(Raw)'!AR$2:AR$180,'MoodysData(Raw)'!$B$2:$B$180,"=EMP",'MoodysData(Raw)'!$D$2:$D$180,"="&amp;'Implied Productivity Ratios'!$C78)</f>
        <v>132.96455803970835</v>
      </c>
      <c r="AP78">
        <f>SUMIFS('MoodysData(Raw)'!AS$2:AS$180,'MoodysData(Raw)'!$B$2:$B$180,"=GDP",'MoodysData(Raw)'!$D$2:$D$180,"="&amp;'Implied Productivity Ratios'!$C78)/SUMIFS('MoodysData(Raw)'!AS$2:AS$180,'MoodysData(Raw)'!$B$2:$B$180,"=EMP",'MoodysData(Raw)'!$D$2:$D$180,"="&amp;'Implied Productivity Ratios'!$C78)</f>
        <v>135.12342427755561</v>
      </c>
      <c r="AQ78">
        <f>SUMIFS('MoodysData(Raw)'!AT$2:AT$180,'MoodysData(Raw)'!$B$2:$B$180,"=GDP",'MoodysData(Raw)'!$D$2:$D$180,"="&amp;'Implied Productivity Ratios'!$C78)/SUMIFS('MoodysData(Raw)'!AT$2:AT$180,'MoodysData(Raw)'!$B$2:$B$180,"=EMP",'MoodysData(Raw)'!$D$2:$D$180,"="&amp;'Implied Productivity Ratios'!$C78)</f>
        <v>137.31501254860714</v>
      </c>
      <c r="AR78">
        <f>SUMIFS('MoodysData(Raw)'!AU$2:AU$180,'MoodysData(Raw)'!$B$2:$B$180,"=GDP",'MoodysData(Raw)'!$D$2:$D$180,"="&amp;'Implied Productivity Ratios'!$C78)/SUMIFS('MoodysData(Raw)'!AU$2:AU$180,'MoodysData(Raw)'!$B$2:$B$180,"=EMP",'MoodysData(Raw)'!$D$2:$D$180,"="&amp;'Implied Productivity Ratios'!$C78)</f>
        <v>139.59560043675168</v>
      </c>
      <c r="AS78">
        <f>SUMIFS('MoodysData(Raw)'!AV$2:AV$180,'MoodysData(Raw)'!$B$2:$B$180,"=GDP",'MoodysData(Raw)'!$D$2:$D$180,"="&amp;'Implied Productivity Ratios'!$C78)/SUMIFS('MoodysData(Raw)'!AV$2:AV$180,'MoodysData(Raw)'!$B$2:$B$180,"=EMP",'MoodysData(Raw)'!$D$2:$D$180,"="&amp;'Implied Productivity Ratios'!$C78)</f>
        <v>141.93640350435305</v>
      </c>
      <c r="AT78">
        <f>SUMIFS('MoodysData(Raw)'!AW$2:AW$180,'MoodysData(Raw)'!$B$2:$B$180,"=GDP",'MoodysData(Raw)'!$D$2:$D$180,"="&amp;'Implied Productivity Ratios'!$C78)/SUMIFS('MoodysData(Raw)'!AW$2:AW$180,'MoodysData(Raw)'!$B$2:$B$180,"=EMP",'MoodysData(Raw)'!$D$2:$D$180,"="&amp;'Implied Productivity Ratios'!$C78)</f>
        <v>144.27720999385173</v>
      </c>
      <c r="AU78">
        <f>SUMIFS('MoodysData(Raw)'!AX$2:AX$180,'MoodysData(Raw)'!$B$2:$B$180,"=GDP",'MoodysData(Raw)'!$D$2:$D$180,"="&amp;'Implied Productivity Ratios'!$C78)/SUMIFS('MoodysData(Raw)'!AX$2:AX$180,'MoodysData(Raw)'!$B$2:$B$180,"=EMP",'MoodysData(Raw)'!$D$2:$D$180,"="&amp;'Implied Productivity Ratios'!$C78)</f>
        <v>146.68834130674603</v>
      </c>
      <c r="AV78">
        <f>SUMIFS('MoodysData(Raw)'!AY$2:AY$180,'MoodysData(Raw)'!$B$2:$B$180,"=GDP",'MoodysData(Raw)'!$D$2:$D$180,"="&amp;'Implied Productivity Ratios'!$C78)/SUMIFS('MoodysData(Raw)'!AY$2:AY$180,'MoodysData(Raw)'!$B$2:$B$180,"=EMP",'MoodysData(Raw)'!$D$2:$D$180,"="&amp;'Implied Productivity Ratios'!$C78)</f>
        <v>149.17904146478006</v>
      </c>
      <c r="AW78">
        <f>SUMIFS('MoodysData(Raw)'!AZ$2:AZ$180,'MoodysData(Raw)'!$B$2:$B$180,"=GDP",'MoodysData(Raw)'!$D$2:$D$180,"="&amp;'Implied Productivity Ratios'!$C78)/SUMIFS('MoodysData(Raw)'!AZ$2:AZ$180,'MoodysData(Raw)'!$B$2:$B$180,"=EMP",'MoodysData(Raw)'!$D$2:$D$180,"="&amp;'Implied Productivity Ratios'!$C78)</f>
        <v>151.65471731265202</v>
      </c>
      <c r="AX78">
        <f>SUMIFS('MoodysData(Raw)'!BA$2:BA$180,'MoodysData(Raw)'!$B$2:$B$180,"=GDP",'MoodysData(Raw)'!$D$2:$D$180,"="&amp;'Implied Productivity Ratios'!$C78)/SUMIFS('MoodysData(Raw)'!BA$2:BA$180,'MoodysData(Raw)'!$B$2:$B$180,"=EMP",'MoodysData(Raw)'!$D$2:$D$180,"="&amp;'Implied Productivity Ratios'!$C78)</f>
        <v>154.15926805631557</v>
      </c>
      <c r="AY78">
        <f>SUMIFS('MoodysData(Raw)'!BB$2:BB$180,'MoodysData(Raw)'!$B$2:$B$180,"=GDP",'MoodysData(Raw)'!$D$2:$D$180,"="&amp;'Implied Productivity Ratios'!$C78)/SUMIFS('MoodysData(Raw)'!BB$2:BB$180,'MoodysData(Raw)'!$B$2:$B$180,"=EMP",'MoodysData(Raw)'!$D$2:$D$180,"="&amp;'Implied Productivity Ratios'!$C78)</f>
        <v>156.68701755691191</v>
      </c>
      <c r="AZ78">
        <f>SUMIFS('MoodysData(Raw)'!BC$2:BC$180,'MoodysData(Raw)'!$B$2:$B$180,"=GDP",'MoodysData(Raw)'!$D$2:$D$180,"="&amp;'Implied Productivity Ratios'!$C78)/SUMIFS('MoodysData(Raw)'!BC$2:BC$180,'MoodysData(Raw)'!$B$2:$B$180,"=EMP",'MoodysData(Raw)'!$D$2:$D$180,"="&amp;'Implied Productivity Ratios'!$C78)</f>
        <v>159.30997661381519</v>
      </c>
      <c r="BA78">
        <f>SUMIFS('MoodysData(Raw)'!BD$2:BD$180,'MoodysData(Raw)'!$B$2:$B$180,"=GDP",'MoodysData(Raw)'!$D$2:$D$180,"="&amp;'Implied Productivity Ratios'!$C78)/SUMIFS('MoodysData(Raw)'!BD$2:BD$180,'MoodysData(Raw)'!$B$2:$B$180,"=EMP",'MoodysData(Raw)'!$D$2:$D$180,"="&amp;'Implied Productivity Ratios'!$C78)</f>
        <v>162.11947402730658</v>
      </c>
      <c r="BB78">
        <f>SUMIFS('MoodysData(Raw)'!BE$2:BE$180,'MoodysData(Raw)'!$B$2:$B$180,"=GDP",'MoodysData(Raw)'!$D$2:$D$180,"="&amp;'Implied Productivity Ratios'!$C78)/SUMIFS('MoodysData(Raw)'!BE$2:BE$180,'MoodysData(Raw)'!$B$2:$B$180,"=EMP",'MoodysData(Raw)'!$D$2:$D$180,"="&amp;'Implied Productivity Ratios'!$C78)</f>
        <v>165.08433180909307</v>
      </c>
      <c r="BC78">
        <f>SUMIFS('MoodysData(Raw)'!BF$2:BF$180,'MoodysData(Raw)'!$B$2:$B$180,"=GDP",'MoodysData(Raw)'!$D$2:$D$180,"="&amp;'Implied Productivity Ratios'!$C78)/SUMIFS('MoodysData(Raw)'!BF$2:BF$180,'MoodysData(Raw)'!$B$2:$B$180,"=EMP",'MoodysData(Raw)'!$D$2:$D$180,"="&amp;'Implied Productivity Ratios'!$C78)</f>
        <v>168.15965965793799</v>
      </c>
      <c r="BD78" s="5">
        <f t="shared" ref="BD78:BH78" si="72">BC78+($BC78-$AX78)/5</f>
        <v>170.95973797826247</v>
      </c>
      <c r="BE78" s="5">
        <f t="shared" si="72"/>
        <v>173.75981629858694</v>
      </c>
      <c r="BF78" s="5">
        <f t="shared" si="72"/>
        <v>176.55989461891141</v>
      </c>
      <c r="BG78" s="5">
        <f t="shared" si="72"/>
        <v>179.35997293923589</v>
      </c>
      <c r="BH78" s="5">
        <f t="shared" si="72"/>
        <v>182.16005125956036</v>
      </c>
    </row>
    <row r="79" spans="3:60">
      <c r="C79">
        <v>622</v>
      </c>
      <c r="D79" t="s">
        <v>420</v>
      </c>
      <c r="E79">
        <f>SUMIFS('MoodysData(Raw)'!H$2:H$180,'MoodysData(Raw)'!$B$2:$B$180,"=GDP",'MoodysData(Raw)'!$D$2:$D$180,"="&amp;'Implied Productivity Ratios'!$C79)/SUMIFS('MoodysData(Raw)'!H$2:H$180,'MoodysData(Raw)'!$B$2:$B$180,"=EMP",'MoodysData(Raw)'!$D$2:$D$180,"="&amp;'Implied Productivity Ratios'!$C79)</f>
        <v>81.677776242828571</v>
      </c>
      <c r="F79">
        <f>SUMIFS('MoodysData(Raw)'!I$2:I$180,'MoodysData(Raw)'!$B$2:$B$180,"=GDP",'MoodysData(Raw)'!$D$2:$D$180,"="&amp;'Implied Productivity Ratios'!$C79)/SUMIFS('MoodysData(Raw)'!I$2:I$180,'MoodysData(Raw)'!$B$2:$B$180,"=EMP",'MoodysData(Raw)'!$D$2:$D$180,"="&amp;'Implied Productivity Ratios'!$C79)</f>
        <v>83.331162178084909</v>
      </c>
      <c r="G79">
        <f>SUMIFS('MoodysData(Raw)'!J$2:J$180,'MoodysData(Raw)'!$B$2:$B$180,"=GDP",'MoodysData(Raw)'!$D$2:$D$180,"="&amp;'Implied Productivity Ratios'!$C79)/SUMIFS('MoodysData(Raw)'!J$2:J$180,'MoodysData(Raw)'!$B$2:$B$180,"=EMP",'MoodysData(Raw)'!$D$2:$D$180,"="&amp;'Implied Productivity Ratios'!$C79)</f>
        <v>83.35021849241447</v>
      </c>
      <c r="H79">
        <f>SUMIFS('MoodysData(Raw)'!K$2:K$180,'MoodysData(Raw)'!$B$2:$B$180,"=GDP",'MoodysData(Raw)'!$D$2:$D$180,"="&amp;'Implied Productivity Ratios'!$C79)/SUMIFS('MoodysData(Raw)'!K$2:K$180,'MoodysData(Raw)'!$B$2:$B$180,"=EMP",'MoodysData(Raw)'!$D$2:$D$180,"="&amp;'Implied Productivity Ratios'!$C79)</f>
        <v>86.955548486923334</v>
      </c>
      <c r="I79">
        <f>SUMIFS('MoodysData(Raw)'!L$2:L$180,'MoodysData(Raw)'!$B$2:$B$180,"=GDP",'MoodysData(Raw)'!$D$2:$D$180,"="&amp;'Implied Productivity Ratios'!$C79)/SUMIFS('MoodysData(Raw)'!L$2:L$180,'MoodysData(Raw)'!$B$2:$B$180,"=EMP",'MoodysData(Raw)'!$D$2:$D$180,"="&amp;'Implied Productivity Ratios'!$C79)</f>
        <v>90.022241617162649</v>
      </c>
      <c r="J79">
        <f>SUMIFS('MoodysData(Raw)'!M$2:M$180,'MoodysData(Raw)'!$B$2:$B$180,"=GDP",'MoodysData(Raw)'!$D$2:$D$180,"="&amp;'Implied Productivity Ratios'!$C79)/SUMIFS('MoodysData(Raw)'!M$2:M$180,'MoodysData(Raw)'!$B$2:$B$180,"=EMP",'MoodysData(Raw)'!$D$2:$D$180,"="&amp;'Implied Productivity Ratios'!$C79)</f>
        <v>88.548790740373363</v>
      </c>
      <c r="K79">
        <f>SUMIFS('MoodysData(Raw)'!N$2:N$180,'MoodysData(Raw)'!$B$2:$B$180,"=GDP",'MoodysData(Raw)'!$D$2:$D$180,"="&amp;'Implied Productivity Ratios'!$C79)/SUMIFS('MoodysData(Raw)'!N$2:N$180,'MoodysData(Raw)'!$B$2:$B$180,"=EMP",'MoodysData(Raw)'!$D$2:$D$180,"="&amp;'Implied Productivity Ratios'!$C79)</f>
        <v>89.418123611504285</v>
      </c>
      <c r="L79">
        <f>SUMIFS('MoodysData(Raw)'!O$2:O$180,'MoodysData(Raw)'!$B$2:$B$180,"=GDP",'MoodysData(Raw)'!$D$2:$D$180,"="&amp;'Implied Productivity Ratios'!$C79)/SUMIFS('MoodysData(Raw)'!O$2:O$180,'MoodysData(Raw)'!$B$2:$B$180,"=EMP",'MoodysData(Raw)'!$D$2:$D$180,"="&amp;'Implied Productivity Ratios'!$C79)</f>
        <v>89.969248794965381</v>
      </c>
      <c r="M79">
        <f>SUMIFS('MoodysData(Raw)'!P$2:P$180,'MoodysData(Raw)'!$B$2:$B$180,"=GDP",'MoodysData(Raw)'!$D$2:$D$180,"="&amp;'Implied Productivity Ratios'!$C79)/SUMIFS('MoodysData(Raw)'!P$2:P$180,'MoodysData(Raw)'!$B$2:$B$180,"=EMP",'MoodysData(Raw)'!$D$2:$D$180,"="&amp;'Implied Productivity Ratios'!$C79)</f>
        <v>90.620200061588719</v>
      </c>
      <c r="N79">
        <f>SUMIFS('MoodysData(Raw)'!Q$2:Q$180,'MoodysData(Raw)'!$B$2:$B$180,"=GDP",'MoodysData(Raw)'!$D$2:$D$180,"="&amp;'Implied Productivity Ratios'!$C79)/SUMIFS('MoodysData(Raw)'!Q$2:Q$180,'MoodysData(Raw)'!$B$2:$B$180,"=EMP",'MoodysData(Raw)'!$D$2:$D$180,"="&amp;'Implied Productivity Ratios'!$C79)</f>
        <v>92.600793783620261</v>
      </c>
      <c r="O79">
        <f>SUMIFS('MoodysData(Raw)'!R$2:R$180,'MoodysData(Raw)'!$B$2:$B$180,"=GDP",'MoodysData(Raw)'!$D$2:$D$180,"="&amp;'Implied Productivity Ratios'!$C79)/SUMIFS('MoodysData(Raw)'!R$2:R$180,'MoodysData(Raw)'!$B$2:$B$180,"=EMP",'MoodysData(Raw)'!$D$2:$D$180,"="&amp;'Implied Productivity Ratios'!$C79)</f>
        <v>95.600813271283641</v>
      </c>
      <c r="P79">
        <f>SUMIFS('MoodysData(Raw)'!S$2:S$180,'MoodysData(Raw)'!$B$2:$B$180,"=GDP",'MoodysData(Raw)'!$D$2:$D$180,"="&amp;'Implied Productivity Ratios'!$C79)/SUMIFS('MoodysData(Raw)'!S$2:S$180,'MoodysData(Raw)'!$B$2:$B$180,"=EMP",'MoodysData(Raw)'!$D$2:$D$180,"="&amp;'Implied Productivity Ratios'!$C79)</f>
        <v>94.877562297650258</v>
      </c>
      <c r="Q79">
        <f>SUMIFS('MoodysData(Raw)'!T$2:T$180,'MoodysData(Raw)'!$B$2:$B$180,"=GDP",'MoodysData(Raw)'!$D$2:$D$180,"="&amp;'Implied Productivity Ratios'!$C79)/SUMIFS('MoodysData(Raw)'!T$2:T$180,'MoodysData(Raw)'!$B$2:$B$180,"=EMP",'MoodysData(Raw)'!$D$2:$D$180,"="&amp;'Implied Productivity Ratios'!$C79)</f>
        <v>95.566059637244862</v>
      </c>
      <c r="R79">
        <f>SUMIFS('MoodysData(Raw)'!U$2:U$180,'MoodysData(Raw)'!$B$2:$B$180,"=GDP",'MoodysData(Raw)'!$D$2:$D$180,"="&amp;'Implied Productivity Ratios'!$C79)/SUMIFS('MoodysData(Raw)'!U$2:U$180,'MoodysData(Raw)'!$B$2:$B$180,"=EMP",'MoodysData(Raw)'!$D$2:$D$180,"="&amp;'Implied Productivity Ratios'!$C79)</f>
        <v>96.865919205674714</v>
      </c>
      <c r="S79">
        <f>SUMIFS('MoodysData(Raw)'!V$2:V$180,'MoodysData(Raw)'!$B$2:$B$180,"=GDP",'MoodysData(Raw)'!$D$2:$D$180,"="&amp;'Implied Productivity Ratios'!$C79)/SUMIFS('MoodysData(Raw)'!V$2:V$180,'MoodysData(Raw)'!$B$2:$B$180,"=EMP",'MoodysData(Raw)'!$D$2:$D$180,"="&amp;'Implied Productivity Ratios'!$C79)</f>
        <v>97.147051744050813</v>
      </c>
      <c r="T79">
        <f>SUMIFS('MoodysData(Raw)'!W$2:W$180,'MoodysData(Raw)'!$B$2:$B$180,"=GDP",'MoodysData(Raw)'!$D$2:$D$180,"="&amp;'Implied Productivity Ratios'!$C79)/SUMIFS('MoodysData(Raw)'!W$2:W$180,'MoodysData(Raw)'!$B$2:$B$180,"=EMP",'MoodysData(Raw)'!$D$2:$D$180,"="&amp;'Implied Productivity Ratios'!$C79)</f>
        <v>98.952364856670499</v>
      </c>
      <c r="U79">
        <f>SUMIFS('MoodysData(Raw)'!X$2:X$180,'MoodysData(Raw)'!$B$2:$B$180,"=GDP",'MoodysData(Raw)'!$D$2:$D$180,"="&amp;'Implied Productivity Ratios'!$C79)/SUMIFS('MoodysData(Raw)'!X$2:X$180,'MoodysData(Raw)'!$B$2:$B$180,"=EMP",'MoodysData(Raw)'!$D$2:$D$180,"="&amp;'Implied Productivity Ratios'!$C79)</f>
        <v>101.1864212968311</v>
      </c>
      <c r="V79">
        <f>SUMIFS('MoodysData(Raw)'!Y$2:Y$180,'MoodysData(Raw)'!$B$2:$B$180,"=GDP",'MoodysData(Raw)'!$D$2:$D$180,"="&amp;'Implied Productivity Ratios'!$C79)/SUMIFS('MoodysData(Raw)'!Y$2:Y$180,'MoodysData(Raw)'!$B$2:$B$180,"=EMP",'MoodysData(Raw)'!$D$2:$D$180,"="&amp;'Implied Productivity Ratios'!$C79)</f>
        <v>101.55625187349939</v>
      </c>
      <c r="W79">
        <f>SUMIFS('MoodysData(Raw)'!Z$2:Z$180,'MoodysData(Raw)'!$B$2:$B$180,"=GDP",'MoodysData(Raw)'!$D$2:$D$180,"="&amp;'Implied Productivity Ratios'!$C79)/SUMIFS('MoodysData(Raw)'!Z$2:Z$180,'MoodysData(Raw)'!$B$2:$B$180,"=EMP",'MoodysData(Raw)'!$D$2:$D$180,"="&amp;'Implied Productivity Ratios'!$C79)</f>
        <v>99.556688417237069</v>
      </c>
      <c r="X79">
        <f>SUMIFS('MoodysData(Raw)'!AA$2:AA$180,'MoodysData(Raw)'!$B$2:$B$180,"=GDP",'MoodysData(Raw)'!$D$2:$D$180,"="&amp;'Implied Productivity Ratios'!$C79)/SUMIFS('MoodysData(Raw)'!AA$2:AA$180,'MoodysData(Raw)'!$B$2:$B$180,"=EMP",'MoodysData(Raw)'!$D$2:$D$180,"="&amp;'Implied Productivity Ratios'!$C79)</f>
        <v>98.744965879287804</v>
      </c>
      <c r="Y79">
        <f>SUMIFS('MoodysData(Raw)'!AB$2:AB$180,'MoodysData(Raw)'!$B$2:$B$180,"=GDP",'MoodysData(Raw)'!$D$2:$D$180,"="&amp;'Implied Productivity Ratios'!$C79)/SUMIFS('MoodysData(Raw)'!AB$2:AB$180,'MoodysData(Raw)'!$B$2:$B$180,"=EMP",'MoodysData(Raw)'!$D$2:$D$180,"="&amp;'Implied Productivity Ratios'!$C79)</f>
        <v>98.900473003505397</v>
      </c>
      <c r="Z79">
        <f>SUMIFS('MoodysData(Raw)'!AC$2:AC$180,'MoodysData(Raw)'!$B$2:$B$180,"=GDP",'MoodysData(Raw)'!$D$2:$D$180,"="&amp;'Implied Productivity Ratios'!$C79)/SUMIFS('MoodysData(Raw)'!AC$2:AC$180,'MoodysData(Raw)'!$B$2:$B$180,"=EMP",'MoodysData(Raw)'!$D$2:$D$180,"="&amp;'Implied Productivity Ratios'!$C79)</f>
        <v>98.847132462517365</v>
      </c>
      <c r="AA79">
        <f>SUMIFS('MoodysData(Raw)'!AD$2:AD$180,'MoodysData(Raw)'!$B$2:$B$180,"=GDP",'MoodysData(Raw)'!$D$2:$D$180,"="&amp;'Implied Productivity Ratios'!$C79)/SUMIFS('MoodysData(Raw)'!AD$2:AD$180,'MoodysData(Raw)'!$B$2:$B$180,"=EMP",'MoodysData(Raw)'!$D$2:$D$180,"="&amp;'Implied Productivity Ratios'!$C79)</f>
        <v>98.821949630892746</v>
      </c>
      <c r="AB79">
        <f>SUMIFS('MoodysData(Raw)'!AE$2:AE$180,'MoodysData(Raw)'!$B$2:$B$180,"=GDP",'MoodysData(Raw)'!$D$2:$D$180,"="&amp;'Implied Productivity Ratios'!$C79)/SUMIFS('MoodysData(Raw)'!AE$2:AE$180,'MoodysData(Raw)'!$B$2:$B$180,"=EMP",'MoodysData(Raw)'!$D$2:$D$180,"="&amp;'Implied Productivity Ratios'!$C79)</f>
        <v>99.077502645234247</v>
      </c>
      <c r="AC79">
        <f>SUMIFS('MoodysData(Raw)'!AF$2:AF$180,'MoodysData(Raw)'!$B$2:$B$180,"=GDP",'MoodysData(Raw)'!$D$2:$D$180,"="&amp;'Implied Productivity Ratios'!$C79)/SUMIFS('MoodysData(Raw)'!AF$2:AF$180,'MoodysData(Raw)'!$B$2:$B$180,"=EMP",'MoodysData(Raw)'!$D$2:$D$180,"="&amp;'Implied Productivity Ratios'!$C79)</f>
        <v>99.602694452732322</v>
      </c>
      <c r="AD79">
        <f>SUMIFS('MoodysData(Raw)'!AG$2:AG$180,'MoodysData(Raw)'!$B$2:$B$180,"=GDP",'MoodysData(Raw)'!$D$2:$D$180,"="&amp;'Implied Productivity Ratios'!$C79)/SUMIFS('MoodysData(Raw)'!AG$2:AG$180,'MoodysData(Raw)'!$B$2:$B$180,"=EMP",'MoodysData(Raw)'!$D$2:$D$180,"="&amp;'Implied Productivity Ratios'!$C79)</f>
        <v>100.33474593092316</v>
      </c>
      <c r="AE79">
        <f>SUMIFS('MoodysData(Raw)'!AH$2:AH$180,'MoodysData(Raw)'!$B$2:$B$180,"=GDP",'MoodysData(Raw)'!$D$2:$D$180,"="&amp;'Implied Productivity Ratios'!$C79)/SUMIFS('MoodysData(Raw)'!AH$2:AH$180,'MoodysData(Raw)'!$B$2:$B$180,"=EMP",'MoodysData(Raw)'!$D$2:$D$180,"="&amp;'Implied Productivity Ratios'!$C79)</f>
        <v>101.09471758686175</v>
      </c>
      <c r="AF79">
        <f>SUMIFS('MoodysData(Raw)'!AI$2:AI$180,'MoodysData(Raw)'!$B$2:$B$180,"=GDP",'MoodysData(Raw)'!$D$2:$D$180,"="&amp;'Implied Productivity Ratios'!$C79)/SUMIFS('MoodysData(Raw)'!AI$2:AI$180,'MoodysData(Raw)'!$B$2:$B$180,"=EMP",'MoodysData(Raw)'!$D$2:$D$180,"="&amp;'Implied Productivity Ratios'!$C79)</f>
        <v>101.95402108523987</v>
      </c>
      <c r="AG79">
        <f>SUMIFS('MoodysData(Raw)'!AJ$2:AJ$180,'MoodysData(Raw)'!$B$2:$B$180,"=GDP",'MoodysData(Raw)'!$D$2:$D$180,"="&amp;'Implied Productivity Ratios'!$C79)/SUMIFS('MoodysData(Raw)'!AJ$2:AJ$180,'MoodysData(Raw)'!$B$2:$B$180,"=EMP",'MoodysData(Raw)'!$D$2:$D$180,"="&amp;'Implied Productivity Ratios'!$C79)</f>
        <v>102.96099130853844</v>
      </c>
      <c r="AH79">
        <f>SUMIFS('MoodysData(Raw)'!AK$2:AK$180,'MoodysData(Raw)'!$B$2:$B$180,"=GDP",'MoodysData(Raw)'!$D$2:$D$180,"="&amp;'Implied Productivity Ratios'!$C79)/SUMIFS('MoodysData(Raw)'!AK$2:AK$180,'MoodysData(Raw)'!$B$2:$B$180,"=EMP",'MoodysData(Raw)'!$D$2:$D$180,"="&amp;'Implied Productivity Ratios'!$C79)</f>
        <v>103.89205353168927</v>
      </c>
      <c r="AI79">
        <f>SUMIFS('MoodysData(Raw)'!AL$2:AL$180,'MoodysData(Raw)'!$B$2:$B$180,"=GDP",'MoodysData(Raw)'!$D$2:$D$180,"="&amp;'Implied Productivity Ratios'!$C79)/SUMIFS('MoodysData(Raw)'!AL$2:AL$180,'MoodysData(Raw)'!$B$2:$B$180,"=EMP",'MoodysData(Raw)'!$D$2:$D$180,"="&amp;'Implied Productivity Ratios'!$C79)</f>
        <v>104.88312951504686</v>
      </c>
      <c r="AJ79">
        <f>SUMIFS('MoodysData(Raw)'!AM$2:AM$180,'MoodysData(Raw)'!$B$2:$B$180,"=GDP",'MoodysData(Raw)'!$D$2:$D$180,"="&amp;'Implied Productivity Ratios'!$C79)/SUMIFS('MoodysData(Raw)'!AM$2:AM$180,'MoodysData(Raw)'!$B$2:$B$180,"=EMP",'MoodysData(Raw)'!$D$2:$D$180,"="&amp;'Implied Productivity Ratios'!$C79)</f>
        <v>106.16960195325674</v>
      </c>
      <c r="AK79">
        <f>SUMIFS('MoodysData(Raw)'!AN$2:AN$180,'MoodysData(Raw)'!$B$2:$B$180,"=GDP",'MoodysData(Raw)'!$D$2:$D$180,"="&amp;'Implied Productivity Ratios'!$C79)/SUMIFS('MoodysData(Raw)'!AN$2:AN$180,'MoodysData(Raw)'!$B$2:$B$180,"=EMP",'MoodysData(Raw)'!$D$2:$D$180,"="&amp;'Implied Productivity Ratios'!$C79)</f>
        <v>107.65175232005639</v>
      </c>
      <c r="AL79">
        <f>SUMIFS('MoodysData(Raw)'!AO$2:AO$180,'MoodysData(Raw)'!$B$2:$B$180,"=GDP",'MoodysData(Raw)'!$D$2:$D$180,"="&amp;'Implied Productivity Ratios'!$C79)/SUMIFS('MoodysData(Raw)'!AO$2:AO$180,'MoodysData(Raw)'!$B$2:$B$180,"=EMP",'MoodysData(Raw)'!$D$2:$D$180,"="&amp;'Implied Productivity Ratios'!$C79)</f>
        <v>109.24764531556056</v>
      </c>
      <c r="AM79">
        <f>SUMIFS('MoodysData(Raw)'!AP$2:AP$180,'MoodysData(Raw)'!$B$2:$B$180,"=GDP",'MoodysData(Raw)'!$D$2:$D$180,"="&amp;'Implied Productivity Ratios'!$C79)/SUMIFS('MoodysData(Raw)'!AP$2:AP$180,'MoodysData(Raw)'!$B$2:$B$180,"=EMP",'MoodysData(Raw)'!$D$2:$D$180,"="&amp;'Implied Productivity Ratios'!$C79)</f>
        <v>110.8924726630285</v>
      </c>
      <c r="AN79">
        <f>SUMIFS('MoodysData(Raw)'!AQ$2:AQ$180,'MoodysData(Raw)'!$B$2:$B$180,"=GDP",'MoodysData(Raw)'!$D$2:$D$180,"="&amp;'Implied Productivity Ratios'!$C79)/SUMIFS('MoodysData(Raw)'!AQ$2:AQ$180,'MoodysData(Raw)'!$B$2:$B$180,"=EMP",'MoodysData(Raw)'!$D$2:$D$180,"="&amp;'Implied Productivity Ratios'!$C79)</f>
        <v>112.55820151389561</v>
      </c>
      <c r="AO79">
        <f>SUMIFS('MoodysData(Raw)'!AR$2:AR$180,'MoodysData(Raw)'!$B$2:$B$180,"=GDP",'MoodysData(Raw)'!$D$2:$D$180,"="&amp;'Implied Productivity Ratios'!$C79)/SUMIFS('MoodysData(Raw)'!AR$2:AR$180,'MoodysData(Raw)'!$B$2:$B$180,"=EMP",'MoodysData(Raw)'!$D$2:$D$180,"="&amp;'Implied Productivity Ratios'!$C79)</f>
        <v>114.27397582100885</v>
      </c>
      <c r="AP79">
        <f>SUMIFS('MoodysData(Raw)'!AS$2:AS$180,'MoodysData(Raw)'!$B$2:$B$180,"=GDP",'MoodysData(Raw)'!$D$2:$D$180,"="&amp;'Implied Productivity Ratios'!$C79)/SUMIFS('MoodysData(Raw)'!AS$2:AS$180,'MoodysData(Raw)'!$B$2:$B$180,"=EMP",'MoodysData(Raw)'!$D$2:$D$180,"="&amp;'Implied Productivity Ratios'!$C79)</f>
        <v>115.99002158604407</v>
      </c>
      <c r="AQ79">
        <f>SUMIFS('MoodysData(Raw)'!AT$2:AT$180,'MoodysData(Raw)'!$B$2:$B$180,"=GDP",'MoodysData(Raw)'!$D$2:$D$180,"="&amp;'Implied Productivity Ratios'!$C79)/SUMIFS('MoodysData(Raw)'!AT$2:AT$180,'MoodysData(Raw)'!$B$2:$B$180,"=EMP",'MoodysData(Raw)'!$D$2:$D$180,"="&amp;'Implied Productivity Ratios'!$C79)</f>
        <v>117.73619805003656</v>
      </c>
      <c r="AR79">
        <f>SUMIFS('MoodysData(Raw)'!AU$2:AU$180,'MoodysData(Raw)'!$B$2:$B$180,"=GDP",'MoodysData(Raw)'!$D$2:$D$180,"="&amp;'Implied Productivity Ratios'!$C79)/SUMIFS('MoodysData(Raw)'!AU$2:AU$180,'MoodysData(Raw)'!$B$2:$B$180,"=EMP",'MoodysData(Raw)'!$D$2:$D$180,"="&amp;'Implied Productivity Ratios'!$C79)</f>
        <v>119.55995566240617</v>
      </c>
      <c r="AS79">
        <f>SUMIFS('MoodysData(Raw)'!AV$2:AV$180,'MoodysData(Raw)'!$B$2:$B$180,"=GDP",'MoodysData(Raw)'!$D$2:$D$180,"="&amp;'Implied Productivity Ratios'!$C79)/SUMIFS('MoodysData(Raw)'!AV$2:AV$180,'MoodysData(Raw)'!$B$2:$B$180,"=EMP",'MoodysData(Raw)'!$D$2:$D$180,"="&amp;'Implied Productivity Ratios'!$C79)</f>
        <v>121.43742475215784</v>
      </c>
      <c r="AT79">
        <f>SUMIFS('MoodysData(Raw)'!AW$2:AW$180,'MoodysData(Raw)'!$B$2:$B$180,"=GDP",'MoodysData(Raw)'!$D$2:$D$180,"="&amp;'Implied Productivity Ratios'!$C79)/SUMIFS('MoodysData(Raw)'!AW$2:AW$180,'MoodysData(Raw)'!$B$2:$B$180,"=EMP",'MoodysData(Raw)'!$D$2:$D$180,"="&amp;'Implied Productivity Ratios'!$C79)</f>
        <v>123.31826507968849</v>
      </c>
      <c r="AU79">
        <f>SUMIFS('MoodysData(Raw)'!AX$2:AX$180,'MoodysData(Raw)'!$B$2:$B$180,"=GDP",'MoodysData(Raw)'!$D$2:$D$180,"="&amp;'Implied Productivity Ratios'!$C79)/SUMIFS('MoodysData(Raw)'!AX$2:AX$180,'MoodysData(Raw)'!$B$2:$B$180,"=EMP",'MoodysData(Raw)'!$D$2:$D$180,"="&amp;'Implied Productivity Ratios'!$C79)</f>
        <v>125.26309815572193</v>
      </c>
      <c r="AV79">
        <f>SUMIFS('MoodysData(Raw)'!AY$2:AY$180,'MoodysData(Raw)'!$B$2:$B$180,"=GDP",'MoodysData(Raw)'!$D$2:$D$180,"="&amp;'Implied Productivity Ratios'!$C79)/SUMIFS('MoodysData(Raw)'!AY$2:AY$180,'MoodysData(Raw)'!$B$2:$B$180,"=EMP",'MoodysData(Raw)'!$D$2:$D$180,"="&amp;'Implied Productivity Ratios'!$C79)</f>
        <v>127.27993980754779</v>
      </c>
      <c r="AW79">
        <f>SUMIFS('MoodysData(Raw)'!AZ$2:AZ$180,'MoodysData(Raw)'!$B$2:$B$180,"=GDP",'MoodysData(Raw)'!$D$2:$D$180,"="&amp;'Implied Productivity Ratios'!$C79)/SUMIFS('MoodysData(Raw)'!AZ$2:AZ$180,'MoodysData(Raw)'!$B$2:$B$180,"=EMP",'MoodysData(Raw)'!$D$2:$D$180,"="&amp;'Implied Productivity Ratios'!$C79)</f>
        <v>129.28918525643002</v>
      </c>
      <c r="AX79">
        <f>SUMIFS('MoodysData(Raw)'!BA$2:BA$180,'MoodysData(Raw)'!$B$2:$B$180,"=GDP",'MoodysData(Raw)'!$D$2:$D$180,"="&amp;'Implied Productivity Ratios'!$C79)/SUMIFS('MoodysData(Raw)'!BA$2:BA$180,'MoodysData(Raw)'!$B$2:$B$180,"=EMP",'MoodysData(Raw)'!$D$2:$D$180,"="&amp;'Implied Productivity Ratios'!$C79)</f>
        <v>131.32713150807655</v>
      </c>
      <c r="AY79">
        <f>SUMIFS('MoodysData(Raw)'!BB$2:BB$180,'MoodysData(Raw)'!$B$2:$B$180,"=GDP",'MoodysData(Raw)'!$D$2:$D$180,"="&amp;'Implied Productivity Ratios'!$C79)/SUMIFS('MoodysData(Raw)'!BB$2:BB$180,'MoodysData(Raw)'!$B$2:$B$180,"=EMP",'MoodysData(Raw)'!$D$2:$D$180,"="&amp;'Implied Productivity Ratios'!$C79)</f>
        <v>133.38982407746244</v>
      </c>
      <c r="AZ79">
        <f>SUMIFS('MoodysData(Raw)'!BC$2:BC$180,'MoodysData(Raw)'!$B$2:$B$180,"=GDP",'MoodysData(Raw)'!$D$2:$D$180,"="&amp;'Implied Productivity Ratios'!$C79)/SUMIFS('MoodysData(Raw)'!BC$2:BC$180,'MoodysData(Raw)'!$B$2:$B$180,"=EMP",'MoodysData(Raw)'!$D$2:$D$180,"="&amp;'Implied Productivity Ratios'!$C79)</f>
        <v>135.53774254590419</v>
      </c>
      <c r="BA79">
        <f>SUMIFS('MoodysData(Raw)'!BD$2:BD$180,'MoodysData(Raw)'!$B$2:$B$180,"=GDP",'MoodysData(Raw)'!$D$2:$D$180,"="&amp;'Implied Productivity Ratios'!$C79)/SUMIFS('MoodysData(Raw)'!BD$2:BD$180,'MoodysData(Raw)'!$B$2:$B$180,"=EMP",'MoodysData(Raw)'!$D$2:$D$180,"="&amp;'Implied Productivity Ratios'!$C79)</f>
        <v>137.84389223328597</v>
      </c>
      <c r="BB79">
        <f>SUMIFS('MoodysData(Raw)'!BE$2:BE$180,'MoodysData(Raw)'!$B$2:$B$180,"=GDP",'MoodysData(Raw)'!$D$2:$D$180,"="&amp;'Implied Productivity Ratios'!$C79)/SUMIFS('MoodysData(Raw)'!BE$2:BE$180,'MoodysData(Raw)'!$B$2:$B$180,"=EMP",'MoodysData(Raw)'!$D$2:$D$180,"="&amp;'Implied Productivity Ratios'!$C79)</f>
        <v>140.28478974126969</v>
      </c>
      <c r="BC79">
        <f>SUMIFS('MoodysData(Raw)'!BF$2:BF$180,'MoodysData(Raw)'!$B$2:$B$180,"=GDP",'MoodysData(Raw)'!$D$2:$D$180,"="&amp;'Implied Productivity Ratios'!$C79)/SUMIFS('MoodysData(Raw)'!BF$2:BF$180,'MoodysData(Raw)'!$B$2:$B$180,"=EMP",'MoodysData(Raw)'!$D$2:$D$180,"="&amp;'Implied Productivity Ratios'!$C79)</f>
        <v>142.82656684628819</v>
      </c>
      <c r="BD79" s="5">
        <f t="shared" ref="BD79:BH79" si="73">BC79+($BC79-$AX79)/5</f>
        <v>145.1264539139305</v>
      </c>
      <c r="BE79" s="5">
        <f t="shared" si="73"/>
        <v>147.42634098157282</v>
      </c>
      <c r="BF79" s="5">
        <f t="shared" si="73"/>
        <v>149.72622804921514</v>
      </c>
      <c r="BG79" s="5">
        <f t="shared" si="73"/>
        <v>152.02611511685745</v>
      </c>
      <c r="BH79" s="5">
        <f t="shared" si="73"/>
        <v>154.32600218449977</v>
      </c>
    </row>
    <row r="80" spans="3:60">
      <c r="C80">
        <v>623</v>
      </c>
      <c r="D80" t="s">
        <v>424</v>
      </c>
      <c r="E80">
        <f>SUMIFS('MoodysData(Raw)'!H$2:H$180,'MoodysData(Raw)'!$B$2:$B$180,"=GDP",'MoodysData(Raw)'!$D$2:$D$180,"="&amp;'Implied Productivity Ratios'!$C80)/SUMIFS('MoodysData(Raw)'!H$2:H$180,'MoodysData(Raw)'!$B$2:$B$180,"=EMP",'MoodysData(Raw)'!$D$2:$D$180,"="&amp;'Implied Productivity Ratios'!$C80)</f>
        <v>44.341569688124849</v>
      </c>
      <c r="F80">
        <f>SUMIFS('MoodysData(Raw)'!I$2:I$180,'MoodysData(Raw)'!$B$2:$B$180,"=GDP",'MoodysData(Raw)'!$D$2:$D$180,"="&amp;'Implied Productivity Ratios'!$C80)/SUMIFS('MoodysData(Raw)'!I$2:I$180,'MoodysData(Raw)'!$B$2:$B$180,"=EMP",'MoodysData(Raw)'!$D$2:$D$180,"="&amp;'Implied Productivity Ratios'!$C80)</f>
        <v>44.823531202140508</v>
      </c>
      <c r="G80">
        <f>SUMIFS('MoodysData(Raw)'!J$2:J$180,'MoodysData(Raw)'!$B$2:$B$180,"=GDP",'MoodysData(Raw)'!$D$2:$D$180,"="&amp;'Implied Productivity Ratios'!$C80)/SUMIFS('MoodysData(Raw)'!J$2:J$180,'MoodysData(Raw)'!$B$2:$B$180,"=EMP",'MoodysData(Raw)'!$D$2:$D$180,"="&amp;'Implied Productivity Ratios'!$C80)</f>
        <v>43.909452034200626</v>
      </c>
      <c r="H80">
        <f>SUMIFS('MoodysData(Raw)'!K$2:K$180,'MoodysData(Raw)'!$B$2:$B$180,"=GDP",'MoodysData(Raw)'!$D$2:$D$180,"="&amp;'Implied Productivity Ratios'!$C80)/SUMIFS('MoodysData(Raw)'!K$2:K$180,'MoodysData(Raw)'!$B$2:$B$180,"=EMP",'MoodysData(Raw)'!$D$2:$D$180,"="&amp;'Implied Productivity Ratios'!$C80)</f>
        <v>44.79115691584088</v>
      </c>
      <c r="I80">
        <f>SUMIFS('MoodysData(Raw)'!L$2:L$180,'MoodysData(Raw)'!$B$2:$B$180,"=GDP",'MoodysData(Raw)'!$D$2:$D$180,"="&amp;'Implied Productivity Ratios'!$C80)/SUMIFS('MoodysData(Raw)'!L$2:L$180,'MoodysData(Raw)'!$B$2:$B$180,"=EMP",'MoodysData(Raw)'!$D$2:$D$180,"="&amp;'Implied Productivity Ratios'!$C80)</f>
        <v>43.973580992361789</v>
      </c>
      <c r="J80">
        <f>SUMIFS('MoodysData(Raw)'!M$2:M$180,'MoodysData(Raw)'!$B$2:$B$180,"=GDP",'MoodysData(Raw)'!$D$2:$D$180,"="&amp;'Implied Productivity Ratios'!$C80)/SUMIFS('MoodysData(Raw)'!M$2:M$180,'MoodysData(Raw)'!$B$2:$B$180,"=EMP",'MoodysData(Raw)'!$D$2:$D$180,"="&amp;'Implied Productivity Ratios'!$C80)</f>
        <v>44.234543685955103</v>
      </c>
      <c r="K80">
        <f>SUMIFS('MoodysData(Raw)'!N$2:N$180,'MoodysData(Raw)'!$B$2:$B$180,"=GDP",'MoodysData(Raw)'!$D$2:$D$180,"="&amp;'Implied Productivity Ratios'!$C80)/SUMIFS('MoodysData(Raw)'!N$2:N$180,'MoodysData(Raw)'!$B$2:$B$180,"=EMP",'MoodysData(Raw)'!$D$2:$D$180,"="&amp;'Implied Productivity Ratios'!$C80)</f>
        <v>43.844770427919812</v>
      </c>
      <c r="L80">
        <f>SUMIFS('MoodysData(Raw)'!O$2:O$180,'MoodysData(Raw)'!$B$2:$B$180,"=GDP",'MoodysData(Raw)'!$D$2:$D$180,"="&amp;'Implied Productivity Ratios'!$C80)/SUMIFS('MoodysData(Raw)'!O$2:O$180,'MoodysData(Raw)'!$B$2:$B$180,"=EMP",'MoodysData(Raw)'!$D$2:$D$180,"="&amp;'Implied Productivity Ratios'!$C80)</f>
        <v>43.853161447665592</v>
      </c>
      <c r="M80">
        <f>SUMIFS('MoodysData(Raw)'!P$2:P$180,'MoodysData(Raw)'!$B$2:$B$180,"=GDP",'MoodysData(Raw)'!$D$2:$D$180,"="&amp;'Implied Productivity Ratios'!$C80)/SUMIFS('MoodysData(Raw)'!P$2:P$180,'MoodysData(Raw)'!$B$2:$B$180,"=EMP",'MoodysData(Raw)'!$D$2:$D$180,"="&amp;'Implied Productivity Ratios'!$C80)</f>
        <v>44.290416349645639</v>
      </c>
      <c r="N80">
        <f>SUMIFS('MoodysData(Raw)'!Q$2:Q$180,'MoodysData(Raw)'!$B$2:$B$180,"=GDP",'MoodysData(Raw)'!$D$2:$D$180,"="&amp;'Implied Productivity Ratios'!$C80)/SUMIFS('MoodysData(Raw)'!Q$2:Q$180,'MoodysData(Raw)'!$B$2:$B$180,"=EMP",'MoodysData(Raw)'!$D$2:$D$180,"="&amp;'Implied Productivity Ratios'!$C80)</f>
        <v>44.734216073736974</v>
      </c>
      <c r="O80">
        <f>SUMIFS('MoodysData(Raw)'!R$2:R$180,'MoodysData(Raw)'!$B$2:$B$180,"=GDP",'MoodysData(Raw)'!$D$2:$D$180,"="&amp;'Implied Productivity Ratios'!$C80)/SUMIFS('MoodysData(Raw)'!R$2:R$180,'MoodysData(Raw)'!$B$2:$B$180,"=EMP",'MoodysData(Raw)'!$D$2:$D$180,"="&amp;'Implied Productivity Ratios'!$C80)</f>
        <v>44.906299030106382</v>
      </c>
      <c r="P80">
        <f>SUMIFS('MoodysData(Raw)'!S$2:S$180,'MoodysData(Raw)'!$B$2:$B$180,"=GDP",'MoodysData(Raw)'!$D$2:$D$180,"="&amp;'Implied Productivity Ratios'!$C80)/SUMIFS('MoodysData(Raw)'!S$2:S$180,'MoodysData(Raw)'!$B$2:$B$180,"=EMP",'MoodysData(Raw)'!$D$2:$D$180,"="&amp;'Implied Productivity Ratios'!$C80)</f>
        <v>44.567304610656755</v>
      </c>
      <c r="Q80">
        <f>SUMIFS('MoodysData(Raw)'!T$2:T$180,'MoodysData(Raw)'!$B$2:$B$180,"=GDP",'MoodysData(Raw)'!$D$2:$D$180,"="&amp;'Implied Productivity Ratios'!$C80)/SUMIFS('MoodysData(Raw)'!T$2:T$180,'MoodysData(Raw)'!$B$2:$B$180,"=EMP",'MoodysData(Raw)'!$D$2:$D$180,"="&amp;'Implied Productivity Ratios'!$C80)</f>
        <v>44.081008765829274</v>
      </c>
      <c r="R80">
        <f>SUMIFS('MoodysData(Raw)'!U$2:U$180,'MoodysData(Raw)'!$B$2:$B$180,"=GDP",'MoodysData(Raw)'!$D$2:$D$180,"="&amp;'Implied Productivity Ratios'!$C80)/SUMIFS('MoodysData(Raw)'!U$2:U$180,'MoodysData(Raw)'!$B$2:$B$180,"=EMP",'MoodysData(Raw)'!$D$2:$D$180,"="&amp;'Implied Productivity Ratios'!$C80)</f>
        <v>44.168346192896735</v>
      </c>
      <c r="S80">
        <f>SUMIFS('MoodysData(Raw)'!V$2:V$180,'MoodysData(Raw)'!$B$2:$B$180,"=GDP",'MoodysData(Raw)'!$D$2:$D$180,"="&amp;'Implied Productivity Ratios'!$C80)/SUMIFS('MoodysData(Raw)'!V$2:V$180,'MoodysData(Raw)'!$B$2:$B$180,"=EMP",'MoodysData(Raw)'!$D$2:$D$180,"="&amp;'Implied Productivity Ratios'!$C80)</f>
        <v>43.600827269027363</v>
      </c>
      <c r="T80">
        <f>SUMIFS('MoodysData(Raw)'!W$2:W$180,'MoodysData(Raw)'!$B$2:$B$180,"=GDP",'MoodysData(Raw)'!$D$2:$D$180,"="&amp;'Implied Productivity Ratios'!$C80)/SUMIFS('MoodysData(Raw)'!W$2:W$180,'MoodysData(Raw)'!$B$2:$B$180,"=EMP",'MoodysData(Raw)'!$D$2:$D$180,"="&amp;'Implied Productivity Ratios'!$C80)</f>
        <v>45.405155318077476</v>
      </c>
      <c r="U80">
        <f>SUMIFS('MoodysData(Raw)'!X$2:X$180,'MoodysData(Raw)'!$B$2:$B$180,"=GDP",'MoodysData(Raw)'!$D$2:$D$180,"="&amp;'Implied Productivity Ratios'!$C80)/SUMIFS('MoodysData(Raw)'!X$2:X$180,'MoodysData(Raw)'!$B$2:$B$180,"=EMP",'MoodysData(Raw)'!$D$2:$D$180,"="&amp;'Implied Productivity Ratios'!$C80)</f>
        <v>46.882857269485363</v>
      </c>
      <c r="V80">
        <f>SUMIFS('MoodysData(Raw)'!Y$2:Y$180,'MoodysData(Raw)'!$B$2:$B$180,"=GDP",'MoodysData(Raw)'!$D$2:$D$180,"="&amp;'Implied Productivity Ratios'!$C80)/SUMIFS('MoodysData(Raw)'!Y$2:Y$180,'MoodysData(Raw)'!$B$2:$B$180,"=EMP",'MoodysData(Raw)'!$D$2:$D$180,"="&amp;'Implied Productivity Ratios'!$C80)</f>
        <v>50.210917404212218</v>
      </c>
      <c r="W80">
        <f>SUMIFS('MoodysData(Raw)'!Z$2:Z$180,'MoodysData(Raw)'!$B$2:$B$180,"=GDP",'MoodysData(Raw)'!$D$2:$D$180,"="&amp;'Implied Productivity Ratios'!$C80)/SUMIFS('MoodysData(Raw)'!Z$2:Z$180,'MoodysData(Raw)'!$B$2:$B$180,"=EMP",'MoodysData(Raw)'!$D$2:$D$180,"="&amp;'Implied Productivity Ratios'!$C80)</f>
        <v>48.485159206077341</v>
      </c>
      <c r="X80">
        <f>SUMIFS('MoodysData(Raw)'!AA$2:AA$180,'MoodysData(Raw)'!$B$2:$B$180,"=GDP",'MoodysData(Raw)'!$D$2:$D$180,"="&amp;'Implied Productivity Ratios'!$C80)/SUMIFS('MoodysData(Raw)'!AA$2:AA$180,'MoodysData(Raw)'!$B$2:$B$180,"=EMP",'MoodysData(Raw)'!$D$2:$D$180,"="&amp;'Implied Productivity Ratios'!$C80)</f>
        <v>48.079009281380927</v>
      </c>
      <c r="Y80">
        <f>SUMIFS('MoodysData(Raw)'!AB$2:AB$180,'MoodysData(Raw)'!$B$2:$B$180,"=GDP",'MoodysData(Raw)'!$D$2:$D$180,"="&amp;'Implied Productivity Ratios'!$C80)/SUMIFS('MoodysData(Raw)'!AB$2:AB$180,'MoodysData(Raw)'!$B$2:$B$180,"=EMP",'MoodysData(Raw)'!$D$2:$D$180,"="&amp;'Implied Productivity Ratios'!$C80)</f>
        <v>48.385241338153605</v>
      </c>
      <c r="Z80">
        <f>SUMIFS('MoodysData(Raw)'!AC$2:AC$180,'MoodysData(Raw)'!$B$2:$B$180,"=GDP",'MoodysData(Raw)'!$D$2:$D$180,"="&amp;'Implied Productivity Ratios'!$C80)/SUMIFS('MoodysData(Raw)'!AC$2:AC$180,'MoodysData(Raw)'!$B$2:$B$180,"=EMP",'MoodysData(Raw)'!$D$2:$D$180,"="&amp;'Implied Productivity Ratios'!$C80)</f>
        <v>48.62439003177294</v>
      </c>
      <c r="AA80">
        <f>SUMIFS('MoodysData(Raw)'!AD$2:AD$180,'MoodysData(Raw)'!$B$2:$B$180,"=GDP",'MoodysData(Raw)'!$D$2:$D$180,"="&amp;'Implied Productivity Ratios'!$C80)/SUMIFS('MoodysData(Raw)'!AD$2:AD$180,'MoodysData(Raw)'!$B$2:$B$180,"=EMP",'MoodysData(Raw)'!$D$2:$D$180,"="&amp;'Implied Productivity Ratios'!$C80)</f>
        <v>48.870091726040116</v>
      </c>
      <c r="AB80">
        <f>SUMIFS('MoodysData(Raw)'!AE$2:AE$180,'MoodysData(Raw)'!$B$2:$B$180,"=GDP",'MoodysData(Raw)'!$D$2:$D$180,"="&amp;'Implied Productivity Ratios'!$C80)/SUMIFS('MoodysData(Raw)'!AE$2:AE$180,'MoodysData(Raw)'!$B$2:$B$180,"=EMP",'MoodysData(Raw)'!$D$2:$D$180,"="&amp;'Implied Productivity Ratios'!$C80)</f>
        <v>49.246758091431388</v>
      </c>
      <c r="AC80">
        <f>SUMIFS('MoodysData(Raw)'!AF$2:AF$180,'MoodysData(Raw)'!$B$2:$B$180,"=GDP",'MoodysData(Raw)'!$D$2:$D$180,"="&amp;'Implied Productivity Ratios'!$C80)/SUMIFS('MoodysData(Raw)'!AF$2:AF$180,'MoodysData(Raw)'!$B$2:$B$180,"=EMP",'MoodysData(Raw)'!$D$2:$D$180,"="&amp;'Implied Productivity Ratios'!$C80)</f>
        <v>49.75140158631752</v>
      </c>
      <c r="AD80">
        <f>SUMIFS('MoodysData(Raw)'!AG$2:AG$180,'MoodysData(Raw)'!$B$2:$B$180,"=GDP",'MoodysData(Raw)'!$D$2:$D$180,"="&amp;'Implied Productivity Ratios'!$C80)/SUMIFS('MoodysData(Raw)'!AG$2:AG$180,'MoodysData(Raw)'!$B$2:$B$180,"=EMP",'MoodysData(Raw)'!$D$2:$D$180,"="&amp;'Implied Productivity Ratios'!$C80)</f>
        <v>50.355464691923579</v>
      </c>
      <c r="AE80">
        <f>SUMIFS('MoodysData(Raw)'!AH$2:AH$180,'MoodysData(Raw)'!$B$2:$B$180,"=GDP",'MoodysData(Raw)'!$D$2:$D$180,"="&amp;'Implied Productivity Ratios'!$C80)/SUMIFS('MoodysData(Raw)'!AH$2:AH$180,'MoodysData(Raw)'!$B$2:$B$180,"=EMP",'MoodysData(Raw)'!$D$2:$D$180,"="&amp;'Implied Productivity Ratios'!$C80)</f>
        <v>50.969162063349323</v>
      </c>
      <c r="AF80">
        <f>SUMIFS('MoodysData(Raw)'!AI$2:AI$180,'MoodysData(Raw)'!$B$2:$B$180,"=GDP",'MoodysData(Raw)'!$D$2:$D$180,"="&amp;'Implied Productivity Ratios'!$C80)/SUMIFS('MoodysData(Raw)'!AI$2:AI$180,'MoodysData(Raw)'!$B$2:$B$180,"=EMP",'MoodysData(Raw)'!$D$2:$D$180,"="&amp;'Implied Productivity Ratios'!$C80)</f>
        <v>51.628068804874168</v>
      </c>
      <c r="AG80">
        <f>SUMIFS('MoodysData(Raw)'!AJ$2:AJ$180,'MoodysData(Raw)'!$B$2:$B$180,"=GDP",'MoodysData(Raw)'!$D$2:$D$180,"="&amp;'Implied Productivity Ratios'!$C80)/SUMIFS('MoodysData(Raw)'!AJ$2:AJ$180,'MoodysData(Raw)'!$B$2:$B$180,"=EMP",'MoodysData(Raw)'!$D$2:$D$180,"="&amp;'Implied Productivity Ratios'!$C80)</f>
        <v>52.356581561350289</v>
      </c>
      <c r="AH80">
        <f>SUMIFS('MoodysData(Raw)'!AK$2:AK$180,'MoodysData(Raw)'!$B$2:$B$180,"=GDP",'MoodysData(Raw)'!$D$2:$D$180,"="&amp;'Implied Productivity Ratios'!$C80)/SUMIFS('MoodysData(Raw)'!AK$2:AK$180,'MoodysData(Raw)'!$B$2:$B$180,"=EMP",'MoodysData(Raw)'!$D$2:$D$180,"="&amp;'Implied Productivity Ratios'!$C80)</f>
        <v>53.041521299108688</v>
      </c>
      <c r="AI80">
        <f>SUMIFS('MoodysData(Raw)'!AL$2:AL$180,'MoodysData(Raw)'!$B$2:$B$180,"=GDP",'MoodysData(Raw)'!$D$2:$D$180,"="&amp;'Implied Productivity Ratios'!$C80)/SUMIFS('MoodysData(Raw)'!AL$2:AL$180,'MoodysData(Raw)'!$B$2:$B$180,"=EMP",'MoodysData(Raw)'!$D$2:$D$180,"="&amp;'Implied Productivity Ratios'!$C80)</f>
        <v>53.751677797294775</v>
      </c>
      <c r="AJ80">
        <f>SUMIFS('MoodysData(Raw)'!AM$2:AM$180,'MoodysData(Raw)'!$B$2:$B$180,"=GDP",'MoodysData(Raw)'!$D$2:$D$180,"="&amp;'Implied Productivity Ratios'!$C80)/SUMIFS('MoodysData(Raw)'!AM$2:AM$180,'MoodysData(Raw)'!$B$2:$B$180,"=EMP",'MoodysData(Raw)'!$D$2:$D$180,"="&amp;'Implied Productivity Ratios'!$C80)</f>
        <v>54.608205183127374</v>
      </c>
      <c r="AK80">
        <f>SUMIFS('MoodysData(Raw)'!AN$2:AN$180,'MoodysData(Raw)'!$B$2:$B$180,"=GDP",'MoodysData(Raw)'!$D$2:$D$180,"="&amp;'Implied Productivity Ratios'!$C80)/SUMIFS('MoodysData(Raw)'!AN$2:AN$180,'MoodysData(Raw)'!$B$2:$B$180,"=EMP",'MoodysData(Raw)'!$D$2:$D$180,"="&amp;'Implied Productivity Ratios'!$C80)</f>
        <v>55.561269826585864</v>
      </c>
      <c r="AL80">
        <f>SUMIFS('MoodysData(Raw)'!AO$2:AO$180,'MoodysData(Raw)'!$B$2:$B$180,"=GDP",'MoodysData(Raw)'!$D$2:$D$180,"="&amp;'Implied Productivity Ratios'!$C80)/SUMIFS('MoodysData(Raw)'!AO$2:AO$180,'MoodysData(Raw)'!$B$2:$B$180,"=EMP",'MoodysData(Raw)'!$D$2:$D$180,"="&amp;'Implied Productivity Ratios'!$C80)</f>
        <v>56.568673663691989</v>
      </c>
      <c r="AM80">
        <f>SUMIFS('MoodysData(Raw)'!AP$2:AP$180,'MoodysData(Raw)'!$B$2:$B$180,"=GDP",'MoodysData(Raw)'!$D$2:$D$180,"="&amp;'Implied Productivity Ratios'!$C80)/SUMIFS('MoodysData(Raw)'!AP$2:AP$180,'MoodysData(Raw)'!$B$2:$B$180,"=EMP",'MoodysData(Raw)'!$D$2:$D$180,"="&amp;'Implied Productivity Ratios'!$C80)</f>
        <v>57.596188029505939</v>
      </c>
      <c r="AN80">
        <f>SUMIFS('MoodysData(Raw)'!AQ$2:AQ$180,'MoodysData(Raw)'!$B$2:$B$180,"=GDP",'MoodysData(Raw)'!$D$2:$D$180,"="&amp;'Implied Productivity Ratios'!$C80)/SUMIFS('MoodysData(Raw)'!AQ$2:AQ$180,'MoodysData(Raw)'!$B$2:$B$180,"=EMP",'MoodysData(Raw)'!$D$2:$D$180,"="&amp;'Implied Productivity Ratios'!$C80)</f>
        <v>58.629127386246076</v>
      </c>
      <c r="AO80">
        <f>SUMIFS('MoodysData(Raw)'!AR$2:AR$180,'MoodysData(Raw)'!$B$2:$B$180,"=GDP",'MoodysData(Raw)'!$D$2:$D$180,"="&amp;'Implied Productivity Ratios'!$C80)/SUMIFS('MoodysData(Raw)'!AR$2:AR$180,'MoodysData(Raw)'!$B$2:$B$180,"=EMP",'MoodysData(Raw)'!$D$2:$D$180,"="&amp;'Implied Productivity Ratios'!$C80)</f>
        <v>59.682272176240254</v>
      </c>
      <c r="AP80">
        <f>SUMIFS('MoodysData(Raw)'!AS$2:AS$180,'MoodysData(Raw)'!$B$2:$B$180,"=GDP",'MoodysData(Raw)'!$D$2:$D$180,"="&amp;'Implied Productivity Ratios'!$C80)/SUMIFS('MoodysData(Raw)'!AS$2:AS$180,'MoodysData(Raw)'!$B$2:$B$180,"=EMP",'MoodysData(Raw)'!$D$2:$D$180,"="&amp;'Implied Productivity Ratios'!$C80)</f>
        <v>60.729205467610022</v>
      </c>
      <c r="AQ80">
        <f>SUMIFS('MoodysData(Raw)'!AT$2:AT$180,'MoodysData(Raw)'!$B$2:$B$180,"=GDP",'MoodysData(Raw)'!$D$2:$D$180,"="&amp;'Implied Productivity Ratios'!$C80)/SUMIFS('MoodysData(Raw)'!AT$2:AT$180,'MoodysData(Raw)'!$B$2:$B$180,"=EMP",'MoodysData(Raw)'!$D$2:$D$180,"="&amp;'Implied Productivity Ratios'!$C80)</f>
        <v>61.78494735081015</v>
      </c>
      <c r="AR80">
        <f>SUMIFS('MoodysData(Raw)'!AU$2:AU$180,'MoodysData(Raw)'!$B$2:$B$180,"=GDP",'MoodysData(Raw)'!$D$2:$D$180,"="&amp;'Implied Productivity Ratios'!$C80)/SUMIFS('MoodysData(Raw)'!AU$2:AU$180,'MoodysData(Raw)'!$B$2:$B$180,"=EMP",'MoodysData(Raw)'!$D$2:$D$180,"="&amp;'Implied Productivity Ratios'!$C80)</f>
        <v>62.874376082804673</v>
      </c>
      <c r="AS80">
        <f>SUMIFS('MoodysData(Raw)'!AV$2:AV$180,'MoodysData(Raw)'!$B$2:$B$180,"=GDP",'MoodysData(Raw)'!$D$2:$D$180,"="&amp;'Implied Productivity Ratios'!$C80)/SUMIFS('MoodysData(Raw)'!AV$2:AV$180,'MoodysData(Raw)'!$B$2:$B$180,"=EMP",'MoodysData(Raw)'!$D$2:$D$180,"="&amp;'Implied Productivity Ratios'!$C80)</f>
        <v>63.984533924790803</v>
      </c>
      <c r="AT80">
        <f>SUMIFS('MoodysData(Raw)'!AW$2:AW$180,'MoodysData(Raw)'!$B$2:$B$180,"=GDP",'MoodysData(Raw)'!$D$2:$D$180,"="&amp;'Implied Productivity Ratios'!$C80)/SUMIFS('MoodysData(Raw)'!AW$2:AW$180,'MoodysData(Raw)'!$B$2:$B$180,"=EMP",'MoodysData(Raw)'!$D$2:$D$180,"="&amp;'Implied Productivity Ratios'!$C80)</f>
        <v>65.088056715570346</v>
      </c>
      <c r="AU80">
        <f>SUMIFS('MoodysData(Raw)'!AX$2:AX$180,'MoodysData(Raw)'!$B$2:$B$180,"=GDP",'MoodysData(Raw)'!$D$2:$D$180,"="&amp;'Implied Productivity Ratios'!$C80)/SUMIFS('MoodysData(Raw)'!AX$2:AX$180,'MoodysData(Raw)'!$B$2:$B$180,"=EMP",'MoodysData(Raw)'!$D$2:$D$180,"="&amp;'Implied Productivity Ratios'!$C80)</f>
        <v>66.216071538420536</v>
      </c>
      <c r="AV80">
        <f>SUMIFS('MoodysData(Raw)'!AY$2:AY$180,'MoodysData(Raw)'!$B$2:$B$180,"=GDP",'MoodysData(Raw)'!$D$2:$D$180,"="&amp;'Implied Productivity Ratios'!$C80)/SUMIFS('MoodysData(Raw)'!AY$2:AY$180,'MoodysData(Raw)'!$B$2:$B$180,"=EMP",'MoodysData(Raw)'!$D$2:$D$180,"="&amp;'Implied Productivity Ratios'!$C80)</f>
        <v>67.372379578352778</v>
      </c>
      <c r="AW80">
        <f>SUMIFS('MoodysData(Raw)'!AZ$2:AZ$180,'MoodysData(Raw)'!$B$2:$B$180,"=GDP",'MoodysData(Raw)'!$D$2:$D$180,"="&amp;'Implied Productivity Ratios'!$C80)/SUMIFS('MoodysData(Raw)'!AZ$2:AZ$180,'MoodysData(Raw)'!$B$2:$B$180,"=EMP",'MoodysData(Raw)'!$D$2:$D$180,"="&amp;'Implied Productivity Ratios'!$C80)</f>
        <v>68.514286866543387</v>
      </c>
      <c r="AX80">
        <f>SUMIFS('MoodysData(Raw)'!BA$2:BA$180,'MoodysData(Raw)'!$B$2:$B$180,"=GDP",'MoodysData(Raw)'!$D$2:$D$180,"="&amp;'Implied Productivity Ratios'!$C80)/SUMIFS('MoodysData(Raw)'!BA$2:BA$180,'MoodysData(Raw)'!$B$2:$B$180,"=EMP",'MoodysData(Raw)'!$D$2:$D$180,"="&amp;'Implied Productivity Ratios'!$C80)</f>
        <v>69.660576037887466</v>
      </c>
      <c r="AY80">
        <f>SUMIFS('MoodysData(Raw)'!BB$2:BB$180,'MoodysData(Raw)'!$B$2:$B$180,"=GDP",'MoodysData(Raw)'!$D$2:$D$180,"="&amp;'Implied Productivity Ratios'!$C80)/SUMIFS('MoodysData(Raw)'!BB$2:BB$180,'MoodysData(Raw)'!$B$2:$B$180,"=EMP",'MoodysData(Raw)'!$D$2:$D$180,"="&amp;'Implied Productivity Ratios'!$C80)</f>
        <v>70.808381374685581</v>
      </c>
      <c r="AZ80">
        <f>SUMIFS('MoodysData(Raw)'!BC$2:BC$180,'MoodysData(Raw)'!$B$2:$B$180,"=GDP",'MoodysData(Raw)'!$D$2:$D$180,"="&amp;'Implied Productivity Ratios'!$C80)/SUMIFS('MoodysData(Raw)'!BC$2:BC$180,'MoodysData(Raw)'!$B$2:$B$180,"=EMP",'MoodysData(Raw)'!$D$2:$D$180,"="&amp;'Implied Productivity Ratios'!$C80)</f>
        <v>71.989159133658745</v>
      </c>
      <c r="BA80">
        <f>SUMIFS('MoodysData(Raw)'!BD$2:BD$180,'MoodysData(Raw)'!$B$2:$B$180,"=GDP",'MoodysData(Raw)'!$D$2:$D$180,"="&amp;'Implied Productivity Ratios'!$C80)/SUMIFS('MoodysData(Raw)'!BD$2:BD$180,'MoodysData(Raw)'!$B$2:$B$180,"=EMP",'MoodysData(Raw)'!$D$2:$D$180,"="&amp;'Implied Productivity Ratios'!$C80)</f>
        <v>73.239821647955935</v>
      </c>
      <c r="BB80">
        <f>SUMIFS('MoodysData(Raw)'!BE$2:BE$180,'MoodysData(Raw)'!$B$2:$B$180,"=GDP",'MoodysData(Raw)'!$D$2:$D$180,"="&amp;'Implied Productivity Ratios'!$C80)/SUMIFS('MoodysData(Raw)'!BE$2:BE$180,'MoodysData(Raw)'!$B$2:$B$180,"=EMP",'MoodysData(Raw)'!$D$2:$D$180,"="&amp;'Implied Productivity Ratios'!$C80)</f>
        <v>74.54830367292206</v>
      </c>
      <c r="BC80">
        <f>SUMIFS('MoodysData(Raw)'!BF$2:BF$180,'MoodysData(Raw)'!$B$2:$B$180,"=GDP",'MoodysData(Raw)'!$D$2:$D$180,"="&amp;'Implied Productivity Ratios'!$C80)/SUMIFS('MoodysData(Raw)'!BF$2:BF$180,'MoodysData(Raw)'!$B$2:$B$180,"=EMP",'MoodysData(Raw)'!$D$2:$D$180,"="&amp;'Implied Productivity Ratios'!$C80)</f>
        <v>75.896874789157366</v>
      </c>
      <c r="BD80" s="5">
        <f t="shared" ref="BD80:BH80" si="74">BC80+($BC80-$AX80)/5</f>
        <v>77.14413453941134</v>
      </c>
      <c r="BE80" s="5">
        <f t="shared" si="74"/>
        <v>78.391394289665314</v>
      </c>
      <c r="BF80" s="5">
        <f t="shared" si="74"/>
        <v>79.638654039919288</v>
      </c>
      <c r="BG80" s="5">
        <f t="shared" si="74"/>
        <v>80.885913790173262</v>
      </c>
      <c r="BH80" s="5">
        <f t="shared" si="74"/>
        <v>82.133173540427237</v>
      </c>
    </row>
    <row r="81" spans="3:60">
      <c r="C81">
        <v>624</v>
      </c>
      <c r="D81" t="s">
        <v>428</v>
      </c>
      <c r="E81">
        <f>SUMIFS('MoodysData(Raw)'!H$2:H$180,'MoodysData(Raw)'!$B$2:$B$180,"=GDP",'MoodysData(Raw)'!$D$2:$D$180,"="&amp;'Implied Productivity Ratios'!$C81)/SUMIFS('MoodysData(Raw)'!H$2:H$180,'MoodysData(Raw)'!$B$2:$B$180,"=EMP",'MoodysData(Raw)'!$D$2:$D$180,"="&amp;'Implied Productivity Ratios'!$C81)</f>
        <v>38.75026185681844</v>
      </c>
      <c r="F81">
        <f>SUMIFS('MoodysData(Raw)'!I$2:I$180,'MoodysData(Raw)'!$B$2:$B$180,"=GDP",'MoodysData(Raw)'!$D$2:$D$180,"="&amp;'Implied Productivity Ratios'!$C81)/SUMIFS('MoodysData(Raw)'!I$2:I$180,'MoodysData(Raw)'!$B$2:$B$180,"=EMP",'MoodysData(Raw)'!$D$2:$D$180,"="&amp;'Implied Productivity Ratios'!$C81)</f>
        <v>37.816185535313977</v>
      </c>
      <c r="G81">
        <f>SUMIFS('MoodysData(Raw)'!J$2:J$180,'MoodysData(Raw)'!$B$2:$B$180,"=GDP",'MoodysData(Raw)'!$D$2:$D$180,"="&amp;'Implied Productivity Ratios'!$C81)/SUMIFS('MoodysData(Raw)'!J$2:J$180,'MoodysData(Raw)'!$B$2:$B$180,"=EMP",'MoodysData(Raw)'!$D$2:$D$180,"="&amp;'Implied Productivity Ratios'!$C81)</f>
        <v>36.874359183358287</v>
      </c>
      <c r="H81">
        <f>SUMIFS('MoodysData(Raw)'!K$2:K$180,'MoodysData(Raw)'!$B$2:$B$180,"=GDP",'MoodysData(Raw)'!$D$2:$D$180,"="&amp;'Implied Productivity Ratios'!$C81)/SUMIFS('MoodysData(Raw)'!K$2:K$180,'MoodysData(Raw)'!$B$2:$B$180,"=EMP",'MoodysData(Raw)'!$D$2:$D$180,"="&amp;'Implied Productivity Ratios'!$C81)</f>
        <v>36.740687115189402</v>
      </c>
      <c r="I81">
        <f>SUMIFS('MoodysData(Raw)'!L$2:L$180,'MoodysData(Raw)'!$B$2:$B$180,"=GDP",'MoodysData(Raw)'!$D$2:$D$180,"="&amp;'Implied Productivity Ratios'!$C81)/SUMIFS('MoodysData(Raw)'!L$2:L$180,'MoodysData(Raw)'!$B$2:$B$180,"=EMP",'MoodysData(Raw)'!$D$2:$D$180,"="&amp;'Implied Productivity Ratios'!$C81)</f>
        <v>35.389127128139073</v>
      </c>
      <c r="J81">
        <f>SUMIFS('MoodysData(Raw)'!M$2:M$180,'MoodysData(Raw)'!$B$2:$B$180,"=GDP",'MoodysData(Raw)'!$D$2:$D$180,"="&amp;'Implied Productivity Ratios'!$C81)/SUMIFS('MoodysData(Raw)'!M$2:M$180,'MoodysData(Raw)'!$B$2:$B$180,"=EMP",'MoodysData(Raw)'!$D$2:$D$180,"="&amp;'Implied Productivity Ratios'!$C81)</f>
        <v>34.96794473114678</v>
      </c>
      <c r="K81">
        <f>SUMIFS('MoodysData(Raw)'!N$2:N$180,'MoodysData(Raw)'!$B$2:$B$180,"=GDP",'MoodysData(Raw)'!$D$2:$D$180,"="&amp;'Implied Productivity Ratios'!$C81)/SUMIFS('MoodysData(Raw)'!N$2:N$180,'MoodysData(Raw)'!$B$2:$B$180,"=EMP",'MoodysData(Raw)'!$D$2:$D$180,"="&amp;'Implied Productivity Ratios'!$C81)</f>
        <v>33.488386660764178</v>
      </c>
      <c r="L81">
        <f>SUMIFS('MoodysData(Raw)'!O$2:O$180,'MoodysData(Raw)'!$B$2:$B$180,"=GDP",'MoodysData(Raw)'!$D$2:$D$180,"="&amp;'Implied Productivity Ratios'!$C81)/SUMIFS('MoodysData(Raw)'!O$2:O$180,'MoodysData(Raw)'!$B$2:$B$180,"=EMP",'MoodysData(Raw)'!$D$2:$D$180,"="&amp;'Implied Productivity Ratios'!$C81)</f>
        <v>34.590790670331273</v>
      </c>
      <c r="M81">
        <f>SUMIFS('MoodysData(Raw)'!P$2:P$180,'MoodysData(Raw)'!$B$2:$B$180,"=GDP",'MoodysData(Raw)'!$D$2:$D$180,"="&amp;'Implied Productivity Ratios'!$C81)/SUMIFS('MoodysData(Raw)'!P$2:P$180,'MoodysData(Raw)'!$B$2:$B$180,"=EMP",'MoodysData(Raw)'!$D$2:$D$180,"="&amp;'Implied Productivity Ratios'!$C81)</f>
        <v>34.676138390636112</v>
      </c>
      <c r="N81">
        <f>SUMIFS('MoodysData(Raw)'!Q$2:Q$180,'MoodysData(Raw)'!$B$2:$B$180,"=GDP",'MoodysData(Raw)'!$D$2:$D$180,"="&amp;'Implied Productivity Ratios'!$C81)/SUMIFS('MoodysData(Raw)'!Q$2:Q$180,'MoodysData(Raw)'!$B$2:$B$180,"=EMP",'MoodysData(Raw)'!$D$2:$D$180,"="&amp;'Implied Productivity Ratios'!$C81)</f>
        <v>34.691082234184435</v>
      </c>
      <c r="O81">
        <f>SUMIFS('MoodysData(Raw)'!R$2:R$180,'MoodysData(Raw)'!$B$2:$B$180,"=GDP",'MoodysData(Raw)'!$D$2:$D$180,"="&amp;'Implied Productivity Ratios'!$C81)/SUMIFS('MoodysData(Raw)'!R$2:R$180,'MoodysData(Raw)'!$B$2:$B$180,"=EMP",'MoodysData(Raw)'!$D$2:$D$180,"="&amp;'Implied Productivity Ratios'!$C81)</f>
        <v>34.226878373037181</v>
      </c>
      <c r="P81">
        <f>SUMIFS('MoodysData(Raw)'!S$2:S$180,'MoodysData(Raw)'!$B$2:$B$180,"=GDP",'MoodysData(Raw)'!$D$2:$D$180,"="&amp;'Implied Productivity Ratios'!$C81)/SUMIFS('MoodysData(Raw)'!S$2:S$180,'MoodysData(Raw)'!$B$2:$B$180,"=EMP",'MoodysData(Raw)'!$D$2:$D$180,"="&amp;'Implied Productivity Ratios'!$C81)</f>
        <v>33.615033053239685</v>
      </c>
      <c r="Q81">
        <f>SUMIFS('MoodysData(Raw)'!T$2:T$180,'MoodysData(Raw)'!$B$2:$B$180,"=GDP",'MoodysData(Raw)'!$D$2:$D$180,"="&amp;'Implied Productivity Ratios'!$C81)/SUMIFS('MoodysData(Raw)'!T$2:T$180,'MoodysData(Raw)'!$B$2:$B$180,"=EMP",'MoodysData(Raw)'!$D$2:$D$180,"="&amp;'Implied Productivity Ratios'!$C81)</f>
        <v>33.108703717291178</v>
      </c>
      <c r="R81">
        <f>SUMIFS('MoodysData(Raw)'!U$2:U$180,'MoodysData(Raw)'!$B$2:$B$180,"=GDP",'MoodysData(Raw)'!$D$2:$D$180,"="&amp;'Implied Productivity Ratios'!$C81)/SUMIFS('MoodysData(Raw)'!U$2:U$180,'MoodysData(Raw)'!$B$2:$B$180,"=EMP",'MoodysData(Raw)'!$D$2:$D$180,"="&amp;'Implied Productivity Ratios'!$C81)</f>
        <v>33.034688422564429</v>
      </c>
      <c r="S81">
        <f>SUMIFS('MoodysData(Raw)'!V$2:V$180,'MoodysData(Raw)'!$B$2:$B$180,"=GDP",'MoodysData(Raw)'!$D$2:$D$180,"="&amp;'Implied Productivity Ratios'!$C81)/SUMIFS('MoodysData(Raw)'!V$2:V$180,'MoodysData(Raw)'!$B$2:$B$180,"=EMP",'MoodysData(Raw)'!$D$2:$D$180,"="&amp;'Implied Productivity Ratios'!$C81)</f>
        <v>33.411901124570505</v>
      </c>
      <c r="T81">
        <f>SUMIFS('MoodysData(Raw)'!W$2:W$180,'MoodysData(Raw)'!$B$2:$B$180,"=GDP",'MoodysData(Raw)'!$D$2:$D$180,"="&amp;'Implied Productivity Ratios'!$C81)/SUMIFS('MoodysData(Raw)'!W$2:W$180,'MoodysData(Raw)'!$B$2:$B$180,"=EMP",'MoodysData(Raw)'!$D$2:$D$180,"="&amp;'Implied Productivity Ratios'!$C81)</f>
        <v>33.924794791633616</v>
      </c>
      <c r="U81">
        <f>SUMIFS('MoodysData(Raw)'!X$2:X$180,'MoodysData(Raw)'!$B$2:$B$180,"=GDP",'MoodysData(Raw)'!$D$2:$D$180,"="&amp;'Implied Productivity Ratios'!$C81)/SUMIFS('MoodysData(Raw)'!X$2:X$180,'MoodysData(Raw)'!$B$2:$B$180,"=EMP",'MoodysData(Raw)'!$D$2:$D$180,"="&amp;'Implied Productivity Ratios'!$C81)</f>
        <v>33.632315944739403</v>
      </c>
      <c r="V81">
        <f>SUMIFS('MoodysData(Raw)'!Y$2:Y$180,'MoodysData(Raw)'!$B$2:$B$180,"=GDP",'MoodysData(Raw)'!$D$2:$D$180,"="&amp;'Implied Productivity Ratios'!$C81)/SUMIFS('MoodysData(Raw)'!Y$2:Y$180,'MoodysData(Raw)'!$B$2:$B$180,"=EMP",'MoodysData(Raw)'!$D$2:$D$180,"="&amp;'Implied Productivity Ratios'!$C81)</f>
        <v>35.243203632037442</v>
      </c>
      <c r="W81">
        <f>SUMIFS('MoodysData(Raw)'!Z$2:Z$180,'MoodysData(Raw)'!$B$2:$B$180,"=GDP",'MoodysData(Raw)'!$D$2:$D$180,"="&amp;'Implied Productivity Ratios'!$C81)/SUMIFS('MoodysData(Raw)'!Z$2:Z$180,'MoodysData(Raw)'!$B$2:$B$180,"=EMP",'MoodysData(Raw)'!$D$2:$D$180,"="&amp;'Implied Productivity Ratios'!$C81)</f>
        <v>33.910170038801908</v>
      </c>
      <c r="X81">
        <f>SUMIFS('MoodysData(Raw)'!AA$2:AA$180,'MoodysData(Raw)'!$B$2:$B$180,"=GDP",'MoodysData(Raw)'!$D$2:$D$180,"="&amp;'Implied Productivity Ratios'!$C81)/SUMIFS('MoodysData(Raw)'!AA$2:AA$180,'MoodysData(Raw)'!$B$2:$B$180,"=EMP",'MoodysData(Raw)'!$D$2:$D$180,"="&amp;'Implied Productivity Ratios'!$C81)</f>
        <v>34.177930909604711</v>
      </c>
      <c r="Y81">
        <f>SUMIFS('MoodysData(Raw)'!AB$2:AB$180,'MoodysData(Raw)'!$B$2:$B$180,"=GDP",'MoodysData(Raw)'!$D$2:$D$180,"="&amp;'Implied Productivity Ratios'!$C81)/SUMIFS('MoodysData(Raw)'!AB$2:AB$180,'MoodysData(Raw)'!$B$2:$B$180,"=EMP",'MoodysData(Raw)'!$D$2:$D$180,"="&amp;'Implied Productivity Ratios'!$C81)</f>
        <v>33.762026593715724</v>
      </c>
      <c r="Z81">
        <f>SUMIFS('MoodysData(Raw)'!AC$2:AC$180,'MoodysData(Raw)'!$B$2:$B$180,"=GDP",'MoodysData(Raw)'!$D$2:$D$180,"="&amp;'Implied Productivity Ratios'!$C81)/SUMIFS('MoodysData(Raw)'!AC$2:AC$180,'MoodysData(Raw)'!$B$2:$B$180,"=EMP",'MoodysData(Raw)'!$D$2:$D$180,"="&amp;'Implied Productivity Ratios'!$C81)</f>
        <v>33.179112246959932</v>
      </c>
      <c r="AA81">
        <f>SUMIFS('MoodysData(Raw)'!AD$2:AD$180,'MoodysData(Raw)'!$B$2:$B$180,"=GDP",'MoodysData(Raw)'!$D$2:$D$180,"="&amp;'Implied Productivity Ratios'!$C81)/SUMIFS('MoodysData(Raw)'!AD$2:AD$180,'MoodysData(Raw)'!$B$2:$B$180,"=EMP",'MoodysData(Raw)'!$D$2:$D$180,"="&amp;'Implied Productivity Ratios'!$C81)</f>
        <v>32.64019129144846</v>
      </c>
      <c r="AB81">
        <f>SUMIFS('MoodysData(Raw)'!AE$2:AE$180,'MoodysData(Raw)'!$B$2:$B$180,"=GDP",'MoodysData(Raw)'!$D$2:$D$180,"="&amp;'Implied Productivity Ratios'!$C81)/SUMIFS('MoodysData(Raw)'!AE$2:AE$180,'MoodysData(Raw)'!$B$2:$B$180,"=EMP",'MoodysData(Raw)'!$D$2:$D$180,"="&amp;'Implied Productivity Ratios'!$C81)</f>
        <v>32.217869712739358</v>
      </c>
      <c r="AC81">
        <f>SUMIFS('MoodysData(Raw)'!AF$2:AF$180,'MoodysData(Raw)'!$B$2:$B$180,"=GDP",'MoodysData(Raw)'!$D$2:$D$180,"="&amp;'Implied Productivity Ratios'!$C81)/SUMIFS('MoodysData(Raw)'!AF$2:AF$180,'MoodysData(Raw)'!$B$2:$B$180,"=EMP",'MoodysData(Raw)'!$D$2:$D$180,"="&amp;'Implied Productivity Ratios'!$C81)</f>
        <v>31.902552268272942</v>
      </c>
      <c r="AD81">
        <f>SUMIFS('MoodysData(Raw)'!AG$2:AG$180,'MoodysData(Raw)'!$B$2:$B$180,"=GDP",'MoodysData(Raw)'!$D$2:$D$180,"="&amp;'Implied Productivity Ratios'!$C81)/SUMIFS('MoodysData(Raw)'!AG$2:AG$180,'MoodysData(Raw)'!$B$2:$B$180,"=EMP",'MoodysData(Raw)'!$D$2:$D$180,"="&amp;'Implied Productivity Ratios'!$C81)</f>
        <v>31.670712047953277</v>
      </c>
      <c r="AE81">
        <f>SUMIFS('MoodysData(Raw)'!AH$2:AH$180,'MoodysData(Raw)'!$B$2:$B$180,"=GDP",'MoodysData(Raw)'!$D$2:$D$180,"="&amp;'Implied Productivity Ratios'!$C81)/SUMIFS('MoodysData(Raw)'!AH$2:AH$180,'MoodysData(Raw)'!$B$2:$B$180,"=EMP",'MoodysData(Raw)'!$D$2:$D$180,"="&amp;'Implied Productivity Ratios'!$C81)</f>
        <v>31.463673136685141</v>
      </c>
      <c r="AF81">
        <f>SUMIFS('MoodysData(Raw)'!AI$2:AI$180,'MoodysData(Raw)'!$B$2:$B$180,"=GDP",'MoodysData(Raw)'!$D$2:$D$180,"="&amp;'Implied Productivity Ratios'!$C81)/SUMIFS('MoodysData(Raw)'!AI$2:AI$180,'MoodysData(Raw)'!$B$2:$B$180,"=EMP",'MoodysData(Raw)'!$D$2:$D$180,"="&amp;'Implied Productivity Ratios'!$C81)</f>
        <v>31.304045987120364</v>
      </c>
      <c r="AG81">
        <f>SUMIFS('MoodysData(Raw)'!AJ$2:AJ$180,'MoodysData(Raw)'!$B$2:$B$180,"=GDP",'MoodysData(Raw)'!$D$2:$D$180,"="&amp;'Implied Productivity Ratios'!$C81)/SUMIFS('MoodysData(Raw)'!AJ$2:AJ$180,'MoodysData(Raw)'!$B$2:$B$180,"=EMP",'MoodysData(Raw)'!$D$2:$D$180,"="&amp;'Implied Productivity Ratios'!$C81)</f>
        <v>31.204563887211339</v>
      </c>
      <c r="AH81">
        <f>SUMIFS('MoodysData(Raw)'!AK$2:AK$180,'MoodysData(Raw)'!$B$2:$B$180,"=GDP",'MoodysData(Raw)'!$D$2:$D$180,"="&amp;'Implied Productivity Ratios'!$C81)/SUMIFS('MoodysData(Raw)'!AK$2:AK$180,'MoodysData(Raw)'!$B$2:$B$180,"=EMP",'MoodysData(Raw)'!$D$2:$D$180,"="&amp;'Implied Productivity Ratios'!$C81)</f>
        <v>31.096952170343279</v>
      </c>
      <c r="AI81">
        <f>SUMIFS('MoodysData(Raw)'!AL$2:AL$180,'MoodysData(Raw)'!$B$2:$B$180,"=GDP",'MoodysData(Raw)'!$D$2:$D$180,"="&amp;'Implied Productivity Ratios'!$C81)/SUMIFS('MoodysData(Raw)'!AL$2:AL$180,'MoodysData(Raw)'!$B$2:$B$180,"=EMP",'MoodysData(Raw)'!$D$2:$D$180,"="&amp;'Implied Productivity Ratios'!$C81)</f>
        <v>31.022999169846923</v>
      </c>
      <c r="AJ81">
        <f>SUMIFS('MoodysData(Raw)'!AM$2:AM$180,'MoodysData(Raw)'!$B$2:$B$180,"=GDP",'MoodysData(Raw)'!$D$2:$D$180,"="&amp;'Implied Productivity Ratios'!$C81)/SUMIFS('MoodysData(Raw)'!AM$2:AM$180,'MoodysData(Raw)'!$B$2:$B$180,"=EMP",'MoodysData(Raw)'!$D$2:$D$180,"="&amp;'Implied Productivity Ratios'!$C81)</f>
        <v>31.050744404232827</v>
      </c>
      <c r="AK81">
        <f>SUMIFS('MoodysData(Raw)'!AN$2:AN$180,'MoodysData(Raw)'!$B$2:$B$180,"=GDP",'MoodysData(Raw)'!$D$2:$D$180,"="&amp;'Implied Productivity Ratios'!$C81)/SUMIFS('MoodysData(Raw)'!AN$2:AN$180,'MoodysData(Raw)'!$B$2:$B$180,"=EMP",'MoodysData(Raw)'!$D$2:$D$180,"="&amp;'Implied Productivity Ratios'!$C81)</f>
        <v>31.149143920780695</v>
      </c>
      <c r="AL81">
        <f>SUMIFS('MoodysData(Raw)'!AO$2:AO$180,'MoodysData(Raw)'!$B$2:$B$180,"=GDP",'MoodysData(Raw)'!$D$2:$D$180,"="&amp;'Implied Productivity Ratios'!$C81)/SUMIFS('MoodysData(Raw)'!AO$2:AO$180,'MoodysData(Raw)'!$B$2:$B$180,"=EMP",'MoodysData(Raw)'!$D$2:$D$180,"="&amp;'Implied Productivity Ratios'!$C81)</f>
        <v>31.292637770000209</v>
      </c>
      <c r="AM81">
        <f>SUMIFS('MoodysData(Raw)'!AP$2:AP$180,'MoodysData(Raw)'!$B$2:$B$180,"=GDP",'MoodysData(Raw)'!$D$2:$D$180,"="&amp;'Implied Productivity Ratios'!$C81)/SUMIFS('MoodysData(Raw)'!AP$2:AP$180,'MoodysData(Raw)'!$B$2:$B$180,"=EMP",'MoodysData(Raw)'!$D$2:$D$180,"="&amp;'Implied Productivity Ratios'!$C81)</f>
        <v>31.461050425751303</v>
      </c>
      <c r="AN81">
        <f>SUMIFS('MoodysData(Raw)'!AQ$2:AQ$180,'MoodysData(Raw)'!$B$2:$B$180,"=GDP",'MoodysData(Raw)'!$D$2:$D$180,"="&amp;'Implied Productivity Ratios'!$C81)/SUMIFS('MoodysData(Raw)'!AQ$2:AQ$180,'MoodysData(Raw)'!$B$2:$B$180,"=EMP",'MoodysData(Raw)'!$D$2:$D$180,"="&amp;'Implied Productivity Ratios'!$C81)</f>
        <v>31.646658325468977</v>
      </c>
      <c r="AO81">
        <f>SUMIFS('MoodysData(Raw)'!AR$2:AR$180,'MoodysData(Raw)'!$B$2:$B$180,"=GDP",'MoodysData(Raw)'!$D$2:$D$180,"="&amp;'Implied Productivity Ratios'!$C81)/SUMIFS('MoodysData(Raw)'!AR$2:AR$180,'MoodysData(Raw)'!$B$2:$B$180,"=EMP",'MoodysData(Raw)'!$D$2:$D$180,"="&amp;'Implied Productivity Ratios'!$C81)</f>
        <v>31.858080768849636</v>
      </c>
      <c r="AP81">
        <f>SUMIFS('MoodysData(Raw)'!AS$2:AS$180,'MoodysData(Raw)'!$B$2:$B$180,"=GDP",'MoodysData(Raw)'!$D$2:$D$180,"="&amp;'Implied Productivity Ratios'!$C81)/SUMIFS('MoodysData(Raw)'!AS$2:AS$180,'MoodysData(Raw)'!$B$2:$B$180,"=EMP",'MoodysData(Raw)'!$D$2:$D$180,"="&amp;'Implied Productivity Ratios'!$C81)</f>
        <v>32.081623916155031</v>
      </c>
      <c r="AQ81">
        <f>SUMIFS('MoodysData(Raw)'!AT$2:AT$180,'MoodysData(Raw)'!$B$2:$B$180,"=GDP",'MoodysData(Raw)'!$D$2:$D$180,"="&amp;'Implied Productivity Ratios'!$C81)/SUMIFS('MoodysData(Raw)'!AT$2:AT$180,'MoodysData(Raw)'!$B$2:$B$180,"=EMP",'MoodysData(Raw)'!$D$2:$D$180,"="&amp;'Implied Productivity Ratios'!$C81)</f>
        <v>32.326245657951866</v>
      </c>
      <c r="AR81">
        <f>SUMIFS('MoodysData(Raw)'!AU$2:AU$180,'MoodysData(Raw)'!$B$2:$B$180,"=GDP",'MoodysData(Raw)'!$D$2:$D$180,"="&amp;'Implied Productivity Ratios'!$C81)/SUMIFS('MoodysData(Raw)'!AU$2:AU$180,'MoodysData(Raw)'!$B$2:$B$180,"=EMP",'MoodysData(Raw)'!$D$2:$D$180,"="&amp;'Implied Productivity Ratios'!$C81)</f>
        <v>32.605446061112019</v>
      </c>
      <c r="AS81">
        <f>SUMIFS('MoodysData(Raw)'!AV$2:AV$180,'MoodysData(Raw)'!$B$2:$B$180,"=GDP",'MoodysData(Raw)'!$D$2:$D$180,"="&amp;'Implied Productivity Ratios'!$C81)/SUMIFS('MoodysData(Raw)'!AV$2:AV$180,'MoodysData(Raw)'!$B$2:$B$180,"=EMP",'MoodysData(Raw)'!$D$2:$D$180,"="&amp;'Implied Productivity Ratios'!$C81)</f>
        <v>32.91245375212074</v>
      </c>
      <c r="AT81">
        <f>SUMIFS('MoodysData(Raw)'!AW$2:AW$180,'MoodysData(Raw)'!$B$2:$B$180,"=GDP",'MoodysData(Raw)'!$D$2:$D$180,"="&amp;'Implied Productivity Ratios'!$C81)/SUMIFS('MoodysData(Raw)'!AW$2:AW$180,'MoodysData(Raw)'!$B$2:$B$180,"=EMP",'MoodysData(Raw)'!$D$2:$D$180,"="&amp;'Implied Productivity Ratios'!$C81)</f>
        <v>33.233543693641117</v>
      </c>
      <c r="AU81">
        <f>SUMIFS('MoodysData(Raw)'!AX$2:AX$180,'MoodysData(Raw)'!$B$2:$B$180,"=GDP",'MoodysData(Raw)'!$D$2:$D$180,"="&amp;'Implied Productivity Ratios'!$C81)/SUMIFS('MoodysData(Raw)'!AX$2:AX$180,'MoodysData(Raw)'!$B$2:$B$180,"=EMP",'MoodysData(Raw)'!$D$2:$D$180,"="&amp;'Implied Productivity Ratios'!$C81)</f>
        <v>33.58582057082463</v>
      </c>
      <c r="AV81">
        <f>SUMIFS('MoodysData(Raw)'!AY$2:AY$180,'MoodysData(Raw)'!$B$2:$B$180,"=GDP",'MoodysData(Raw)'!$D$2:$D$180,"="&amp;'Implied Productivity Ratios'!$C81)/SUMIFS('MoodysData(Raw)'!AY$2:AY$180,'MoodysData(Raw)'!$B$2:$B$180,"=EMP",'MoodysData(Raw)'!$D$2:$D$180,"="&amp;'Implied Productivity Ratios'!$C81)</f>
        <v>33.971729083214292</v>
      </c>
      <c r="AW81">
        <f>SUMIFS('MoodysData(Raw)'!AZ$2:AZ$180,'MoodysData(Raw)'!$B$2:$B$180,"=GDP",'MoodysData(Raw)'!$D$2:$D$180,"="&amp;'Implied Productivity Ratios'!$C81)/SUMIFS('MoodysData(Raw)'!AZ$2:AZ$180,'MoodysData(Raw)'!$B$2:$B$180,"=EMP",'MoodysData(Raw)'!$D$2:$D$180,"="&amp;'Implied Productivity Ratios'!$C81)</f>
        <v>34.370248338182101</v>
      </c>
      <c r="AX81">
        <f>SUMIFS('MoodysData(Raw)'!BA$2:BA$180,'MoodysData(Raw)'!$B$2:$B$180,"=GDP",'MoodysData(Raw)'!$D$2:$D$180,"="&amp;'Implied Productivity Ratios'!$C81)/SUMIFS('MoodysData(Raw)'!BA$2:BA$180,'MoodysData(Raw)'!$B$2:$B$180,"=EMP",'MoodysData(Raw)'!$D$2:$D$180,"="&amp;'Implied Productivity Ratios'!$C81)</f>
        <v>34.791856310227324</v>
      </c>
      <c r="AY81">
        <f>SUMIFS('MoodysData(Raw)'!BB$2:BB$180,'MoodysData(Raw)'!$B$2:$B$180,"=GDP",'MoodysData(Raw)'!$D$2:$D$180,"="&amp;'Implied Productivity Ratios'!$C81)/SUMIFS('MoodysData(Raw)'!BB$2:BB$180,'MoodysData(Raw)'!$B$2:$B$180,"=EMP",'MoodysData(Raw)'!$D$2:$D$180,"="&amp;'Implied Productivity Ratios'!$C81)</f>
        <v>35.236064862696175</v>
      </c>
      <c r="AZ81">
        <f>SUMIFS('MoodysData(Raw)'!BC$2:BC$180,'MoodysData(Raw)'!$B$2:$B$180,"=GDP",'MoodysData(Raw)'!$D$2:$D$180,"="&amp;'Implied Productivity Ratios'!$C81)/SUMIFS('MoodysData(Raw)'!BC$2:BC$180,'MoodysData(Raw)'!$B$2:$B$180,"=EMP",'MoodysData(Raw)'!$D$2:$D$180,"="&amp;'Implied Productivity Ratios'!$C81)</f>
        <v>35.719740092185489</v>
      </c>
      <c r="BA81">
        <f>SUMIFS('MoodysData(Raw)'!BD$2:BD$180,'MoodysData(Raw)'!$B$2:$B$180,"=GDP",'MoodysData(Raw)'!$D$2:$D$180,"="&amp;'Implied Productivity Ratios'!$C81)/SUMIFS('MoodysData(Raw)'!BD$2:BD$180,'MoodysData(Raw)'!$B$2:$B$180,"=EMP",'MoodysData(Raw)'!$D$2:$D$180,"="&amp;'Implied Productivity Ratios'!$C81)</f>
        <v>36.260863491404599</v>
      </c>
      <c r="BB81">
        <f>SUMIFS('MoodysData(Raw)'!BE$2:BE$180,'MoodysData(Raw)'!$B$2:$B$180,"=GDP",'MoodysData(Raw)'!$D$2:$D$180,"="&amp;'Implied Productivity Ratios'!$C81)/SUMIFS('MoodysData(Raw)'!BE$2:BE$180,'MoodysData(Raw)'!$B$2:$B$180,"=EMP",'MoodysData(Raw)'!$D$2:$D$180,"="&amp;'Implied Productivity Ratios'!$C81)</f>
        <v>36.855876329770382</v>
      </c>
      <c r="BC81">
        <f>SUMIFS('MoodysData(Raw)'!BF$2:BF$180,'MoodysData(Raw)'!$B$2:$B$180,"=GDP",'MoodysData(Raw)'!$D$2:$D$180,"="&amp;'Implied Productivity Ratios'!$C81)/SUMIFS('MoodysData(Raw)'!BF$2:BF$180,'MoodysData(Raw)'!$B$2:$B$180,"=EMP",'MoodysData(Raw)'!$D$2:$D$180,"="&amp;'Implied Productivity Ratios'!$C81)</f>
        <v>37.496122885012369</v>
      </c>
      <c r="BD81" s="5">
        <f t="shared" ref="BD81:BH81" si="75">BC81+($BC81-$AX81)/5</f>
        <v>38.036976199969381</v>
      </c>
      <c r="BE81" s="5">
        <f t="shared" si="75"/>
        <v>38.577829514926393</v>
      </c>
      <c r="BF81" s="5">
        <f t="shared" si="75"/>
        <v>39.118682829883404</v>
      </c>
      <c r="BG81" s="5">
        <f t="shared" si="75"/>
        <v>39.659536144840416</v>
      </c>
      <c r="BH81" s="5">
        <f t="shared" si="75"/>
        <v>40.200389459797428</v>
      </c>
    </row>
    <row r="82" spans="3:60">
      <c r="C82">
        <v>711</v>
      </c>
      <c r="D82" t="s">
        <v>432</v>
      </c>
      <c r="E82">
        <f>SUMIFS('MoodysData(Raw)'!H$2:H$180,'MoodysData(Raw)'!$B$2:$B$180,"=GDP",'MoodysData(Raw)'!$D$2:$D$180,"="&amp;'Implied Productivity Ratios'!$C82)/SUMIFS('MoodysData(Raw)'!H$2:H$180,'MoodysData(Raw)'!$B$2:$B$180,"=EMP",'MoodysData(Raw)'!$D$2:$D$180,"="&amp;'Implied Productivity Ratios'!$C82)</f>
        <v>209.93137876057483</v>
      </c>
      <c r="F82">
        <f>SUMIFS('MoodysData(Raw)'!I$2:I$180,'MoodysData(Raw)'!$B$2:$B$180,"=GDP",'MoodysData(Raw)'!$D$2:$D$180,"="&amp;'Implied Productivity Ratios'!$C82)/SUMIFS('MoodysData(Raw)'!I$2:I$180,'MoodysData(Raw)'!$B$2:$B$180,"=EMP",'MoodysData(Raw)'!$D$2:$D$180,"="&amp;'Implied Productivity Ratios'!$C82)</f>
        <v>215.52131771242225</v>
      </c>
      <c r="G82">
        <f>SUMIFS('MoodysData(Raw)'!J$2:J$180,'MoodysData(Raw)'!$B$2:$B$180,"=GDP",'MoodysData(Raw)'!$D$2:$D$180,"="&amp;'Implied Productivity Ratios'!$C82)/SUMIFS('MoodysData(Raw)'!J$2:J$180,'MoodysData(Raw)'!$B$2:$B$180,"=EMP",'MoodysData(Raw)'!$D$2:$D$180,"="&amp;'Implied Productivity Ratios'!$C82)</f>
        <v>205.40987225065439</v>
      </c>
      <c r="H82">
        <f>SUMIFS('MoodysData(Raw)'!K$2:K$180,'MoodysData(Raw)'!$B$2:$B$180,"=GDP",'MoodysData(Raw)'!$D$2:$D$180,"="&amp;'Implied Productivity Ratios'!$C82)/SUMIFS('MoodysData(Raw)'!K$2:K$180,'MoodysData(Raw)'!$B$2:$B$180,"=EMP",'MoodysData(Raw)'!$D$2:$D$180,"="&amp;'Implied Productivity Ratios'!$C82)</f>
        <v>212.49522544680252</v>
      </c>
      <c r="I82">
        <f>SUMIFS('MoodysData(Raw)'!L$2:L$180,'MoodysData(Raw)'!$B$2:$B$180,"=GDP",'MoodysData(Raw)'!$D$2:$D$180,"="&amp;'Implied Productivity Ratios'!$C82)/SUMIFS('MoodysData(Raw)'!L$2:L$180,'MoodysData(Raw)'!$B$2:$B$180,"=EMP",'MoodysData(Raw)'!$D$2:$D$180,"="&amp;'Implied Productivity Ratios'!$C82)</f>
        <v>221.85296507108023</v>
      </c>
      <c r="J82">
        <f>SUMIFS('MoodysData(Raw)'!M$2:M$180,'MoodysData(Raw)'!$B$2:$B$180,"=GDP",'MoodysData(Raw)'!$D$2:$D$180,"="&amp;'Implied Productivity Ratios'!$C82)/SUMIFS('MoodysData(Raw)'!M$2:M$180,'MoodysData(Raw)'!$B$2:$B$180,"=EMP",'MoodysData(Raw)'!$D$2:$D$180,"="&amp;'Implied Productivity Ratios'!$C82)</f>
        <v>229.77325294408013</v>
      </c>
      <c r="K82">
        <f>SUMIFS('MoodysData(Raw)'!N$2:N$180,'MoodysData(Raw)'!$B$2:$B$180,"=GDP",'MoodysData(Raw)'!$D$2:$D$180,"="&amp;'Implied Productivity Ratios'!$C82)/SUMIFS('MoodysData(Raw)'!N$2:N$180,'MoodysData(Raw)'!$B$2:$B$180,"=EMP",'MoodysData(Raw)'!$D$2:$D$180,"="&amp;'Implied Productivity Ratios'!$C82)</f>
        <v>240.64087800374324</v>
      </c>
      <c r="L82">
        <f>SUMIFS('MoodysData(Raw)'!O$2:O$180,'MoodysData(Raw)'!$B$2:$B$180,"=GDP",'MoodysData(Raw)'!$D$2:$D$180,"="&amp;'Implied Productivity Ratios'!$C82)/SUMIFS('MoodysData(Raw)'!O$2:O$180,'MoodysData(Raw)'!$B$2:$B$180,"=EMP",'MoodysData(Raw)'!$D$2:$D$180,"="&amp;'Implied Productivity Ratios'!$C82)</f>
        <v>249.41377275178152</v>
      </c>
      <c r="M82">
        <f>SUMIFS('MoodysData(Raw)'!P$2:P$180,'MoodysData(Raw)'!$B$2:$B$180,"=GDP",'MoodysData(Raw)'!$D$2:$D$180,"="&amp;'Implied Productivity Ratios'!$C82)/SUMIFS('MoodysData(Raw)'!P$2:P$180,'MoodysData(Raw)'!$B$2:$B$180,"=EMP",'MoodysData(Raw)'!$D$2:$D$180,"="&amp;'Implied Productivity Ratios'!$C82)</f>
        <v>242.79335335963935</v>
      </c>
      <c r="N82">
        <f>SUMIFS('MoodysData(Raw)'!Q$2:Q$180,'MoodysData(Raw)'!$B$2:$B$180,"=GDP",'MoodysData(Raw)'!$D$2:$D$180,"="&amp;'Implied Productivity Ratios'!$C82)/SUMIFS('MoodysData(Raw)'!Q$2:Q$180,'MoodysData(Raw)'!$B$2:$B$180,"=EMP",'MoodysData(Raw)'!$D$2:$D$180,"="&amp;'Implied Productivity Ratios'!$C82)</f>
        <v>245.20328524991669</v>
      </c>
      <c r="O82">
        <f>SUMIFS('MoodysData(Raw)'!R$2:R$180,'MoodysData(Raw)'!$B$2:$B$180,"=GDP",'MoodysData(Raw)'!$D$2:$D$180,"="&amp;'Implied Productivity Ratios'!$C82)/SUMIFS('MoodysData(Raw)'!R$2:R$180,'MoodysData(Raw)'!$B$2:$B$180,"=EMP",'MoodysData(Raw)'!$D$2:$D$180,"="&amp;'Implied Productivity Ratios'!$C82)</f>
        <v>229.21491724585792</v>
      </c>
      <c r="P82">
        <f>SUMIFS('MoodysData(Raw)'!S$2:S$180,'MoodysData(Raw)'!$B$2:$B$180,"=GDP",'MoodysData(Raw)'!$D$2:$D$180,"="&amp;'Implied Productivity Ratios'!$C82)/SUMIFS('MoodysData(Raw)'!S$2:S$180,'MoodysData(Raw)'!$B$2:$B$180,"=EMP",'MoodysData(Raw)'!$D$2:$D$180,"="&amp;'Implied Productivity Ratios'!$C82)</f>
        <v>229.68656049566232</v>
      </c>
      <c r="Q82">
        <f>SUMIFS('MoodysData(Raw)'!T$2:T$180,'MoodysData(Raw)'!$B$2:$B$180,"=GDP",'MoodysData(Raw)'!$D$2:$D$180,"="&amp;'Implied Productivity Ratios'!$C82)/SUMIFS('MoodysData(Raw)'!T$2:T$180,'MoodysData(Raw)'!$B$2:$B$180,"=EMP",'MoodysData(Raw)'!$D$2:$D$180,"="&amp;'Implied Productivity Ratios'!$C82)</f>
        <v>231.33029666206295</v>
      </c>
      <c r="R82">
        <f>SUMIFS('MoodysData(Raw)'!U$2:U$180,'MoodysData(Raw)'!$B$2:$B$180,"=GDP",'MoodysData(Raw)'!$D$2:$D$180,"="&amp;'Implied Productivity Ratios'!$C82)/SUMIFS('MoodysData(Raw)'!U$2:U$180,'MoodysData(Raw)'!$B$2:$B$180,"=EMP",'MoodysData(Raw)'!$D$2:$D$180,"="&amp;'Implied Productivity Ratios'!$C82)</f>
        <v>237.33026039881042</v>
      </c>
      <c r="S82">
        <f>SUMIFS('MoodysData(Raw)'!V$2:V$180,'MoodysData(Raw)'!$B$2:$B$180,"=GDP",'MoodysData(Raw)'!$D$2:$D$180,"="&amp;'Implied Productivity Ratios'!$C82)/SUMIFS('MoodysData(Raw)'!V$2:V$180,'MoodysData(Raw)'!$B$2:$B$180,"=EMP",'MoodysData(Raw)'!$D$2:$D$180,"="&amp;'Implied Productivity Ratios'!$C82)</f>
        <v>235.39083418356458</v>
      </c>
      <c r="T82">
        <f>SUMIFS('MoodysData(Raw)'!W$2:W$180,'MoodysData(Raw)'!$B$2:$B$180,"=GDP",'MoodysData(Raw)'!$D$2:$D$180,"="&amp;'Implied Productivity Ratios'!$C82)/SUMIFS('MoodysData(Raw)'!W$2:W$180,'MoodysData(Raw)'!$B$2:$B$180,"=EMP",'MoodysData(Raw)'!$D$2:$D$180,"="&amp;'Implied Productivity Ratios'!$C82)</f>
        <v>252.05684604386576</v>
      </c>
      <c r="U82">
        <f>SUMIFS('MoodysData(Raw)'!X$2:X$180,'MoodysData(Raw)'!$B$2:$B$180,"=GDP",'MoodysData(Raw)'!$D$2:$D$180,"="&amp;'Implied Productivity Ratios'!$C82)/SUMIFS('MoodysData(Raw)'!X$2:X$180,'MoodysData(Raw)'!$B$2:$B$180,"=EMP",'MoodysData(Raw)'!$D$2:$D$180,"="&amp;'Implied Productivity Ratios'!$C82)</f>
        <v>256.95592737334994</v>
      </c>
      <c r="V82">
        <f>SUMIFS('MoodysData(Raw)'!Y$2:Y$180,'MoodysData(Raw)'!$B$2:$B$180,"=GDP",'MoodysData(Raw)'!$D$2:$D$180,"="&amp;'Implied Productivity Ratios'!$C82)/SUMIFS('MoodysData(Raw)'!Y$2:Y$180,'MoodysData(Raw)'!$B$2:$B$180,"=EMP",'MoodysData(Raw)'!$D$2:$D$180,"="&amp;'Implied Productivity Ratios'!$C82)</f>
        <v>251.19842772398624</v>
      </c>
      <c r="W82">
        <f>SUMIFS('MoodysData(Raw)'!Z$2:Z$180,'MoodysData(Raw)'!$B$2:$B$180,"=GDP",'MoodysData(Raw)'!$D$2:$D$180,"="&amp;'Implied Productivity Ratios'!$C82)/SUMIFS('MoodysData(Raw)'!Z$2:Z$180,'MoodysData(Raw)'!$B$2:$B$180,"=EMP",'MoodysData(Raw)'!$D$2:$D$180,"="&amp;'Implied Productivity Ratios'!$C82)</f>
        <v>245.28021525869872</v>
      </c>
      <c r="X82">
        <f>SUMIFS('MoodysData(Raw)'!AA$2:AA$180,'MoodysData(Raw)'!$B$2:$B$180,"=GDP",'MoodysData(Raw)'!$D$2:$D$180,"="&amp;'Implied Productivity Ratios'!$C82)/SUMIFS('MoodysData(Raw)'!AA$2:AA$180,'MoodysData(Raw)'!$B$2:$B$180,"=EMP",'MoodysData(Raw)'!$D$2:$D$180,"="&amp;'Implied Productivity Ratios'!$C82)</f>
        <v>252.35928390564308</v>
      </c>
      <c r="Y82">
        <f>SUMIFS('MoodysData(Raw)'!AB$2:AB$180,'MoodysData(Raw)'!$B$2:$B$180,"=GDP",'MoodysData(Raw)'!$D$2:$D$180,"="&amp;'Implied Productivity Ratios'!$C82)/SUMIFS('MoodysData(Raw)'!AB$2:AB$180,'MoodysData(Raw)'!$B$2:$B$180,"=EMP",'MoodysData(Raw)'!$D$2:$D$180,"="&amp;'Implied Productivity Ratios'!$C82)</f>
        <v>258.11189482120494</v>
      </c>
      <c r="Z82">
        <f>SUMIFS('MoodysData(Raw)'!AC$2:AC$180,'MoodysData(Raw)'!$B$2:$B$180,"=GDP",'MoodysData(Raw)'!$D$2:$D$180,"="&amp;'Implied Productivity Ratios'!$C82)/SUMIFS('MoodysData(Raw)'!AC$2:AC$180,'MoodysData(Raw)'!$B$2:$B$180,"=EMP",'MoodysData(Raw)'!$D$2:$D$180,"="&amp;'Implied Productivity Ratios'!$C82)</f>
        <v>257.55528472598888</v>
      </c>
      <c r="AA82">
        <f>SUMIFS('MoodysData(Raw)'!AD$2:AD$180,'MoodysData(Raw)'!$B$2:$B$180,"=GDP",'MoodysData(Raw)'!$D$2:$D$180,"="&amp;'Implied Productivity Ratios'!$C82)/SUMIFS('MoodysData(Raw)'!AD$2:AD$180,'MoodysData(Raw)'!$B$2:$B$180,"=EMP",'MoodysData(Raw)'!$D$2:$D$180,"="&amp;'Implied Productivity Ratios'!$C82)</f>
        <v>256.28069381061641</v>
      </c>
      <c r="AB82">
        <f>SUMIFS('MoodysData(Raw)'!AE$2:AE$180,'MoodysData(Raw)'!$B$2:$B$180,"=GDP",'MoodysData(Raw)'!$D$2:$D$180,"="&amp;'Implied Productivity Ratios'!$C82)/SUMIFS('MoodysData(Raw)'!AE$2:AE$180,'MoodysData(Raw)'!$B$2:$B$180,"=EMP",'MoodysData(Raw)'!$D$2:$D$180,"="&amp;'Implied Productivity Ratios'!$C82)</f>
        <v>255.2179456733258</v>
      </c>
      <c r="AC82">
        <f>SUMIFS('MoodysData(Raw)'!AF$2:AF$180,'MoodysData(Raw)'!$B$2:$B$180,"=GDP",'MoodysData(Raw)'!$D$2:$D$180,"="&amp;'Implied Productivity Ratios'!$C82)/SUMIFS('MoodysData(Raw)'!AF$2:AF$180,'MoodysData(Raw)'!$B$2:$B$180,"=EMP",'MoodysData(Raw)'!$D$2:$D$180,"="&amp;'Implied Productivity Ratios'!$C82)</f>
        <v>255.08470367593168</v>
      </c>
      <c r="AD82">
        <f>SUMIFS('MoodysData(Raw)'!AG$2:AG$180,'MoodysData(Raw)'!$B$2:$B$180,"=GDP",'MoodysData(Raw)'!$D$2:$D$180,"="&amp;'Implied Productivity Ratios'!$C82)/SUMIFS('MoodysData(Raw)'!AG$2:AG$180,'MoodysData(Raw)'!$B$2:$B$180,"=EMP",'MoodysData(Raw)'!$D$2:$D$180,"="&amp;'Implied Productivity Ratios'!$C82)</f>
        <v>255.83106535466689</v>
      </c>
      <c r="AE82">
        <f>SUMIFS('MoodysData(Raw)'!AH$2:AH$180,'MoodysData(Raw)'!$B$2:$B$180,"=GDP",'MoodysData(Raw)'!$D$2:$D$180,"="&amp;'Implied Productivity Ratios'!$C82)/SUMIFS('MoodysData(Raw)'!AH$2:AH$180,'MoodysData(Raw)'!$B$2:$B$180,"=EMP",'MoodysData(Raw)'!$D$2:$D$180,"="&amp;'Implied Productivity Ratios'!$C82)</f>
        <v>256.71742577523457</v>
      </c>
      <c r="AF82">
        <f>SUMIFS('MoodysData(Raw)'!AI$2:AI$180,'MoodysData(Raw)'!$B$2:$B$180,"=GDP",'MoodysData(Raw)'!$D$2:$D$180,"="&amp;'Implied Productivity Ratios'!$C82)/SUMIFS('MoodysData(Raw)'!AI$2:AI$180,'MoodysData(Raw)'!$B$2:$B$180,"=EMP",'MoodysData(Raw)'!$D$2:$D$180,"="&amp;'Implied Productivity Ratios'!$C82)</f>
        <v>257.85496041991405</v>
      </c>
      <c r="AG82">
        <f>SUMIFS('MoodysData(Raw)'!AJ$2:AJ$180,'MoodysData(Raw)'!$B$2:$B$180,"=GDP",'MoodysData(Raw)'!$D$2:$D$180,"="&amp;'Implied Productivity Ratios'!$C82)/SUMIFS('MoodysData(Raw)'!AJ$2:AJ$180,'MoodysData(Raw)'!$B$2:$B$180,"=EMP",'MoodysData(Raw)'!$D$2:$D$180,"="&amp;'Implied Productivity Ratios'!$C82)</f>
        <v>259.21416753156137</v>
      </c>
      <c r="AH82">
        <f>SUMIFS('MoodysData(Raw)'!AK$2:AK$180,'MoodysData(Raw)'!$B$2:$B$180,"=GDP",'MoodysData(Raw)'!$D$2:$D$180,"="&amp;'Implied Productivity Ratios'!$C82)/SUMIFS('MoodysData(Raw)'!AK$2:AK$180,'MoodysData(Raw)'!$B$2:$B$180,"=EMP",'MoodysData(Raw)'!$D$2:$D$180,"="&amp;'Implied Productivity Ratios'!$C82)</f>
        <v>260.20299269207982</v>
      </c>
      <c r="AI82">
        <f>SUMIFS('MoodysData(Raw)'!AL$2:AL$180,'MoodysData(Raw)'!$B$2:$B$180,"=GDP",'MoodysData(Raw)'!$D$2:$D$180,"="&amp;'Implied Productivity Ratios'!$C82)/SUMIFS('MoodysData(Raw)'!AL$2:AL$180,'MoodysData(Raw)'!$B$2:$B$180,"=EMP",'MoodysData(Raw)'!$D$2:$D$180,"="&amp;'Implied Productivity Ratios'!$C82)</f>
        <v>261.113416880871</v>
      </c>
      <c r="AJ82">
        <f>SUMIFS('MoodysData(Raw)'!AM$2:AM$180,'MoodysData(Raw)'!$B$2:$B$180,"=GDP",'MoodysData(Raw)'!$D$2:$D$180,"="&amp;'Implied Productivity Ratios'!$C82)/SUMIFS('MoodysData(Raw)'!AM$2:AM$180,'MoodysData(Raw)'!$B$2:$B$180,"=EMP",'MoodysData(Raw)'!$D$2:$D$180,"="&amp;'Implied Productivity Ratios'!$C82)</f>
        <v>262.55486322400668</v>
      </c>
      <c r="AK82">
        <f>SUMIFS('MoodysData(Raw)'!AN$2:AN$180,'MoodysData(Raw)'!$B$2:$B$180,"=GDP",'MoodysData(Raw)'!$D$2:$D$180,"="&amp;'Implied Productivity Ratios'!$C82)/SUMIFS('MoodysData(Raw)'!AN$2:AN$180,'MoodysData(Raw)'!$B$2:$B$180,"=EMP",'MoodysData(Raw)'!$D$2:$D$180,"="&amp;'Implied Productivity Ratios'!$C82)</f>
        <v>264.33821958720711</v>
      </c>
      <c r="AL82">
        <f>SUMIFS('MoodysData(Raw)'!AO$2:AO$180,'MoodysData(Raw)'!$B$2:$B$180,"=GDP",'MoodysData(Raw)'!$D$2:$D$180,"="&amp;'Implied Productivity Ratios'!$C82)/SUMIFS('MoodysData(Raw)'!AO$2:AO$180,'MoodysData(Raw)'!$B$2:$B$180,"=EMP",'MoodysData(Raw)'!$D$2:$D$180,"="&amp;'Implied Productivity Ratios'!$C82)</f>
        <v>266.25820229140498</v>
      </c>
      <c r="AM82">
        <f>SUMIFS('MoodysData(Raw)'!AP$2:AP$180,'MoodysData(Raw)'!$B$2:$B$180,"=GDP",'MoodysData(Raw)'!$D$2:$D$180,"="&amp;'Implied Productivity Ratios'!$C82)/SUMIFS('MoodysData(Raw)'!AP$2:AP$180,'MoodysData(Raw)'!$B$2:$B$180,"=EMP",'MoodysData(Raw)'!$D$2:$D$180,"="&amp;'Implied Productivity Ratios'!$C82)</f>
        <v>268.31094148571322</v>
      </c>
      <c r="AN82">
        <f>SUMIFS('MoodysData(Raw)'!AQ$2:AQ$180,'MoodysData(Raw)'!$B$2:$B$180,"=GDP",'MoodysData(Raw)'!$D$2:$D$180,"="&amp;'Implied Productivity Ratios'!$C82)/SUMIFS('MoodysData(Raw)'!AQ$2:AQ$180,'MoodysData(Raw)'!$B$2:$B$180,"=EMP",'MoodysData(Raw)'!$D$2:$D$180,"="&amp;'Implied Productivity Ratios'!$C82)</f>
        <v>270.47726377386385</v>
      </c>
      <c r="AO82">
        <f>SUMIFS('MoodysData(Raw)'!AR$2:AR$180,'MoodysData(Raw)'!$B$2:$B$180,"=GDP",'MoodysData(Raw)'!$D$2:$D$180,"="&amp;'Implied Productivity Ratios'!$C82)/SUMIFS('MoodysData(Raw)'!AR$2:AR$180,'MoodysData(Raw)'!$B$2:$B$180,"=EMP",'MoodysData(Raw)'!$D$2:$D$180,"="&amp;'Implied Productivity Ratios'!$C82)</f>
        <v>272.6506630233398</v>
      </c>
      <c r="AP82">
        <f>SUMIFS('MoodysData(Raw)'!AS$2:AS$180,'MoodysData(Raw)'!$B$2:$B$180,"=GDP",'MoodysData(Raw)'!$D$2:$D$180,"="&amp;'Implied Productivity Ratios'!$C82)/SUMIFS('MoodysData(Raw)'!AS$2:AS$180,'MoodysData(Raw)'!$B$2:$B$180,"=EMP",'MoodysData(Raw)'!$D$2:$D$180,"="&amp;'Implied Productivity Ratios'!$C82)</f>
        <v>274.90041001294776</v>
      </c>
      <c r="AQ82">
        <f>SUMIFS('MoodysData(Raw)'!AT$2:AT$180,'MoodysData(Raw)'!$B$2:$B$180,"=GDP",'MoodysData(Raw)'!$D$2:$D$180,"="&amp;'Implied Productivity Ratios'!$C82)/SUMIFS('MoodysData(Raw)'!AT$2:AT$180,'MoodysData(Raw)'!$B$2:$B$180,"=EMP",'MoodysData(Raw)'!$D$2:$D$180,"="&amp;'Implied Productivity Ratios'!$C82)</f>
        <v>277.27403802393849</v>
      </c>
      <c r="AR82">
        <f>SUMIFS('MoodysData(Raw)'!AU$2:AU$180,'MoodysData(Raw)'!$B$2:$B$180,"=GDP",'MoodysData(Raw)'!$D$2:$D$180,"="&amp;'Implied Productivity Ratios'!$C82)/SUMIFS('MoodysData(Raw)'!AU$2:AU$180,'MoodysData(Raw)'!$B$2:$B$180,"=EMP",'MoodysData(Raw)'!$D$2:$D$180,"="&amp;'Implied Productivity Ratios'!$C82)</f>
        <v>279.8352794482106</v>
      </c>
      <c r="AS82">
        <f>SUMIFS('MoodysData(Raw)'!AV$2:AV$180,'MoodysData(Raw)'!$B$2:$B$180,"=GDP",'MoodysData(Raw)'!$D$2:$D$180,"="&amp;'Implied Productivity Ratios'!$C82)/SUMIFS('MoodysData(Raw)'!AV$2:AV$180,'MoodysData(Raw)'!$B$2:$B$180,"=EMP",'MoodysData(Raw)'!$D$2:$D$180,"="&amp;'Implied Productivity Ratios'!$C82)</f>
        <v>282.56454502238188</v>
      </c>
      <c r="AT82">
        <f>SUMIFS('MoodysData(Raw)'!AW$2:AW$180,'MoodysData(Raw)'!$B$2:$B$180,"=GDP",'MoodysData(Raw)'!$D$2:$D$180,"="&amp;'Implied Productivity Ratios'!$C82)/SUMIFS('MoodysData(Raw)'!AW$2:AW$180,'MoodysData(Raw)'!$B$2:$B$180,"=EMP",'MoodysData(Raw)'!$D$2:$D$180,"="&amp;'Implied Productivity Ratios'!$C82)</f>
        <v>285.40962538317166</v>
      </c>
      <c r="AU82">
        <f>SUMIFS('MoodysData(Raw)'!AX$2:AX$180,'MoodysData(Raw)'!$B$2:$B$180,"=GDP",'MoodysData(Raw)'!$D$2:$D$180,"="&amp;'Implied Productivity Ratios'!$C82)/SUMIFS('MoodysData(Raw)'!AX$2:AX$180,'MoodysData(Raw)'!$B$2:$B$180,"=EMP",'MoodysData(Raw)'!$D$2:$D$180,"="&amp;'Implied Productivity Ratios'!$C82)</f>
        <v>288.52673906066997</v>
      </c>
      <c r="AV82">
        <f>SUMIFS('MoodysData(Raw)'!AY$2:AY$180,'MoodysData(Raw)'!$B$2:$B$180,"=GDP",'MoodysData(Raw)'!$D$2:$D$180,"="&amp;'Implied Productivity Ratios'!$C82)/SUMIFS('MoodysData(Raw)'!AY$2:AY$180,'MoodysData(Raw)'!$B$2:$B$180,"=EMP",'MoodysData(Raw)'!$D$2:$D$180,"="&amp;'Implied Productivity Ratios'!$C82)</f>
        <v>291.92000152538884</v>
      </c>
      <c r="AW82">
        <f>SUMIFS('MoodysData(Raw)'!AZ$2:AZ$180,'MoodysData(Raw)'!$B$2:$B$180,"=GDP",'MoodysData(Raw)'!$D$2:$D$180,"="&amp;'Implied Productivity Ratios'!$C82)/SUMIFS('MoodysData(Raw)'!AZ$2:AZ$180,'MoodysData(Raw)'!$B$2:$B$180,"=EMP",'MoodysData(Raw)'!$D$2:$D$180,"="&amp;'Implied Productivity Ratios'!$C82)</f>
        <v>295.44454231307316</v>
      </c>
      <c r="AX82">
        <f>SUMIFS('MoodysData(Raw)'!BA$2:BA$180,'MoodysData(Raw)'!$B$2:$B$180,"=GDP",'MoodysData(Raw)'!$D$2:$D$180,"="&amp;'Implied Productivity Ratios'!$C82)/SUMIFS('MoodysData(Raw)'!BA$2:BA$180,'MoodysData(Raw)'!$B$2:$B$180,"=EMP",'MoodysData(Raw)'!$D$2:$D$180,"="&amp;'Implied Productivity Ratios'!$C82)</f>
        <v>299.08381087862057</v>
      </c>
      <c r="AY82">
        <f>SUMIFS('MoodysData(Raw)'!BB$2:BB$180,'MoodysData(Raw)'!$B$2:$B$180,"=GDP",'MoodysData(Raw)'!$D$2:$D$180,"="&amp;'Implied Productivity Ratios'!$C82)/SUMIFS('MoodysData(Raw)'!BB$2:BB$180,'MoodysData(Raw)'!$B$2:$B$180,"=EMP",'MoodysData(Raw)'!$D$2:$D$180,"="&amp;'Implied Productivity Ratios'!$C82)</f>
        <v>302.88162066218649</v>
      </c>
      <c r="AZ82">
        <f>SUMIFS('MoodysData(Raw)'!BC$2:BC$180,'MoodysData(Raw)'!$B$2:$B$180,"=GDP",'MoodysData(Raw)'!$D$2:$D$180,"="&amp;'Implied Productivity Ratios'!$C82)/SUMIFS('MoodysData(Raw)'!BC$2:BC$180,'MoodysData(Raw)'!$B$2:$B$180,"=EMP",'MoodysData(Raw)'!$D$2:$D$180,"="&amp;'Implied Productivity Ratios'!$C82)</f>
        <v>306.98466819191549</v>
      </c>
      <c r="BA82">
        <f>SUMIFS('MoodysData(Raw)'!BD$2:BD$180,'MoodysData(Raw)'!$B$2:$B$180,"=GDP",'MoodysData(Raw)'!$D$2:$D$180,"="&amp;'Implied Productivity Ratios'!$C82)/SUMIFS('MoodysData(Raw)'!BD$2:BD$180,'MoodysData(Raw)'!$B$2:$B$180,"=EMP",'MoodysData(Raw)'!$D$2:$D$180,"="&amp;'Implied Productivity Ratios'!$C82)</f>
        <v>311.56297684911209</v>
      </c>
      <c r="BB82">
        <f>SUMIFS('MoodysData(Raw)'!BE$2:BE$180,'MoodysData(Raw)'!$B$2:$B$180,"=GDP",'MoodysData(Raw)'!$D$2:$D$180,"="&amp;'Implied Productivity Ratios'!$C82)/SUMIFS('MoodysData(Raw)'!BE$2:BE$180,'MoodysData(Raw)'!$B$2:$B$180,"=EMP",'MoodysData(Raw)'!$D$2:$D$180,"="&amp;'Implied Productivity Ratios'!$C82)</f>
        <v>316.51302112203899</v>
      </c>
      <c r="BC82">
        <f>SUMIFS('MoodysData(Raw)'!BF$2:BF$180,'MoodysData(Raw)'!$B$2:$B$180,"=GDP",'MoodysData(Raw)'!$D$2:$D$180,"="&amp;'Implied Productivity Ratios'!$C82)/SUMIFS('MoodysData(Raw)'!BF$2:BF$180,'MoodysData(Raw)'!$B$2:$B$180,"=EMP",'MoodysData(Raw)'!$D$2:$D$180,"="&amp;'Implied Productivity Ratios'!$C82)</f>
        <v>321.77555238708368</v>
      </c>
      <c r="BD82" s="5">
        <f t="shared" ref="BD82:BH82" si="76">BC82+($BC82-$AX82)/5</f>
        <v>326.3139006887763</v>
      </c>
      <c r="BE82" s="5">
        <f t="shared" si="76"/>
        <v>330.85224899046892</v>
      </c>
      <c r="BF82" s="5">
        <f t="shared" si="76"/>
        <v>335.39059729216154</v>
      </c>
      <c r="BG82" s="5">
        <f t="shared" si="76"/>
        <v>339.92894559385417</v>
      </c>
      <c r="BH82" s="5">
        <f t="shared" si="76"/>
        <v>344.46729389554679</v>
      </c>
    </row>
    <row r="83" spans="3:60">
      <c r="C83">
        <v>712</v>
      </c>
      <c r="D83" t="s">
        <v>436</v>
      </c>
      <c r="E83">
        <f>SUMIFS('MoodysData(Raw)'!H$2:H$180,'MoodysData(Raw)'!$B$2:$B$180,"=GDP",'MoodysData(Raw)'!$D$2:$D$180,"="&amp;'Implied Productivity Ratios'!$C83)/SUMIFS('MoodysData(Raw)'!H$2:H$180,'MoodysData(Raw)'!$B$2:$B$180,"=EMP",'MoodysData(Raw)'!$D$2:$D$180,"="&amp;'Implied Productivity Ratios'!$C83)</f>
        <v>86.065355476891511</v>
      </c>
      <c r="F83">
        <f>SUMIFS('MoodysData(Raw)'!I$2:I$180,'MoodysData(Raw)'!$B$2:$B$180,"=GDP",'MoodysData(Raw)'!$D$2:$D$180,"="&amp;'Implied Productivity Ratios'!$C83)/SUMIFS('MoodysData(Raw)'!I$2:I$180,'MoodysData(Raw)'!$B$2:$B$180,"=EMP",'MoodysData(Raw)'!$D$2:$D$180,"="&amp;'Implied Productivity Ratios'!$C83)</f>
        <v>84.058438148785427</v>
      </c>
      <c r="G83">
        <f>SUMIFS('MoodysData(Raw)'!J$2:J$180,'MoodysData(Raw)'!$B$2:$B$180,"=GDP",'MoodysData(Raw)'!$D$2:$D$180,"="&amp;'Implied Productivity Ratios'!$C83)/SUMIFS('MoodysData(Raw)'!J$2:J$180,'MoodysData(Raw)'!$B$2:$B$180,"=EMP",'MoodysData(Raw)'!$D$2:$D$180,"="&amp;'Implied Productivity Ratios'!$C83)</f>
        <v>80.664212682109451</v>
      </c>
      <c r="H83">
        <f>SUMIFS('MoodysData(Raw)'!K$2:K$180,'MoodysData(Raw)'!$B$2:$B$180,"=GDP",'MoodysData(Raw)'!$D$2:$D$180,"="&amp;'Implied Productivity Ratios'!$C83)/SUMIFS('MoodysData(Raw)'!K$2:K$180,'MoodysData(Raw)'!$B$2:$B$180,"=EMP",'MoodysData(Raw)'!$D$2:$D$180,"="&amp;'Implied Productivity Ratios'!$C83)</f>
        <v>83.093259513270993</v>
      </c>
      <c r="I83">
        <f>SUMIFS('MoodysData(Raw)'!L$2:L$180,'MoodysData(Raw)'!$B$2:$B$180,"=GDP",'MoodysData(Raw)'!$D$2:$D$180,"="&amp;'Implied Productivity Ratios'!$C83)/SUMIFS('MoodysData(Raw)'!L$2:L$180,'MoodysData(Raw)'!$B$2:$B$180,"=EMP",'MoodysData(Raw)'!$D$2:$D$180,"="&amp;'Implied Productivity Ratios'!$C83)</f>
        <v>88.446744390160546</v>
      </c>
      <c r="J83">
        <f>SUMIFS('MoodysData(Raw)'!M$2:M$180,'MoodysData(Raw)'!$B$2:$B$180,"=GDP",'MoodysData(Raw)'!$D$2:$D$180,"="&amp;'Implied Productivity Ratios'!$C83)/SUMIFS('MoodysData(Raw)'!M$2:M$180,'MoodysData(Raw)'!$B$2:$B$180,"=EMP",'MoodysData(Raw)'!$D$2:$D$180,"="&amp;'Implied Productivity Ratios'!$C83)</f>
        <v>89.557375909533306</v>
      </c>
      <c r="K83">
        <f>SUMIFS('MoodysData(Raw)'!N$2:N$180,'MoodysData(Raw)'!$B$2:$B$180,"=GDP",'MoodysData(Raw)'!$D$2:$D$180,"="&amp;'Implied Productivity Ratios'!$C83)/SUMIFS('MoodysData(Raw)'!N$2:N$180,'MoodysData(Raw)'!$B$2:$B$180,"=EMP",'MoodysData(Raw)'!$D$2:$D$180,"="&amp;'Implied Productivity Ratios'!$C83)</f>
        <v>93.866871091140922</v>
      </c>
      <c r="L83">
        <f>SUMIFS('MoodysData(Raw)'!O$2:O$180,'MoodysData(Raw)'!$B$2:$B$180,"=GDP",'MoodysData(Raw)'!$D$2:$D$180,"="&amp;'Implied Productivity Ratios'!$C83)/SUMIFS('MoodysData(Raw)'!O$2:O$180,'MoodysData(Raw)'!$B$2:$B$180,"=EMP",'MoodysData(Raw)'!$D$2:$D$180,"="&amp;'Implied Productivity Ratios'!$C83)</f>
        <v>96.284258309508743</v>
      </c>
      <c r="M83">
        <f>SUMIFS('MoodysData(Raw)'!P$2:P$180,'MoodysData(Raw)'!$B$2:$B$180,"=GDP",'MoodysData(Raw)'!$D$2:$D$180,"="&amp;'Implied Productivity Ratios'!$C83)/SUMIFS('MoodysData(Raw)'!P$2:P$180,'MoodysData(Raw)'!$B$2:$B$180,"=EMP",'MoodysData(Raw)'!$D$2:$D$180,"="&amp;'Implied Productivity Ratios'!$C83)</f>
        <v>95.723049697684701</v>
      </c>
      <c r="N83">
        <f>SUMIFS('MoodysData(Raw)'!Q$2:Q$180,'MoodysData(Raw)'!$B$2:$B$180,"=GDP",'MoodysData(Raw)'!$D$2:$D$180,"="&amp;'Implied Productivity Ratios'!$C83)/SUMIFS('MoodysData(Raw)'!Q$2:Q$180,'MoodysData(Raw)'!$B$2:$B$180,"=EMP",'MoodysData(Raw)'!$D$2:$D$180,"="&amp;'Implied Productivity Ratios'!$C83)</f>
        <v>96.211367275490531</v>
      </c>
      <c r="O83">
        <f>SUMIFS('MoodysData(Raw)'!R$2:R$180,'MoodysData(Raw)'!$B$2:$B$180,"=GDP",'MoodysData(Raw)'!$D$2:$D$180,"="&amp;'Implied Productivity Ratios'!$C83)/SUMIFS('MoodysData(Raw)'!R$2:R$180,'MoodysData(Raw)'!$B$2:$B$180,"=EMP",'MoodysData(Raw)'!$D$2:$D$180,"="&amp;'Implied Productivity Ratios'!$C83)</f>
        <v>88.041961369725499</v>
      </c>
      <c r="P83">
        <f>SUMIFS('MoodysData(Raw)'!S$2:S$180,'MoodysData(Raw)'!$B$2:$B$180,"=GDP",'MoodysData(Raw)'!$D$2:$D$180,"="&amp;'Implied Productivity Ratios'!$C83)/SUMIFS('MoodysData(Raw)'!S$2:S$180,'MoodysData(Raw)'!$B$2:$B$180,"=EMP",'MoodysData(Raw)'!$D$2:$D$180,"="&amp;'Implied Productivity Ratios'!$C83)</f>
        <v>87.472675036305446</v>
      </c>
      <c r="Q83">
        <f>SUMIFS('MoodysData(Raw)'!T$2:T$180,'MoodysData(Raw)'!$B$2:$B$180,"=GDP",'MoodysData(Raw)'!$D$2:$D$180,"="&amp;'Implied Productivity Ratios'!$C83)/SUMIFS('MoodysData(Raw)'!T$2:T$180,'MoodysData(Raw)'!$B$2:$B$180,"=EMP",'MoodysData(Raw)'!$D$2:$D$180,"="&amp;'Implied Productivity Ratios'!$C83)</f>
        <v>87.939866505594821</v>
      </c>
      <c r="R83">
        <f>SUMIFS('MoodysData(Raw)'!U$2:U$180,'MoodysData(Raw)'!$B$2:$B$180,"=GDP",'MoodysData(Raw)'!$D$2:$D$180,"="&amp;'Implied Productivity Ratios'!$C83)/SUMIFS('MoodysData(Raw)'!U$2:U$180,'MoodysData(Raw)'!$B$2:$B$180,"=EMP",'MoodysData(Raw)'!$D$2:$D$180,"="&amp;'Implied Productivity Ratios'!$C83)</f>
        <v>89.331712317337733</v>
      </c>
      <c r="S83">
        <f>SUMIFS('MoodysData(Raw)'!V$2:V$180,'MoodysData(Raw)'!$B$2:$B$180,"=GDP",'MoodysData(Raw)'!$D$2:$D$180,"="&amp;'Implied Productivity Ratios'!$C83)/SUMIFS('MoodysData(Raw)'!V$2:V$180,'MoodysData(Raw)'!$B$2:$B$180,"=EMP",'MoodysData(Raw)'!$D$2:$D$180,"="&amp;'Implied Productivity Ratios'!$C83)</f>
        <v>89.109965095986041</v>
      </c>
      <c r="T83">
        <f>SUMIFS('MoodysData(Raw)'!W$2:W$180,'MoodysData(Raw)'!$B$2:$B$180,"=GDP",'MoodysData(Raw)'!$D$2:$D$180,"="&amp;'Implied Productivity Ratios'!$C83)/SUMIFS('MoodysData(Raw)'!W$2:W$180,'MoodysData(Raw)'!$B$2:$B$180,"=EMP",'MoodysData(Raw)'!$D$2:$D$180,"="&amp;'Implied Productivity Ratios'!$C83)</f>
        <v>89.765650719278511</v>
      </c>
      <c r="U83">
        <f>SUMIFS('MoodysData(Raw)'!X$2:X$180,'MoodysData(Raw)'!$B$2:$B$180,"=GDP",'MoodysData(Raw)'!$D$2:$D$180,"="&amp;'Implied Productivity Ratios'!$C83)/SUMIFS('MoodysData(Raw)'!X$2:X$180,'MoodysData(Raw)'!$B$2:$B$180,"=EMP",'MoodysData(Raw)'!$D$2:$D$180,"="&amp;'Implied Productivity Ratios'!$C83)</f>
        <v>91.784868557382438</v>
      </c>
      <c r="V83">
        <f>SUMIFS('MoodysData(Raw)'!Y$2:Y$180,'MoodysData(Raw)'!$B$2:$B$180,"=GDP",'MoodysData(Raw)'!$D$2:$D$180,"="&amp;'Implied Productivity Ratios'!$C83)/SUMIFS('MoodysData(Raw)'!Y$2:Y$180,'MoodysData(Raw)'!$B$2:$B$180,"=EMP",'MoodysData(Raw)'!$D$2:$D$180,"="&amp;'Implied Productivity Ratios'!$C83)</f>
        <v>94.231786871323877</v>
      </c>
      <c r="W83">
        <f>SUMIFS('MoodysData(Raw)'!Z$2:Z$180,'MoodysData(Raw)'!$B$2:$B$180,"=GDP",'MoodysData(Raw)'!$D$2:$D$180,"="&amp;'Implied Productivity Ratios'!$C83)/SUMIFS('MoodysData(Raw)'!Z$2:Z$180,'MoodysData(Raw)'!$B$2:$B$180,"=EMP",'MoodysData(Raw)'!$D$2:$D$180,"="&amp;'Implied Productivity Ratios'!$C83)</f>
        <v>96.763980424520142</v>
      </c>
      <c r="X83">
        <f>SUMIFS('MoodysData(Raw)'!AA$2:AA$180,'MoodysData(Raw)'!$B$2:$B$180,"=GDP",'MoodysData(Raw)'!$D$2:$D$180,"="&amp;'Implied Productivity Ratios'!$C83)/SUMIFS('MoodysData(Raw)'!AA$2:AA$180,'MoodysData(Raw)'!$B$2:$B$180,"=EMP",'MoodysData(Raw)'!$D$2:$D$180,"="&amp;'Implied Productivity Ratios'!$C83)</f>
        <v>101.05638198607879</v>
      </c>
      <c r="Y83">
        <f>SUMIFS('MoodysData(Raw)'!AB$2:AB$180,'MoodysData(Raw)'!$B$2:$B$180,"=GDP",'MoodysData(Raw)'!$D$2:$D$180,"="&amp;'Implied Productivity Ratios'!$C83)/SUMIFS('MoodysData(Raw)'!AB$2:AB$180,'MoodysData(Raw)'!$B$2:$B$180,"=EMP",'MoodysData(Raw)'!$D$2:$D$180,"="&amp;'Implied Productivity Ratios'!$C83)</f>
        <v>106.80210643891697</v>
      </c>
      <c r="Z83">
        <f>SUMIFS('MoodysData(Raw)'!AC$2:AC$180,'MoodysData(Raw)'!$B$2:$B$180,"=GDP",'MoodysData(Raw)'!$D$2:$D$180,"="&amp;'Implied Productivity Ratios'!$C83)/SUMIFS('MoodysData(Raw)'!AC$2:AC$180,'MoodysData(Raw)'!$B$2:$B$180,"=EMP",'MoodysData(Raw)'!$D$2:$D$180,"="&amp;'Implied Productivity Ratios'!$C83)</f>
        <v>110.34192621461835</v>
      </c>
      <c r="AA83">
        <f>SUMIFS('MoodysData(Raw)'!AD$2:AD$180,'MoodysData(Raw)'!$B$2:$B$180,"=GDP",'MoodysData(Raw)'!$D$2:$D$180,"="&amp;'Implied Productivity Ratios'!$C83)/SUMIFS('MoodysData(Raw)'!AD$2:AD$180,'MoodysData(Raw)'!$B$2:$B$180,"=EMP",'MoodysData(Raw)'!$D$2:$D$180,"="&amp;'Implied Productivity Ratios'!$C83)</f>
        <v>113.5132075908891</v>
      </c>
      <c r="AB83">
        <f>SUMIFS('MoodysData(Raw)'!AE$2:AE$180,'MoodysData(Raw)'!$B$2:$B$180,"=GDP",'MoodysData(Raw)'!$D$2:$D$180,"="&amp;'Implied Productivity Ratios'!$C83)/SUMIFS('MoodysData(Raw)'!AE$2:AE$180,'MoodysData(Raw)'!$B$2:$B$180,"=EMP",'MoodysData(Raw)'!$D$2:$D$180,"="&amp;'Implied Productivity Ratios'!$C83)</f>
        <v>116.71696557534905</v>
      </c>
      <c r="AC83">
        <f>SUMIFS('MoodysData(Raw)'!AF$2:AF$180,'MoodysData(Raw)'!$B$2:$B$180,"=GDP",'MoodysData(Raw)'!$D$2:$D$180,"="&amp;'Implied Productivity Ratios'!$C83)/SUMIFS('MoodysData(Raw)'!AF$2:AF$180,'MoodysData(Raw)'!$B$2:$B$180,"=EMP",'MoodysData(Raw)'!$D$2:$D$180,"="&amp;'Implied Productivity Ratios'!$C83)</f>
        <v>120.3105976859017</v>
      </c>
      <c r="AD83">
        <f>SUMIFS('MoodysData(Raw)'!AG$2:AG$180,'MoodysData(Raw)'!$B$2:$B$180,"=GDP",'MoodysData(Raw)'!$D$2:$D$180,"="&amp;'Implied Productivity Ratios'!$C83)/SUMIFS('MoodysData(Raw)'!AG$2:AG$180,'MoodysData(Raw)'!$B$2:$B$180,"=EMP",'MoodysData(Raw)'!$D$2:$D$180,"="&amp;'Implied Productivity Ratios'!$C83)</f>
        <v>124.30261085271317</v>
      </c>
      <c r="AE83">
        <f>SUMIFS('MoodysData(Raw)'!AH$2:AH$180,'MoodysData(Raw)'!$B$2:$B$180,"=GDP",'MoodysData(Raw)'!$D$2:$D$180,"="&amp;'Implied Productivity Ratios'!$C83)/SUMIFS('MoodysData(Raw)'!AH$2:AH$180,'MoodysData(Raw)'!$B$2:$B$180,"=EMP",'MoodysData(Raw)'!$D$2:$D$180,"="&amp;'Implied Productivity Ratios'!$C83)</f>
        <v>128.34761117167238</v>
      </c>
      <c r="AF83">
        <f>SUMIFS('MoodysData(Raw)'!AI$2:AI$180,'MoodysData(Raw)'!$B$2:$B$180,"=GDP",'MoodysData(Raw)'!$D$2:$D$180,"="&amp;'Implied Productivity Ratios'!$C83)/SUMIFS('MoodysData(Raw)'!AI$2:AI$180,'MoodysData(Raw)'!$B$2:$B$180,"=EMP",'MoodysData(Raw)'!$D$2:$D$180,"="&amp;'Implied Productivity Ratios'!$C83)</f>
        <v>132.49932523616735</v>
      </c>
      <c r="AG83">
        <f>SUMIFS('MoodysData(Raw)'!AJ$2:AJ$180,'MoodysData(Raw)'!$B$2:$B$180,"=GDP",'MoodysData(Raw)'!$D$2:$D$180,"="&amp;'Implied Productivity Ratios'!$C83)/SUMIFS('MoodysData(Raw)'!AJ$2:AJ$180,'MoodysData(Raw)'!$B$2:$B$180,"=EMP",'MoodysData(Raw)'!$D$2:$D$180,"="&amp;'Implied Productivity Ratios'!$C83)</f>
        <v>136.73257448816472</v>
      </c>
      <c r="AH83">
        <f>SUMIFS('MoodysData(Raw)'!AK$2:AK$180,'MoodysData(Raw)'!$B$2:$B$180,"=GDP",'MoodysData(Raw)'!$D$2:$D$180,"="&amp;'Implied Productivity Ratios'!$C83)/SUMIFS('MoodysData(Raw)'!AK$2:AK$180,'MoodysData(Raw)'!$B$2:$B$180,"=EMP",'MoodysData(Raw)'!$D$2:$D$180,"="&amp;'Implied Productivity Ratios'!$C83)</f>
        <v>140.73005047863157</v>
      </c>
      <c r="AI83">
        <f>SUMIFS('MoodysData(Raw)'!AL$2:AL$180,'MoodysData(Raw)'!$B$2:$B$180,"=GDP",'MoodysData(Raw)'!$D$2:$D$180,"="&amp;'Implied Productivity Ratios'!$C83)/SUMIFS('MoodysData(Raw)'!AL$2:AL$180,'MoodysData(Raw)'!$B$2:$B$180,"=EMP",'MoodysData(Raw)'!$D$2:$D$180,"="&amp;'Implied Productivity Ratios'!$C83)</f>
        <v>144.635228443263</v>
      </c>
      <c r="AJ83">
        <f>SUMIFS('MoodysData(Raw)'!AM$2:AM$180,'MoodysData(Raw)'!$B$2:$B$180,"=GDP",'MoodysData(Raw)'!$D$2:$D$180,"="&amp;'Implied Productivity Ratios'!$C83)/SUMIFS('MoodysData(Raw)'!AM$2:AM$180,'MoodysData(Raw)'!$B$2:$B$180,"=EMP",'MoodysData(Raw)'!$D$2:$D$180,"="&amp;'Implied Productivity Ratios'!$C83)</f>
        <v>148.77996440205527</v>
      </c>
      <c r="AK83">
        <f>SUMIFS('MoodysData(Raw)'!AN$2:AN$180,'MoodysData(Raw)'!$B$2:$B$180,"=GDP",'MoodysData(Raw)'!$D$2:$D$180,"="&amp;'Implied Productivity Ratios'!$C83)/SUMIFS('MoodysData(Raw)'!AN$2:AN$180,'MoodysData(Raw)'!$B$2:$B$180,"=EMP",'MoodysData(Raw)'!$D$2:$D$180,"="&amp;'Implied Productivity Ratios'!$C83)</f>
        <v>153.05789395253061</v>
      </c>
      <c r="AL83">
        <f>SUMIFS('MoodysData(Raw)'!AO$2:AO$180,'MoodysData(Raw)'!$B$2:$B$180,"=GDP",'MoodysData(Raw)'!$D$2:$D$180,"="&amp;'Implied Productivity Ratios'!$C83)/SUMIFS('MoodysData(Raw)'!AO$2:AO$180,'MoodysData(Raw)'!$B$2:$B$180,"=EMP",'MoodysData(Raw)'!$D$2:$D$180,"="&amp;'Implied Productivity Ratios'!$C83)</f>
        <v>157.34285012419139</v>
      </c>
      <c r="AM83">
        <f>SUMIFS('MoodysData(Raw)'!AP$2:AP$180,'MoodysData(Raw)'!$B$2:$B$180,"=GDP",'MoodysData(Raw)'!$D$2:$D$180,"="&amp;'Implied Productivity Ratios'!$C83)/SUMIFS('MoodysData(Raw)'!AP$2:AP$180,'MoodysData(Raw)'!$B$2:$B$180,"=EMP",'MoodysData(Raw)'!$D$2:$D$180,"="&amp;'Implied Productivity Ratios'!$C83)</f>
        <v>161.6257439607889</v>
      </c>
      <c r="AN83">
        <f>SUMIFS('MoodysData(Raw)'!AQ$2:AQ$180,'MoodysData(Raw)'!$B$2:$B$180,"=GDP",'MoodysData(Raw)'!$D$2:$D$180,"="&amp;'Implied Productivity Ratios'!$C83)/SUMIFS('MoodysData(Raw)'!AQ$2:AQ$180,'MoodysData(Raw)'!$B$2:$B$180,"=EMP",'MoodysData(Raw)'!$D$2:$D$180,"="&amp;'Implied Productivity Ratios'!$C83)</f>
        <v>165.88776136700722</v>
      </c>
      <c r="AO83">
        <f>SUMIFS('MoodysData(Raw)'!AR$2:AR$180,'MoodysData(Raw)'!$B$2:$B$180,"=GDP",'MoodysData(Raw)'!$D$2:$D$180,"="&amp;'Implied Productivity Ratios'!$C83)/SUMIFS('MoodysData(Raw)'!AR$2:AR$180,'MoodysData(Raw)'!$B$2:$B$180,"=EMP",'MoodysData(Raw)'!$D$2:$D$180,"="&amp;'Implied Productivity Ratios'!$C83)</f>
        <v>170.05570133835531</v>
      </c>
      <c r="AP83">
        <f>SUMIFS('MoodysData(Raw)'!AS$2:AS$180,'MoodysData(Raw)'!$B$2:$B$180,"=GDP",'MoodysData(Raw)'!$D$2:$D$180,"="&amp;'Implied Productivity Ratios'!$C83)/SUMIFS('MoodysData(Raw)'!AS$2:AS$180,'MoodysData(Raw)'!$B$2:$B$180,"=EMP",'MoodysData(Raw)'!$D$2:$D$180,"="&amp;'Implied Productivity Ratios'!$C83)</f>
        <v>174.15880016112678</v>
      </c>
      <c r="AQ83">
        <f>SUMIFS('MoodysData(Raw)'!AT$2:AT$180,'MoodysData(Raw)'!$B$2:$B$180,"=GDP",'MoodysData(Raw)'!$D$2:$D$180,"="&amp;'Implied Productivity Ratios'!$C83)/SUMIFS('MoodysData(Raw)'!AT$2:AT$180,'MoodysData(Raw)'!$B$2:$B$180,"=EMP",'MoodysData(Raw)'!$D$2:$D$180,"="&amp;'Implied Productivity Ratios'!$C83)</f>
        <v>178.2179881871117</v>
      </c>
      <c r="AR83">
        <f>SUMIFS('MoodysData(Raw)'!AU$2:AU$180,'MoodysData(Raw)'!$B$2:$B$180,"=GDP",'MoodysData(Raw)'!$D$2:$D$180,"="&amp;'Implied Productivity Ratios'!$C83)/SUMIFS('MoodysData(Raw)'!AU$2:AU$180,'MoodysData(Raw)'!$B$2:$B$180,"=EMP",'MoodysData(Raw)'!$D$2:$D$180,"="&amp;'Implied Productivity Ratios'!$C83)</f>
        <v>182.26156468049143</v>
      </c>
      <c r="AS83">
        <f>SUMIFS('MoodysData(Raw)'!AV$2:AV$180,'MoodysData(Raw)'!$B$2:$B$180,"=GDP",'MoodysData(Raw)'!$D$2:$D$180,"="&amp;'Implied Productivity Ratios'!$C83)/SUMIFS('MoodysData(Raw)'!AV$2:AV$180,'MoodysData(Raw)'!$B$2:$B$180,"=EMP",'MoodysData(Raw)'!$D$2:$D$180,"="&amp;'Implied Productivity Ratios'!$C83)</f>
        <v>186.26766491809249</v>
      </c>
      <c r="AT83">
        <f>SUMIFS('MoodysData(Raw)'!AW$2:AW$180,'MoodysData(Raw)'!$B$2:$B$180,"=GDP",'MoodysData(Raw)'!$D$2:$D$180,"="&amp;'Implied Productivity Ratios'!$C83)/SUMIFS('MoodysData(Raw)'!AW$2:AW$180,'MoodysData(Raw)'!$B$2:$B$180,"=EMP",'MoodysData(Raw)'!$D$2:$D$180,"="&amp;'Implied Productivity Ratios'!$C83)</f>
        <v>190.19631410818971</v>
      </c>
      <c r="AU83">
        <f>SUMIFS('MoodysData(Raw)'!AX$2:AX$180,'MoodysData(Raw)'!$B$2:$B$180,"=GDP",'MoodysData(Raw)'!$D$2:$D$180,"="&amp;'Implied Productivity Ratios'!$C83)/SUMIFS('MoodysData(Raw)'!AX$2:AX$180,'MoodysData(Raw)'!$B$2:$B$180,"=EMP",'MoodysData(Raw)'!$D$2:$D$180,"="&amp;'Implied Productivity Ratios'!$C83)</f>
        <v>194.14375989585167</v>
      </c>
      <c r="AV83">
        <f>SUMIFS('MoodysData(Raw)'!AY$2:AY$180,'MoodysData(Raw)'!$B$2:$B$180,"=GDP",'MoodysData(Raw)'!$D$2:$D$180,"="&amp;'Implied Productivity Ratios'!$C83)/SUMIFS('MoodysData(Raw)'!AY$2:AY$180,'MoodysData(Raw)'!$B$2:$B$180,"=EMP",'MoodysData(Raw)'!$D$2:$D$180,"="&amp;'Implied Productivity Ratios'!$C83)</f>
        <v>198.09949020962748</v>
      </c>
      <c r="AW83">
        <f>SUMIFS('MoodysData(Raw)'!AZ$2:AZ$180,'MoodysData(Raw)'!$B$2:$B$180,"=GDP",'MoodysData(Raw)'!$D$2:$D$180,"="&amp;'Implied Productivity Ratios'!$C83)/SUMIFS('MoodysData(Raw)'!AZ$2:AZ$180,'MoodysData(Raw)'!$B$2:$B$180,"=EMP",'MoodysData(Raw)'!$D$2:$D$180,"="&amp;'Implied Productivity Ratios'!$C83)</f>
        <v>201.95519785378937</v>
      </c>
      <c r="AX83">
        <f>SUMIFS('MoodysData(Raw)'!BA$2:BA$180,'MoodysData(Raw)'!$B$2:$B$180,"=GDP",'MoodysData(Raw)'!$D$2:$D$180,"="&amp;'Implied Productivity Ratios'!$C83)/SUMIFS('MoodysData(Raw)'!BA$2:BA$180,'MoodysData(Raw)'!$B$2:$B$180,"=EMP",'MoodysData(Raw)'!$D$2:$D$180,"="&amp;'Implied Productivity Ratios'!$C83)</f>
        <v>205.69070322653556</v>
      </c>
      <c r="AY83">
        <f>SUMIFS('MoodysData(Raw)'!BB$2:BB$180,'MoodysData(Raw)'!$B$2:$B$180,"=GDP",'MoodysData(Raw)'!$D$2:$D$180,"="&amp;'Implied Productivity Ratios'!$C83)/SUMIFS('MoodysData(Raw)'!BB$2:BB$180,'MoodysData(Raw)'!$B$2:$B$180,"=EMP",'MoodysData(Raw)'!$D$2:$D$180,"="&amp;'Implied Productivity Ratios'!$C83)</f>
        <v>209.3230758367462</v>
      </c>
      <c r="AZ83">
        <f>SUMIFS('MoodysData(Raw)'!BC$2:BC$180,'MoodysData(Raw)'!$B$2:$B$180,"=GDP",'MoodysData(Raw)'!$D$2:$D$180,"="&amp;'Implied Productivity Ratios'!$C83)/SUMIFS('MoodysData(Raw)'!BC$2:BC$180,'MoodysData(Raw)'!$B$2:$B$180,"=EMP",'MoodysData(Raw)'!$D$2:$D$180,"="&amp;'Implied Productivity Ratios'!$C83)</f>
        <v>212.94416379748264</v>
      </c>
      <c r="BA83">
        <f>SUMIFS('MoodysData(Raw)'!BD$2:BD$180,'MoodysData(Raw)'!$B$2:$B$180,"=GDP",'MoodysData(Raw)'!$D$2:$D$180,"="&amp;'Implied Productivity Ratios'!$C83)/SUMIFS('MoodysData(Raw)'!BD$2:BD$180,'MoodysData(Raw)'!$B$2:$B$180,"=EMP",'MoodysData(Raw)'!$D$2:$D$180,"="&amp;'Implied Productivity Ratios'!$C83)</f>
        <v>216.65519332186469</v>
      </c>
      <c r="BB83">
        <f>SUMIFS('MoodysData(Raw)'!BE$2:BE$180,'MoodysData(Raw)'!$B$2:$B$180,"=GDP",'MoodysData(Raw)'!$D$2:$D$180,"="&amp;'Implied Productivity Ratios'!$C83)/SUMIFS('MoodysData(Raw)'!BE$2:BE$180,'MoodysData(Raw)'!$B$2:$B$180,"=EMP",'MoodysData(Raw)'!$D$2:$D$180,"="&amp;'Implied Productivity Ratios'!$C83)</f>
        <v>220.37782944098066</v>
      </c>
      <c r="BC83">
        <f>SUMIFS('MoodysData(Raw)'!BF$2:BF$180,'MoodysData(Raw)'!$B$2:$B$180,"=GDP",'MoodysData(Raw)'!$D$2:$D$180,"="&amp;'Implied Productivity Ratios'!$C83)/SUMIFS('MoodysData(Raw)'!BF$2:BF$180,'MoodysData(Raw)'!$B$2:$B$180,"=EMP",'MoodysData(Raw)'!$D$2:$D$180,"="&amp;'Implied Productivity Ratios'!$C83)</f>
        <v>224.06122247943654</v>
      </c>
      <c r="BD83" s="5">
        <f t="shared" ref="BD83:BH83" si="77">BC83+($BC83-$AX83)/5</f>
        <v>227.73532633001673</v>
      </c>
      <c r="BE83" s="5">
        <f t="shared" si="77"/>
        <v>231.40943018059693</v>
      </c>
      <c r="BF83" s="5">
        <f t="shared" si="77"/>
        <v>235.08353403117712</v>
      </c>
      <c r="BG83" s="5">
        <f t="shared" si="77"/>
        <v>238.75763788175732</v>
      </c>
      <c r="BH83" s="5">
        <f t="shared" si="77"/>
        <v>242.43174173233751</v>
      </c>
    </row>
    <row r="84" spans="3:60">
      <c r="C84">
        <v>713</v>
      </c>
      <c r="D84" t="s">
        <v>440</v>
      </c>
      <c r="E84">
        <f>SUMIFS('MoodysData(Raw)'!H$2:H$180,'MoodysData(Raw)'!$B$2:$B$180,"=GDP",'MoodysData(Raw)'!$D$2:$D$180,"="&amp;'Implied Productivity Ratios'!$C84)/SUMIFS('MoodysData(Raw)'!H$2:H$180,'MoodysData(Raw)'!$B$2:$B$180,"=EMP",'MoodysData(Raw)'!$D$2:$D$180,"="&amp;'Implied Productivity Ratios'!$C84)</f>
        <v>51.374331593325365</v>
      </c>
      <c r="F84">
        <f>SUMIFS('MoodysData(Raw)'!I$2:I$180,'MoodysData(Raw)'!$B$2:$B$180,"=GDP",'MoodysData(Raw)'!$D$2:$D$180,"="&amp;'Implied Productivity Ratios'!$C84)/SUMIFS('MoodysData(Raw)'!I$2:I$180,'MoodysData(Raw)'!$B$2:$B$180,"=EMP",'MoodysData(Raw)'!$D$2:$D$180,"="&amp;'Implied Productivity Ratios'!$C84)</f>
        <v>50.974765809049906</v>
      </c>
      <c r="G84">
        <f>SUMIFS('MoodysData(Raw)'!J$2:J$180,'MoodysData(Raw)'!$B$2:$B$180,"=GDP",'MoodysData(Raw)'!$D$2:$D$180,"="&amp;'Implied Productivity Ratios'!$C84)/SUMIFS('MoodysData(Raw)'!J$2:J$180,'MoodysData(Raw)'!$B$2:$B$180,"=EMP",'MoodysData(Raw)'!$D$2:$D$180,"="&amp;'Implied Productivity Ratios'!$C84)</f>
        <v>52.788851036779093</v>
      </c>
      <c r="H84">
        <f>SUMIFS('MoodysData(Raw)'!K$2:K$180,'MoodysData(Raw)'!$B$2:$B$180,"=GDP",'MoodysData(Raw)'!$D$2:$D$180,"="&amp;'Implied Productivity Ratios'!$C84)/SUMIFS('MoodysData(Raw)'!K$2:K$180,'MoodysData(Raw)'!$B$2:$B$180,"=EMP",'MoodysData(Raw)'!$D$2:$D$180,"="&amp;'Implied Productivity Ratios'!$C84)</f>
        <v>51.138339679783897</v>
      </c>
      <c r="I84">
        <f>SUMIFS('MoodysData(Raw)'!L$2:L$180,'MoodysData(Raw)'!$B$2:$B$180,"=GDP",'MoodysData(Raw)'!$D$2:$D$180,"="&amp;'Implied Productivity Ratios'!$C84)/SUMIFS('MoodysData(Raw)'!L$2:L$180,'MoodysData(Raw)'!$B$2:$B$180,"=EMP",'MoodysData(Raw)'!$D$2:$D$180,"="&amp;'Implied Productivity Ratios'!$C84)</f>
        <v>49.8508032648854</v>
      </c>
      <c r="J84">
        <f>SUMIFS('MoodysData(Raw)'!M$2:M$180,'MoodysData(Raw)'!$B$2:$B$180,"=GDP",'MoodysData(Raw)'!$D$2:$D$180,"="&amp;'Implied Productivity Ratios'!$C84)/SUMIFS('MoodysData(Raw)'!M$2:M$180,'MoodysData(Raw)'!$B$2:$B$180,"=EMP",'MoodysData(Raw)'!$D$2:$D$180,"="&amp;'Implied Productivity Ratios'!$C84)</f>
        <v>54.740159873780051</v>
      </c>
      <c r="K84">
        <f>SUMIFS('MoodysData(Raw)'!N$2:N$180,'MoodysData(Raw)'!$B$2:$B$180,"=GDP",'MoodysData(Raw)'!$D$2:$D$180,"="&amp;'Implied Productivity Ratios'!$C84)/SUMIFS('MoodysData(Raw)'!N$2:N$180,'MoodysData(Raw)'!$B$2:$B$180,"=EMP",'MoodysData(Raw)'!$D$2:$D$180,"="&amp;'Implied Productivity Ratios'!$C84)</f>
        <v>54.058237205895814</v>
      </c>
      <c r="L84">
        <f>SUMIFS('MoodysData(Raw)'!O$2:O$180,'MoodysData(Raw)'!$B$2:$B$180,"=GDP",'MoodysData(Raw)'!$D$2:$D$180,"="&amp;'Implied Productivity Ratios'!$C84)/SUMIFS('MoodysData(Raw)'!O$2:O$180,'MoodysData(Raw)'!$B$2:$B$180,"=EMP",'MoodysData(Raw)'!$D$2:$D$180,"="&amp;'Implied Productivity Ratios'!$C84)</f>
        <v>54.059138019912908</v>
      </c>
      <c r="M84">
        <f>SUMIFS('MoodysData(Raw)'!P$2:P$180,'MoodysData(Raw)'!$B$2:$B$180,"=GDP",'MoodysData(Raw)'!$D$2:$D$180,"="&amp;'Implied Productivity Ratios'!$C84)/SUMIFS('MoodysData(Raw)'!P$2:P$180,'MoodysData(Raw)'!$B$2:$B$180,"=EMP",'MoodysData(Raw)'!$D$2:$D$180,"="&amp;'Implied Productivity Ratios'!$C84)</f>
        <v>54.076484947111474</v>
      </c>
      <c r="N84">
        <f>SUMIFS('MoodysData(Raw)'!Q$2:Q$180,'MoodysData(Raw)'!$B$2:$B$180,"=GDP",'MoodysData(Raw)'!$D$2:$D$180,"="&amp;'Implied Productivity Ratios'!$C84)/SUMIFS('MoodysData(Raw)'!Q$2:Q$180,'MoodysData(Raw)'!$B$2:$B$180,"=EMP",'MoodysData(Raw)'!$D$2:$D$180,"="&amp;'Implied Productivity Ratios'!$C84)</f>
        <v>54.24733542777043</v>
      </c>
      <c r="O84">
        <f>SUMIFS('MoodysData(Raw)'!R$2:R$180,'MoodysData(Raw)'!$B$2:$B$180,"=GDP",'MoodysData(Raw)'!$D$2:$D$180,"="&amp;'Implied Productivity Ratios'!$C84)/SUMIFS('MoodysData(Raw)'!R$2:R$180,'MoodysData(Raw)'!$B$2:$B$180,"=EMP",'MoodysData(Raw)'!$D$2:$D$180,"="&amp;'Implied Productivity Ratios'!$C84)</f>
        <v>52.90052963125914</v>
      </c>
      <c r="P84">
        <f>SUMIFS('MoodysData(Raw)'!S$2:S$180,'MoodysData(Raw)'!$B$2:$B$180,"=GDP",'MoodysData(Raw)'!$D$2:$D$180,"="&amp;'Implied Productivity Ratios'!$C84)/SUMIFS('MoodysData(Raw)'!S$2:S$180,'MoodysData(Raw)'!$B$2:$B$180,"=EMP",'MoodysData(Raw)'!$D$2:$D$180,"="&amp;'Implied Productivity Ratios'!$C84)</f>
        <v>52.244955117008068</v>
      </c>
      <c r="Q84">
        <f>SUMIFS('MoodysData(Raw)'!T$2:T$180,'MoodysData(Raw)'!$B$2:$B$180,"=GDP",'MoodysData(Raw)'!$D$2:$D$180,"="&amp;'Implied Productivity Ratios'!$C84)/SUMIFS('MoodysData(Raw)'!T$2:T$180,'MoodysData(Raw)'!$B$2:$B$180,"=EMP",'MoodysData(Raw)'!$D$2:$D$180,"="&amp;'Implied Productivity Ratios'!$C84)</f>
        <v>52.52005796166533</v>
      </c>
      <c r="R84">
        <f>SUMIFS('MoodysData(Raw)'!U$2:U$180,'MoodysData(Raw)'!$B$2:$B$180,"=GDP",'MoodysData(Raw)'!$D$2:$D$180,"="&amp;'Implied Productivity Ratios'!$C84)/SUMIFS('MoodysData(Raw)'!U$2:U$180,'MoodysData(Raw)'!$B$2:$B$180,"=EMP",'MoodysData(Raw)'!$D$2:$D$180,"="&amp;'Implied Productivity Ratios'!$C84)</f>
        <v>51.955547943633327</v>
      </c>
      <c r="S84">
        <f>SUMIFS('MoodysData(Raw)'!V$2:V$180,'MoodysData(Raw)'!$B$2:$B$180,"=GDP",'MoodysData(Raw)'!$D$2:$D$180,"="&amp;'Implied Productivity Ratios'!$C84)/SUMIFS('MoodysData(Raw)'!V$2:V$180,'MoodysData(Raw)'!$B$2:$B$180,"=EMP",'MoodysData(Raw)'!$D$2:$D$180,"="&amp;'Implied Productivity Ratios'!$C84)</f>
        <v>51.224787203279917</v>
      </c>
      <c r="T84">
        <f>SUMIFS('MoodysData(Raw)'!W$2:W$180,'MoodysData(Raw)'!$B$2:$B$180,"=GDP",'MoodysData(Raw)'!$D$2:$D$180,"="&amp;'Implied Productivity Ratios'!$C84)/SUMIFS('MoodysData(Raw)'!W$2:W$180,'MoodysData(Raw)'!$B$2:$B$180,"=EMP",'MoodysData(Raw)'!$D$2:$D$180,"="&amp;'Implied Productivity Ratios'!$C84)</f>
        <v>49.066185604806002</v>
      </c>
      <c r="U84">
        <f>SUMIFS('MoodysData(Raw)'!X$2:X$180,'MoodysData(Raw)'!$B$2:$B$180,"=GDP",'MoodysData(Raw)'!$D$2:$D$180,"="&amp;'Implied Productivity Ratios'!$C84)/SUMIFS('MoodysData(Raw)'!X$2:X$180,'MoodysData(Raw)'!$B$2:$B$180,"=EMP",'MoodysData(Raw)'!$D$2:$D$180,"="&amp;'Implied Productivity Ratios'!$C84)</f>
        <v>57.084529878124194</v>
      </c>
      <c r="V84">
        <f>SUMIFS('MoodysData(Raw)'!Y$2:Y$180,'MoodysData(Raw)'!$B$2:$B$180,"=GDP",'MoodysData(Raw)'!$D$2:$D$180,"="&amp;'Implied Productivity Ratios'!$C84)/SUMIFS('MoodysData(Raw)'!Y$2:Y$180,'MoodysData(Raw)'!$B$2:$B$180,"=EMP",'MoodysData(Raw)'!$D$2:$D$180,"="&amp;'Implied Productivity Ratios'!$C84)</f>
        <v>56.531653024110092</v>
      </c>
      <c r="W84">
        <f>SUMIFS('MoodysData(Raw)'!Z$2:Z$180,'MoodysData(Raw)'!$B$2:$B$180,"=GDP",'MoodysData(Raw)'!$D$2:$D$180,"="&amp;'Implied Productivity Ratios'!$C84)/SUMIFS('MoodysData(Raw)'!Z$2:Z$180,'MoodysData(Raw)'!$B$2:$B$180,"=EMP",'MoodysData(Raw)'!$D$2:$D$180,"="&amp;'Implied Productivity Ratios'!$C84)</f>
        <v>53.750016148247084</v>
      </c>
      <c r="X84">
        <f>SUMIFS('MoodysData(Raw)'!AA$2:AA$180,'MoodysData(Raw)'!$B$2:$B$180,"=GDP",'MoodysData(Raw)'!$D$2:$D$180,"="&amp;'Implied Productivity Ratios'!$C84)/SUMIFS('MoodysData(Raw)'!AA$2:AA$180,'MoodysData(Raw)'!$B$2:$B$180,"=EMP",'MoodysData(Raw)'!$D$2:$D$180,"="&amp;'Implied Productivity Ratios'!$C84)</f>
        <v>52.349016768362858</v>
      </c>
      <c r="Y84">
        <f>SUMIFS('MoodysData(Raw)'!AB$2:AB$180,'MoodysData(Raw)'!$B$2:$B$180,"=GDP",'MoodysData(Raw)'!$D$2:$D$180,"="&amp;'Implied Productivity Ratios'!$C84)/SUMIFS('MoodysData(Raw)'!AB$2:AB$180,'MoodysData(Raw)'!$B$2:$B$180,"=EMP",'MoodysData(Raw)'!$D$2:$D$180,"="&amp;'Implied Productivity Ratios'!$C84)</f>
        <v>52.871102077028389</v>
      </c>
      <c r="Z84">
        <f>SUMIFS('MoodysData(Raw)'!AC$2:AC$180,'MoodysData(Raw)'!$B$2:$B$180,"=GDP",'MoodysData(Raw)'!$D$2:$D$180,"="&amp;'Implied Productivity Ratios'!$C84)/SUMIFS('MoodysData(Raw)'!AC$2:AC$180,'MoodysData(Raw)'!$B$2:$B$180,"=EMP",'MoodysData(Raw)'!$D$2:$D$180,"="&amp;'Implied Productivity Ratios'!$C84)</f>
        <v>52.771507334499418</v>
      </c>
      <c r="AA84">
        <f>SUMIFS('MoodysData(Raw)'!AD$2:AD$180,'MoodysData(Raw)'!$B$2:$B$180,"=GDP",'MoodysData(Raw)'!$D$2:$D$180,"="&amp;'Implied Productivity Ratios'!$C84)/SUMIFS('MoodysData(Raw)'!AD$2:AD$180,'MoodysData(Raw)'!$B$2:$B$180,"=EMP",'MoodysData(Raw)'!$D$2:$D$180,"="&amp;'Implied Productivity Ratios'!$C84)</f>
        <v>52.495821404199468</v>
      </c>
      <c r="AB84">
        <f>SUMIFS('MoodysData(Raw)'!AE$2:AE$180,'MoodysData(Raw)'!$B$2:$B$180,"=GDP",'MoodysData(Raw)'!$D$2:$D$180,"="&amp;'Implied Productivity Ratios'!$C84)/SUMIFS('MoodysData(Raw)'!AE$2:AE$180,'MoodysData(Raw)'!$B$2:$B$180,"=EMP",'MoodysData(Raw)'!$D$2:$D$180,"="&amp;'Implied Productivity Ratios'!$C84)</f>
        <v>52.277947079873378</v>
      </c>
      <c r="AC84">
        <f>SUMIFS('MoodysData(Raw)'!AF$2:AF$180,'MoodysData(Raw)'!$B$2:$B$180,"=GDP",'MoodysData(Raw)'!$D$2:$D$180,"="&amp;'Implied Productivity Ratios'!$C84)/SUMIFS('MoodysData(Raw)'!AF$2:AF$180,'MoodysData(Raw)'!$B$2:$B$180,"=EMP",'MoodysData(Raw)'!$D$2:$D$180,"="&amp;'Implied Productivity Ratios'!$C84)</f>
        <v>52.274047643672212</v>
      </c>
      <c r="AD84">
        <f>SUMIFS('MoodysData(Raw)'!AG$2:AG$180,'MoodysData(Raw)'!$B$2:$B$180,"=GDP",'MoodysData(Raw)'!$D$2:$D$180,"="&amp;'Implied Productivity Ratios'!$C84)/SUMIFS('MoodysData(Raw)'!AG$2:AG$180,'MoodysData(Raw)'!$B$2:$B$180,"=EMP",'MoodysData(Raw)'!$D$2:$D$180,"="&amp;'Implied Productivity Ratios'!$C84)</f>
        <v>52.461704555688939</v>
      </c>
      <c r="AE84">
        <f>SUMIFS('MoodysData(Raw)'!AH$2:AH$180,'MoodysData(Raw)'!$B$2:$B$180,"=GDP",'MoodysData(Raw)'!$D$2:$D$180,"="&amp;'Implied Productivity Ratios'!$C84)/SUMIFS('MoodysData(Raw)'!AH$2:AH$180,'MoodysData(Raw)'!$B$2:$B$180,"=EMP",'MoodysData(Raw)'!$D$2:$D$180,"="&amp;'Implied Productivity Ratios'!$C84)</f>
        <v>52.670807720633391</v>
      </c>
      <c r="AF84">
        <f>SUMIFS('MoodysData(Raw)'!AI$2:AI$180,'MoodysData(Raw)'!$B$2:$B$180,"=GDP",'MoodysData(Raw)'!$D$2:$D$180,"="&amp;'Implied Productivity Ratios'!$C84)/SUMIFS('MoodysData(Raw)'!AI$2:AI$180,'MoodysData(Raw)'!$B$2:$B$180,"=EMP",'MoodysData(Raw)'!$D$2:$D$180,"="&amp;'Implied Productivity Ratios'!$C84)</f>
        <v>52.924636913980009</v>
      </c>
      <c r="AG84">
        <f>SUMIFS('MoodysData(Raw)'!AJ$2:AJ$180,'MoodysData(Raw)'!$B$2:$B$180,"=GDP",'MoodysData(Raw)'!$D$2:$D$180,"="&amp;'Implied Productivity Ratios'!$C84)/SUMIFS('MoodysData(Raw)'!AJ$2:AJ$180,'MoodysData(Raw)'!$B$2:$B$180,"=EMP",'MoodysData(Raw)'!$D$2:$D$180,"="&amp;'Implied Productivity Ratios'!$C84)</f>
        <v>53.219227269663676</v>
      </c>
      <c r="AH84">
        <f>SUMIFS('MoodysData(Raw)'!AK$2:AK$180,'MoodysData(Raw)'!$B$2:$B$180,"=GDP",'MoodysData(Raw)'!$D$2:$D$180,"="&amp;'Implied Productivity Ratios'!$C84)/SUMIFS('MoodysData(Raw)'!AK$2:AK$180,'MoodysData(Raw)'!$B$2:$B$180,"=EMP",'MoodysData(Raw)'!$D$2:$D$180,"="&amp;'Implied Productivity Ratios'!$C84)</f>
        <v>53.425439481130006</v>
      </c>
      <c r="AI84">
        <f>SUMIFS('MoodysData(Raw)'!AL$2:AL$180,'MoodysData(Raw)'!$B$2:$B$180,"=GDP",'MoodysData(Raw)'!$D$2:$D$180,"="&amp;'Implied Productivity Ratios'!$C84)/SUMIFS('MoodysData(Raw)'!AL$2:AL$180,'MoodysData(Raw)'!$B$2:$B$180,"=EMP",'MoodysData(Raw)'!$D$2:$D$180,"="&amp;'Implied Productivity Ratios'!$C84)</f>
        <v>53.608971613254937</v>
      </c>
      <c r="AJ84">
        <f>SUMIFS('MoodysData(Raw)'!AM$2:AM$180,'MoodysData(Raw)'!$B$2:$B$180,"=GDP",'MoodysData(Raw)'!$D$2:$D$180,"="&amp;'Implied Productivity Ratios'!$C84)/SUMIFS('MoodysData(Raw)'!AM$2:AM$180,'MoodysData(Raw)'!$B$2:$B$180,"=EMP",'MoodysData(Raw)'!$D$2:$D$180,"="&amp;'Implied Productivity Ratios'!$C84)</f>
        <v>53.903931978161559</v>
      </c>
      <c r="AK84">
        <f>SUMIFS('MoodysData(Raw)'!AN$2:AN$180,'MoodysData(Raw)'!$B$2:$B$180,"=GDP",'MoodysData(Raw)'!$D$2:$D$180,"="&amp;'Implied Productivity Ratios'!$C84)/SUMIFS('MoodysData(Raw)'!AN$2:AN$180,'MoodysData(Raw)'!$B$2:$B$180,"=EMP",'MoodysData(Raw)'!$D$2:$D$180,"="&amp;'Implied Productivity Ratios'!$C84)</f>
        <v>54.270426857772108</v>
      </c>
      <c r="AL84">
        <f>SUMIFS('MoodysData(Raw)'!AO$2:AO$180,'MoodysData(Raw)'!$B$2:$B$180,"=GDP",'MoodysData(Raw)'!$D$2:$D$180,"="&amp;'Implied Productivity Ratios'!$C84)/SUMIFS('MoodysData(Raw)'!AO$2:AO$180,'MoodysData(Raw)'!$B$2:$B$180,"=EMP",'MoodysData(Raw)'!$D$2:$D$180,"="&amp;'Implied Productivity Ratios'!$C84)</f>
        <v>54.663392457344493</v>
      </c>
      <c r="AM84">
        <f>SUMIFS('MoodysData(Raw)'!AP$2:AP$180,'MoodysData(Raw)'!$B$2:$B$180,"=GDP",'MoodysData(Raw)'!$D$2:$D$180,"="&amp;'Implied Productivity Ratios'!$C84)/SUMIFS('MoodysData(Raw)'!AP$2:AP$180,'MoodysData(Raw)'!$B$2:$B$180,"=EMP",'MoodysData(Raw)'!$D$2:$D$180,"="&amp;'Implied Productivity Ratios'!$C84)</f>
        <v>55.084533928449822</v>
      </c>
      <c r="AN84">
        <f>SUMIFS('MoodysData(Raw)'!AQ$2:AQ$180,'MoodysData(Raw)'!$B$2:$B$180,"=GDP",'MoodysData(Raw)'!$D$2:$D$180,"="&amp;'Implied Productivity Ratios'!$C84)/SUMIFS('MoodysData(Raw)'!AQ$2:AQ$180,'MoodysData(Raw)'!$B$2:$B$180,"=EMP",'MoodysData(Raw)'!$D$2:$D$180,"="&amp;'Implied Productivity Ratios'!$C84)</f>
        <v>55.52957792966869</v>
      </c>
      <c r="AO84">
        <f>SUMIFS('MoodysData(Raw)'!AR$2:AR$180,'MoodysData(Raw)'!$B$2:$B$180,"=GDP",'MoodysData(Raw)'!$D$2:$D$180,"="&amp;'Implied Productivity Ratios'!$C84)/SUMIFS('MoodysData(Raw)'!AR$2:AR$180,'MoodysData(Raw)'!$B$2:$B$180,"=EMP",'MoodysData(Raw)'!$D$2:$D$180,"="&amp;'Implied Productivity Ratios'!$C84)</f>
        <v>55.977184357297759</v>
      </c>
      <c r="AP84">
        <f>SUMIFS('MoodysData(Raw)'!AS$2:AS$180,'MoodysData(Raw)'!$B$2:$B$180,"=GDP",'MoodysData(Raw)'!$D$2:$D$180,"="&amp;'Implied Productivity Ratios'!$C84)/SUMIFS('MoodysData(Raw)'!AS$2:AS$180,'MoodysData(Raw)'!$B$2:$B$180,"=EMP",'MoodysData(Raw)'!$D$2:$D$180,"="&amp;'Implied Productivity Ratios'!$C84)</f>
        <v>56.441093182419849</v>
      </c>
      <c r="AQ84">
        <f>SUMIFS('MoodysData(Raw)'!AT$2:AT$180,'MoodysData(Raw)'!$B$2:$B$180,"=GDP",'MoodysData(Raw)'!$D$2:$D$180,"="&amp;'Implied Productivity Ratios'!$C84)/SUMIFS('MoodysData(Raw)'!AT$2:AT$180,'MoodysData(Raw)'!$B$2:$B$180,"=EMP",'MoodysData(Raw)'!$D$2:$D$180,"="&amp;'Implied Productivity Ratios'!$C84)</f>
        <v>56.930365774257389</v>
      </c>
      <c r="AR84">
        <f>SUMIFS('MoodysData(Raw)'!AU$2:AU$180,'MoodysData(Raw)'!$B$2:$B$180,"=GDP",'MoodysData(Raw)'!$D$2:$D$180,"="&amp;'Implied Productivity Ratios'!$C84)/SUMIFS('MoodysData(Raw)'!AU$2:AU$180,'MoodysData(Raw)'!$B$2:$B$180,"=EMP",'MoodysData(Raw)'!$D$2:$D$180,"="&amp;'Implied Productivity Ratios'!$C84)</f>
        <v>57.458720349589804</v>
      </c>
      <c r="AS84">
        <f>SUMIFS('MoodysData(Raw)'!AV$2:AV$180,'MoodysData(Raw)'!$B$2:$B$180,"=GDP",'MoodysData(Raw)'!$D$2:$D$180,"="&amp;'Implied Productivity Ratios'!$C84)/SUMIFS('MoodysData(Raw)'!AV$2:AV$180,'MoodysData(Raw)'!$B$2:$B$180,"=EMP",'MoodysData(Raw)'!$D$2:$D$180,"="&amp;'Implied Productivity Ratios'!$C84)</f>
        <v>58.022644560184133</v>
      </c>
      <c r="AT84">
        <f>SUMIFS('MoodysData(Raw)'!AW$2:AW$180,'MoodysData(Raw)'!$B$2:$B$180,"=GDP",'MoodysData(Raw)'!$D$2:$D$180,"="&amp;'Implied Productivity Ratios'!$C84)/SUMIFS('MoodysData(Raw)'!AW$2:AW$180,'MoodysData(Raw)'!$B$2:$B$180,"=EMP",'MoodysData(Raw)'!$D$2:$D$180,"="&amp;'Implied Productivity Ratios'!$C84)</f>
        <v>58.611693493863456</v>
      </c>
      <c r="AU84">
        <f>SUMIFS('MoodysData(Raw)'!AX$2:AX$180,'MoodysData(Raw)'!$B$2:$B$180,"=GDP",'MoodysData(Raw)'!$D$2:$D$180,"="&amp;'Implied Productivity Ratios'!$C84)/SUMIFS('MoodysData(Raw)'!AX$2:AX$180,'MoodysData(Raw)'!$B$2:$B$180,"=EMP",'MoodysData(Raw)'!$D$2:$D$180,"="&amp;'Implied Productivity Ratios'!$C84)</f>
        <v>59.258559133552211</v>
      </c>
      <c r="AV84">
        <f>SUMIFS('MoodysData(Raw)'!AY$2:AY$180,'MoodysData(Raw)'!$B$2:$B$180,"=GDP",'MoodysData(Raw)'!$D$2:$D$180,"="&amp;'Implied Productivity Ratios'!$C84)/SUMIFS('MoodysData(Raw)'!AY$2:AY$180,'MoodysData(Raw)'!$B$2:$B$180,"=EMP",'MoodysData(Raw)'!$D$2:$D$180,"="&amp;'Implied Productivity Ratios'!$C84)</f>
        <v>59.964383387360826</v>
      </c>
      <c r="AW84">
        <f>SUMIFS('MoodysData(Raw)'!AZ$2:AZ$180,'MoodysData(Raw)'!$B$2:$B$180,"=GDP",'MoodysData(Raw)'!$D$2:$D$180,"="&amp;'Implied Productivity Ratios'!$C84)/SUMIFS('MoodysData(Raw)'!AZ$2:AZ$180,'MoodysData(Raw)'!$B$2:$B$180,"=EMP",'MoodysData(Raw)'!$D$2:$D$180,"="&amp;'Implied Productivity Ratios'!$C84)</f>
        <v>60.698902855862471</v>
      </c>
      <c r="AX84">
        <f>SUMIFS('MoodysData(Raw)'!BA$2:BA$180,'MoodysData(Raw)'!$B$2:$B$180,"=GDP",'MoodysData(Raw)'!$D$2:$D$180,"="&amp;'Implied Productivity Ratios'!$C84)/SUMIFS('MoodysData(Raw)'!BA$2:BA$180,'MoodysData(Raw)'!$B$2:$B$180,"=EMP",'MoodysData(Raw)'!$D$2:$D$180,"="&amp;'Implied Productivity Ratios'!$C84)</f>
        <v>61.458779830008957</v>
      </c>
      <c r="AY84">
        <f>SUMIFS('MoodysData(Raw)'!BB$2:BB$180,'MoodysData(Raw)'!$B$2:$B$180,"=GDP",'MoodysData(Raw)'!$D$2:$D$180,"="&amp;'Implied Productivity Ratios'!$C84)/SUMIFS('MoodysData(Raw)'!BB$2:BB$180,'MoodysData(Raw)'!$B$2:$B$180,"=EMP",'MoodysData(Raw)'!$D$2:$D$180,"="&amp;'Implied Productivity Ratios'!$C84)</f>
        <v>62.253387633018406</v>
      </c>
      <c r="AZ84">
        <f>SUMIFS('MoodysData(Raw)'!BC$2:BC$180,'MoodysData(Raw)'!$B$2:$B$180,"=GDP",'MoodysData(Raw)'!$D$2:$D$180,"="&amp;'Implied Productivity Ratios'!$C84)/SUMIFS('MoodysData(Raw)'!BC$2:BC$180,'MoodysData(Raw)'!$B$2:$B$180,"=EMP",'MoodysData(Raw)'!$D$2:$D$180,"="&amp;'Implied Productivity Ratios'!$C84)</f>
        <v>63.113744195815244</v>
      </c>
      <c r="BA84">
        <f>SUMIFS('MoodysData(Raw)'!BD$2:BD$180,'MoodysData(Raw)'!$B$2:$B$180,"=GDP",'MoodysData(Raw)'!$D$2:$D$180,"="&amp;'Implied Productivity Ratios'!$C84)/SUMIFS('MoodysData(Raw)'!BD$2:BD$180,'MoodysData(Raw)'!$B$2:$B$180,"=EMP",'MoodysData(Raw)'!$D$2:$D$180,"="&amp;'Implied Productivity Ratios'!$C84)</f>
        <v>64.076507419514456</v>
      </c>
      <c r="BB84">
        <f>SUMIFS('MoodysData(Raw)'!BE$2:BE$180,'MoodysData(Raw)'!$B$2:$B$180,"=GDP",'MoodysData(Raw)'!$D$2:$D$180,"="&amp;'Implied Productivity Ratios'!$C84)/SUMIFS('MoodysData(Raw)'!BE$2:BE$180,'MoodysData(Raw)'!$B$2:$B$180,"=EMP",'MoodysData(Raw)'!$D$2:$D$180,"="&amp;'Implied Productivity Ratios'!$C84)</f>
        <v>65.118530044884949</v>
      </c>
      <c r="BC84">
        <f>SUMIFS('MoodysData(Raw)'!BF$2:BF$180,'MoodysData(Raw)'!$B$2:$B$180,"=GDP",'MoodysData(Raw)'!$D$2:$D$180,"="&amp;'Implied Productivity Ratios'!$C84)/SUMIFS('MoodysData(Raw)'!BF$2:BF$180,'MoodysData(Raw)'!$B$2:$B$180,"=EMP",'MoodysData(Raw)'!$D$2:$D$180,"="&amp;'Implied Productivity Ratios'!$C84)</f>
        <v>66.227521628071415</v>
      </c>
      <c r="BD84" s="5">
        <f t="shared" ref="BD84:BH84" si="78">BC84+($BC84-$AX84)/5</f>
        <v>67.181269987683905</v>
      </c>
      <c r="BE84" s="5">
        <f t="shared" si="78"/>
        <v>68.135018347296395</v>
      </c>
      <c r="BF84" s="5">
        <f t="shared" si="78"/>
        <v>69.088766706908885</v>
      </c>
      <c r="BG84" s="5">
        <f t="shared" si="78"/>
        <v>70.042515066521375</v>
      </c>
      <c r="BH84" s="5">
        <f t="shared" si="78"/>
        <v>70.996263426133865</v>
      </c>
    </row>
    <row r="85" spans="3:60">
      <c r="C85">
        <v>721</v>
      </c>
      <c r="D85" t="s">
        <v>444</v>
      </c>
      <c r="E85">
        <f>SUMIFS('MoodysData(Raw)'!H$2:H$180,'MoodysData(Raw)'!$B$2:$B$180,"=GDP",'MoodysData(Raw)'!$D$2:$D$180,"="&amp;'Implied Productivity Ratios'!$C85)/SUMIFS('MoodysData(Raw)'!H$2:H$180,'MoodysData(Raw)'!$B$2:$B$180,"=EMP",'MoodysData(Raw)'!$D$2:$D$180,"="&amp;'Implied Productivity Ratios'!$C85)</f>
        <v>78.880084355047174</v>
      </c>
      <c r="F85">
        <f>SUMIFS('MoodysData(Raw)'!I$2:I$180,'MoodysData(Raw)'!$B$2:$B$180,"=GDP",'MoodysData(Raw)'!$D$2:$D$180,"="&amp;'Implied Productivity Ratios'!$C85)/SUMIFS('MoodysData(Raw)'!I$2:I$180,'MoodysData(Raw)'!$B$2:$B$180,"=EMP",'MoodysData(Raw)'!$D$2:$D$180,"="&amp;'Implied Productivity Ratios'!$C85)</f>
        <v>80.236105569973006</v>
      </c>
      <c r="G85">
        <f>SUMIFS('MoodysData(Raw)'!J$2:J$180,'MoodysData(Raw)'!$B$2:$B$180,"=GDP",'MoodysData(Raw)'!$D$2:$D$180,"="&amp;'Implied Productivity Ratios'!$C85)/SUMIFS('MoodysData(Raw)'!J$2:J$180,'MoodysData(Raw)'!$B$2:$B$180,"=EMP",'MoodysData(Raw)'!$D$2:$D$180,"="&amp;'Implied Productivity Ratios'!$C85)</f>
        <v>80.385958650929211</v>
      </c>
      <c r="H85">
        <f>SUMIFS('MoodysData(Raw)'!K$2:K$180,'MoodysData(Raw)'!$B$2:$B$180,"=GDP",'MoodysData(Raw)'!$D$2:$D$180,"="&amp;'Implied Productivity Ratios'!$C85)/SUMIFS('MoodysData(Raw)'!K$2:K$180,'MoodysData(Raw)'!$B$2:$B$180,"=EMP",'MoodysData(Raw)'!$D$2:$D$180,"="&amp;'Implied Productivity Ratios'!$C85)</f>
        <v>77.251865255224388</v>
      </c>
      <c r="I85">
        <f>SUMIFS('MoodysData(Raw)'!L$2:L$180,'MoodysData(Raw)'!$B$2:$B$180,"=GDP",'MoodysData(Raw)'!$D$2:$D$180,"="&amp;'Implied Productivity Ratios'!$C85)/SUMIFS('MoodysData(Raw)'!L$2:L$180,'MoodysData(Raw)'!$B$2:$B$180,"=EMP",'MoodysData(Raw)'!$D$2:$D$180,"="&amp;'Implied Productivity Ratios'!$C85)</f>
        <v>72.286156697861571</v>
      </c>
      <c r="J85">
        <f>SUMIFS('MoodysData(Raw)'!M$2:M$180,'MoodysData(Raw)'!$B$2:$B$180,"=GDP",'MoodysData(Raw)'!$D$2:$D$180,"="&amp;'Implied Productivity Ratios'!$C85)/SUMIFS('MoodysData(Raw)'!M$2:M$180,'MoodysData(Raw)'!$B$2:$B$180,"=EMP",'MoodysData(Raw)'!$D$2:$D$180,"="&amp;'Implied Productivity Ratios'!$C85)</f>
        <v>76.763592498829425</v>
      </c>
      <c r="K85">
        <f>SUMIFS('MoodysData(Raw)'!N$2:N$180,'MoodysData(Raw)'!$B$2:$B$180,"=GDP",'MoodysData(Raw)'!$D$2:$D$180,"="&amp;'Implied Productivity Ratios'!$C85)/SUMIFS('MoodysData(Raw)'!N$2:N$180,'MoodysData(Raw)'!$B$2:$B$180,"=EMP",'MoodysData(Raw)'!$D$2:$D$180,"="&amp;'Implied Productivity Ratios'!$C85)</f>
        <v>80.677830754738181</v>
      </c>
      <c r="L85">
        <f>SUMIFS('MoodysData(Raw)'!O$2:O$180,'MoodysData(Raw)'!$B$2:$B$180,"=GDP",'MoodysData(Raw)'!$D$2:$D$180,"="&amp;'Implied Productivity Ratios'!$C85)/SUMIFS('MoodysData(Raw)'!O$2:O$180,'MoodysData(Raw)'!$B$2:$B$180,"=EMP",'MoodysData(Raw)'!$D$2:$D$180,"="&amp;'Implied Productivity Ratios'!$C85)</f>
        <v>80.612828728931206</v>
      </c>
      <c r="M85">
        <f>SUMIFS('MoodysData(Raw)'!P$2:P$180,'MoodysData(Raw)'!$B$2:$B$180,"=GDP",'MoodysData(Raw)'!$D$2:$D$180,"="&amp;'Implied Productivity Ratios'!$C85)/SUMIFS('MoodysData(Raw)'!P$2:P$180,'MoodysData(Raw)'!$B$2:$B$180,"=EMP",'MoodysData(Raw)'!$D$2:$D$180,"="&amp;'Implied Productivity Ratios'!$C85)</f>
        <v>83.278599545900335</v>
      </c>
      <c r="N85">
        <f>SUMIFS('MoodysData(Raw)'!Q$2:Q$180,'MoodysData(Raw)'!$B$2:$B$180,"=GDP",'MoodysData(Raw)'!$D$2:$D$180,"="&amp;'Implied Productivity Ratios'!$C85)/SUMIFS('MoodysData(Raw)'!Q$2:Q$180,'MoodysData(Raw)'!$B$2:$B$180,"=EMP",'MoodysData(Raw)'!$D$2:$D$180,"="&amp;'Implied Productivity Ratios'!$C85)</f>
        <v>83.517631395088259</v>
      </c>
      <c r="O85">
        <f>SUMIFS('MoodysData(Raw)'!R$2:R$180,'MoodysData(Raw)'!$B$2:$B$180,"=GDP",'MoodysData(Raw)'!$D$2:$D$180,"="&amp;'Implied Productivity Ratios'!$C85)/SUMIFS('MoodysData(Raw)'!R$2:R$180,'MoodysData(Raw)'!$B$2:$B$180,"=EMP",'MoodysData(Raw)'!$D$2:$D$180,"="&amp;'Implied Productivity Ratios'!$C85)</f>
        <v>88.63773735530593</v>
      </c>
      <c r="P85">
        <f>SUMIFS('MoodysData(Raw)'!S$2:S$180,'MoodysData(Raw)'!$B$2:$B$180,"=GDP",'MoodysData(Raw)'!$D$2:$D$180,"="&amp;'Implied Productivity Ratios'!$C85)/SUMIFS('MoodysData(Raw)'!S$2:S$180,'MoodysData(Raw)'!$B$2:$B$180,"=EMP",'MoodysData(Raw)'!$D$2:$D$180,"="&amp;'Implied Productivity Ratios'!$C85)</f>
        <v>86.870624634243526</v>
      </c>
      <c r="Q85">
        <f>SUMIFS('MoodysData(Raw)'!T$2:T$180,'MoodysData(Raw)'!$B$2:$B$180,"=GDP",'MoodysData(Raw)'!$D$2:$D$180,"="&amp;'Implied Productivity Ratios'!$C85)/SUMIFS('MoodysData(Raw)'!T$2:T$180,'MoodysData(Raw)'!$B$2:$B$180,"=EMP",'MoodysData(Raw)'!$D$2:$D$180,"="&amp;'Implied Productivity Ratios'!$C85)</f>
        <v>88.35560691972988</v>
      </c>
      <c r="R85">
        <f>SUMIFS('MoodysData(Raw)'!U$2:U$180,'MoodysData(Raw)'!$B$2:$B$180,"=GDP",'MoodysData(Raw)'!$D$2:$D$180,"="&amp;'Implied Productivity Ratios'!$C85)/SUMIFS('MoodysData(Raw)'!U$2:U$180,'MoodysData(Raw)'!$B$2:$B$180,"=EMP",'MoodysData(Raw)'!$D$2:$D$180,"="&amp;'Implied Productivity Ratios'!$C85)</f>
        <v>87.734026089860691</v>
      </c>
      <c r="S85">
        <f>SUMIFS('MoodysData(Raw)'!V$2:V$180,'MoodysData(Raw)'!$B$2:$B$180,"=GDP",'MoodysData(Raw)'!$D$2:$D$180,"="&amp;'Implied Productivity Ratios'!$C85)/SUMIFS('MoodysData(Raw)'!V$2:V$180,'MoodysData(Raw)'!$B$2:$B$180,"=EMP",'MoodysData(Raw)'!$D$2:$D$180,"="&amp;'Implied Productivity Ratios'!$C85)</f>
        <v>87.655833826351852</v>
      </c>
      <c r="T85">
        <f>SUMIFS('MoodysData(Raw)'!W$2:W$180,'MoodysData(Raw)'!$B$2:$B$180,"=GDP",'MoodysData(Raw)'!$D$2:$D$180,"="&amp;'Implied Productivity Ratios'!$C85)/SUMIFS('MoodysData(Raw)'!W$2:W$180,'MoodysData(Raw)'!$B$2:$B$180,"=EMP",'MoodysData(Raw)'!$D$2:$D$180,"="&amp;'Implied Productivity Ratios'!$C85)</f>
        <v>93.849802899712714</v>
      </c>
      <c r="U85">
        <f>SUMIFS('MoodysData(Raw)'!X$2:X$180,'MoodysData(Raw)'!$B$2:$B$180,"=GDP",'MoodysData(Raw)'!$D$2:$D$180,"="&amp;'Implied Productivity Ratios'!$C85)/SUMIFS('MoodysData(Raw)'!X$2:X$180,'MoodysData(Raw)'!$B$2:$B$180,"=EMP",'MoodysData(Raw)'!$D$2:$D$180,"="&amp;'Implied Productivity Ratios'!$C85)</f>
        <v>112.97316660240595</v>
      </c>
      <c r="V85">
        <f>SUMIFS('MoodysData(Raw)'!Y$2:Y$180,'MoodysData(Raw)'!$B$2:$B$180,"=GDP",'MoodysData(Raw)'!$D$2:$D$180,"="&amp;'Implied Productivity Ratios'!$C85)/SUMIFS('MoodysData(Raw)'!Y$2:Y$180,'MoodysData(Raw)'!$B$2:$B$180,"=EMP",'MoodysData(Raw)'!$D$2:$D$180,"="&amp;'Implied Productivity Ratios'!$C85)</f>
        <v>101.20895416990325</v>
      </c>
      <c r="W85">
        <f>SUMIFS('MoodysData(Raw)'!Z$2:Z$180,'MoodysData(Raw)'!$B$2:$B$180,"=GDP",'MoodysData(Raw)'!$D$2:$D$180,"="&amp;'Implied Productivity Ratios'!$C85)/SUMIFS('MoodysData(Raw)'!Z$2:Z$180,'MoodysData(Raw)'!$B$2:$B$180,"=EMP",'MoodysData(Raw)'!$D$2:$D$180,"="&amp;'Implied Productivity Ratios'!$C85)</f>
        <v>102.23685421789388</v>
      </c>
      <c r="X85">
        <f>SUMIFS('MoodysData(Raw)'!AA$2:AA$180,'MoodysData(Raw)'!$B$2:$B$180,"=GDP",'MoodysData(Raw)'!$D$2:$D$180,"="&amp;'Implied Productivity Ratios'!$C85)/SUMIFS('MoodysData(Raw)'!AA$2:AA$180,'MoodysData(Raw)'!$B$2:$B$180,"=EMP",'MoodysData(Raw)'!$D$2:$D$180,"="&amp;'Implied Productivity Ratios'!$C85)</f>
        <v>103.28211299648713</v>
      </c>
      <c r="Y85">
        <f>SUMIFS('MoodysData(Raw)'!AB$2:AB$180,'MoodysData(Raw)'!$B$2:$B$180,"=GDP",'MoodysData(Raw)'!$D$2:$D$180,"="&amp;'Implied Productivity Ratios'!$C85)/SUMIFS('MoodysData(Raw)'!AB$2:AB$180,'MoodysData(Raw)'!$B$2:$B$180,"=EMP",'MoodysData(Raw)'!$D$2:$D$180,"="&amp;'Implied Productivity Ratios'!$C85)</f>
        <v>105.09963015808047</v>
      </c>
      <c r="Z85">
        <f>SUMIFS('MoodysData(Raw)'!AC$2:AC$180,'MoodysData(Raw)'!$B$2:$B$180,"=GDP",'MoodysData(Raw)'!$D$2:$D$180,"="&amp;'Implied Productivity Ratios'!$C85)/SUMIFS('MoodysData(Raw)'!AC$2:AC$180,'MoodysData(Raw)'!$B$2:$B$180,"=EMP",'MoodysData(Raw)'!$D$2:$D$180,"="&amp;'Implied Productivity Ratios'!$C85)</f>
        <v>108.08622657280132</v>
      </c>
      <c r="AA85">
        <f>SUMIFS('MoodysData(Raw)'!AD$2:AD$180,'MoodysData(Raw)'!$B$2:$B$180,"=GDP",'MoodysData(Raw)'!$D$2:$D$180,"="&amp;'Implied Productivity Ratios'!$C85)/SUMIFS('MoodysData(Raw)'!AD$2:AD$180,'MoodysData(Raw)'!$B$2:$B$180,"=EMP",'MoodysData(Raw)'!$D$2:$D$180,"="&amp;'Implied Productivity Ratios'!$C85)</f>
        <v>111.10564039264897</v>
      </c>
      <c r="AB85">
        <f>SUMIFS('MoodysData(Raw)'!AE$2:AE$180,'MoodysData(Raw)'!$B$2:$B$180,"=GDP",'MoodysData(Raw)'!$D$2:$D$180,"="&amp;'Implied Productivity Ratios'!$C85)/SUMIFS('MoodysData(Raw)'!AE$2:AE$180,'MoodysData(Raw)'!$B$2:$B$180,"=EMP",'MoodysData(Raw)'!$D$2:$D$180,"="&amp;'Implied Productivity Ratios'!$C85)</f>
        <v>114.19399014502817</v>
      </c>
      <c r="AC85">
        <f>SUMIFS('MoodysData(Raw)'!AF$2:AF$180,'MoodysData(Raw)'!$B$2:$B$180,"=GDP",'MoodysData(Raw)'!$D$2:$D$180,"="&amp;'Implied Productivity Ratios'!$C85)/SUMIFS('MoodysData(Raw)'!AF$2:AF$180,'MoodysData(Raw)'!$B$2:$B$180,"=EMP",'MoodysData(Raw)'!$D$2:$D$180,"="&amp;'Implied Productivity Ratios'!$C85)</f>
        <v>117.40575538352856</v>
      </c>
      <c r="AD85">
        <f>SUMIFS('MoodysData(Raw)'!AG$2:AG$180,'MoodysData(Raw)'!$B$2:$B$180,"=GDP",'MoodysData(Raw)'!$D$2:$D$180,"="&amp;'Implied Productivity Ratios'!$C85)/SUMIFS('MoodysData(Raw)'!AG$2:AG$180,'MoodysData(Raw)'!$B$2:$B$180,"=EMP",'MoodysData(Raw)'!$D$2:$D$180,"="&amp;'Implied Productivity Ratios'!$C85)</f>
        <v>120.68887753739705</v>
      </c>
      <c r="AE85">
        <f>SUMIFS('MoodysData(Raw)'!AH$2:AH$180,'MoodysData(Raw)'!$B$2:$B$180,"=GDP",'MoodysData(Raw)'!$D$2:$D$180,"="&amp;'Implied Productivity Ratios'!$C85)/SUMIFS('MoodysData(Raw)'!AH$2:AH$180,'MoodysData(Raw)'!$B$2:$B$180,"=EMP",'MoodysData(Raw)'!$D$2:$D$180,"="&amp;'Implied Productivity Ratios'!$C85)</f>
        <v>123.85315148193432</v>
      </c>
      <c r="AF85">
        <f>SUMIFS('MoodysData(Raw)'!AI$2:AI$180,'MoodysData(Raw)'!$B$2:$B$180,"=GDP",'MoodysData(Raw)'!$D$2:$D$180,"="&amp;'Implied Productivity Ratios'!$C85)/SUMIFS('MoodysData(Raw)'!AI$2:AI$180,'MoodysData(Raw)'!$B$2:$B$180,"=EMP",'MoodysData(Raw)'!$D$2:$D$180,"="&amp;'Implied Productivity Ratios'!$C85)</f>
        <v>127.00195129237618</v>
      </c>
      <c r="AG85">
        <f>SUMIFS('MoodysData(Raw)'!AJ$2:AJ$180,'MoodysData(Raw)'!$B$2:$B$180,"=GDP",'MoodysData(Raw)'!$D$2:$D$180,"="&amp;'Implied Productivity Ratios'!$C85)/SUMIFS('MoodysData(Raw)'!AJ$2:AJ$180,'MoodysData(Raw)'!$B$2:$B$180,"=EMP",'MoodysData(Raw)'!$D$2:$D$180,"="&amp;'Implied Productivity Ratios'!$C85)</f>
        <v>130.16672386505797</v>
      </c>
      <c r="AH85">
        <f>SUMIFS('MoodysData(Raw)'!AK$2:AK$180,'MoodysData(Raw)'!$B$2:$B$180,"=GDP",'MoodysData(Raw)'!$D$2:$D$180,"="&amp;'Implied Productivity Ratios'!$C85)/SUMIFS('MoodysData(Raw)'!AK$2:AK$180,'MoodysData(Raw)'!$B$2:$B$180,"=EMP",'MoodysData(Raw)'!$D$2:$D$180,"="&amp;'Implied Productivity Ratios'!$C85)</f>
        <v>133.14659113574365</v>
      </c>
      <c r="AI85">
        <f>SUMIFS('MoodysData(Raw)'!AL$2:AL$180,'MoodysData(Raw)'!$B$2:$B$180,"=GDP",'MoodysData(Raw)'!$D$2:$D$180,"="&amp;'Implied Productivity Ratios'!$C85)/SUMIFS('MoodysData(Raw)'!AL$2:AL$180,'MoodysData(Raw)'!$B$2:$B$180,"=EMP",'MoodysData(Raw)'!$D$2:$D$180,"="&amp;'Implied Productivity Ratios'!$C85)</f>
        <v>136.07715343990509</v>
      </c>
      <c r="AJ85">
        <f>SUMIFS('MoodysData(Raw)'!AM$2:AM$180,'MoodysData(Raw)'!$B$2:$B$180,"=GDP",'MoodysData(Raw)'!$D$2:$D$180,"="&amp;'Implied Productivity Ratios'!$C85)/SUMIFS('MoodysData(Raw)'!AM$2:AM$180,'MoodysData(Raw)'!$B$2:$B$180,"=EMP",'MoodysData(Raw)'!$D$2:$D$180,"="&amp;'Implied Productivity Ratios'!$C85)</f>
        <v>139.20400823324042</v>
      </c>
      <c r="AK85">
        <f>SUMIFS('MoodysData(Raw)'!AN$2:AN$180,'MoodysData(Raw)'!$B$2:$B$180,"=GDP",'MoodysData(Raw)'!$D$2:$D$180,"="&amp;'Implied Productivity Ratios'!$C85)/SUMIFS('MoodysData(Raw)'!AN$2:AN$180,'MoodysData(Raw)'!$B$2:$B$180,"=EMP",'MoodysData(Raw)'!$D$2:$D$180,"="&amp;'Implied Productivity Ratios'!$C85)</f>
        <v>142.4635529109915</v>
      </c>
      <c r="AL85">
        <f>SUMIFS('MoodysData(Raw)'!AO$2:AO$180,'MoodysData(Raw)'!$B$2:$B$180,"=GDP",'MoodysData(Raw)'!$D$2:$D$180,"="&amp;'Implied Productivity Ratios'!$C85)/SUMIFS('MoodysData(Raw)'!AO$2:AO$180,'MoodysData(Raw)'!$B$2:$B$180,"=EMP",'MoodysData(Raw)'!$D$2:$D$180,"="&amp;'Implied Productivity Ratios'!$C85)</f>
        <v>145.68445173821996</v>
      </c>
      <c r="AM85">
        <f>SUMIFS('MoodysData(Raw)'!AP$2:AP$180,'MoodysData(Raw)'!$B$2:$B$180,"=GDP",'MoodysData(Raw)'!$D$2:$D$180,"="&amp;'Implied Productivity Ratios'!$C85)/SUMIFS('MoodysData(Raw)'!AP$2:AP$180,'MoodysData(Raw)'!$B$2:$B$180,"=EMP",'MoodysData(Raw)'!$D$2:$D$180,"="&amp;'Implied Productivity Ratios'!$C85)</f>
        <v>148.86603177697734</v>
      </c>
      <c r="AN85">
        <f>SUMIFS('MoodysData(Raw)'!AQ$2:AQ$180,'MoodysData(Raw)'!$B$2:$B$180,"=GDP",'MoodysData(Raw)'!$D$2:$D$180,"="&amp;'Implied Productivity Ratios'!$C85)/SUMIFS('MoodysData(Raw)'!AQ$2:AQ$180,'MoodysData(Raw)'!$B$2:$B$180,"=EMP",'MoodysData(Raw)'!$D$2:$D$180,"="&amp;'Implied Productivity Ratios'!$C85)</f>
        <v>151.97155822865327</v>
      </c>
      <c r="AO85">
        <f>SUMIFS('MoodysData(Raw)'!AR$2:AR$180,'MoodysData(Raw)'!$B$2:$B$180,"=GDP",'MoodysData(Raw)'!$D$2:$D$180,"="&amp;'Implied Productivity Ratios'!$C85)/SUMIFS('MoodysData(Raw)'!AR$2:AR$180,'MoodysData(Raw)'!$B$2:$B$180,"=EMP",'MoodysData(Raw)'!$D$2:$D$180,"="&amp;'Implied Productivity Ratios'!$C85)</f>
        <v>154.94722864717329</v>
      </c>
      <c r="AP85">
        <f>SUMIFS('MoodysData(Raw)'!AS$2:AS$180,'MoodysData(Raw)'!$B$2:$B$180,"=GDP",'MoodysData(Raw)'!$D$2:$D$180,"="&amp;'Implied Productivity Ratios'!$C85)/SUMIFS('MoodysData(Raw)'!AS$2:AS$180,'MoodysData(Raw)'!$B$2:$B$180,"=EMP",'MoodysData(Raw)'!$D$2:$D$180,"="&amp;'Implied Productivity Ratios'!$C85)</f>
        <v>157.85493528118758</v>
      </c>
      <c r="AQ85">
        <f>SUMIFS('MoodysData(Raw)'!AT$2:AT$180,'MoodysData(Raw)'!$B$2:$B$180,"=GDP",'MoodysData(Raw)'!$D$2:$D$180,"="&amp;'Implied Productivity Ratios'!$C85)/SUMIFS('MoodysData(Raw)'!AT$2:AT$180,'MoodysData(Raw)'!$B$2:$B$180,"=EMP",'MoodysData(Raw)'!$D$2:$D$180,"="&amp;'Implied Productivity Ratios'!$C85)</f>
        <v>160.75111410821714</v>
      </c>
      <c r="AR85">
        <f>SUMIFS('MoodysData(Raw)'!AU$2:AU$180,'MoodysData(Raw)'!$B$2:$B$180,"=GDP",'MoodysData(Raw)'!$D$2:$D$180,"="&amp;'Implied Productivity Ratios'!$C85)/SUMIFS('MoodysData(Raw)'!AU$2:AU$180,'MoodysData(Raw)'!$B$2:$B$180,"=EMP",'MoodysData(Raw)'!$D$2:$D$180,"="&amp;'Implied Productivity Ratios'!$C85)</f>
        <v>163.64936147123231</v>
      </c>
      <c r="AS85">
        <f>SUMIFS('MoodysData(Raw)'!AV$2:AV$180,'MoodysData(Raw)'!$B$2:$B$180,"=GDP",'MoodysData(Raw)'!$D$2:$D$180,"="&amp;'Implied Productivity Ratios'!$C85)/SUMIFS('MoodysData(Raw)'!AV$2:AV$180,'MoodysData(Raw)'!$B$2:$B$180,"=EMP",'MoodysData(Raw)'!$D$2:$D$180,"="&amp;'Implied Productivity Ratios'!$C85)</f>
        <v>166.51561183836952</v>
      </c>
      <c r="AT85">
        <f>SUMIFS('MoodysData(Raw)'!AW$2:AW$180,'MoodysData(Raw)'!$B$2:$B$180,"=GDP",'MoodysData(Raw)'!$D$2:$D$180,"="&amp;'Implied Productivity Ratios'!$C85)/SUMIFS('MoodysData(Raw)'!AW$2:AW$180,'MoodysData(Raw)'!$B$2:$B$180,"=EMP",'MoodysData(Raw)'!$D$2:$D$180,"="&amp;'Implied Productivity Ratios'!$C85)</f>
        <v>169.31561565670387</v>
      </c>
      <c r="AU85">
        <f>SUMIFS('MoodysData(Raw)'!AX$2:AX$180,'MoodysData(Raw)'!$B$2:$B$180,"=GDP",'MoodysData(Raw)'!$D$2:$D$180,"="&amp;'Implied Productivity Ratios'!$C85)/SUMIFS('MoodysData(Raw)'!AX$2:AX$180,'MoodysData(Raw)'!$B$2:$B$180,"=EMP",'MoodysData(Raw)'!$D$2:$D$180,"="&amp;'Implied Productivity Ratios'!$C85)</f>
        <v>172.18223426748708</v>
      </c>
      <c r="AV85">
        <f>SUMIFS('MoodysData(Raw)'!AY$2:AY$180,'MoodysData(Raw)'!$B$2:$B$180,"=GDP",'MoodysData(Raw)'!$D$2:$D$180,"="&amp;'Implied Productivity Ratios'!$C85)/SUMIFS('MoodysData(Raw)'!AY$2:AY$180,'MoodysData(Raw)'!$B$2:$B$180,"=EMP",'MoodysData(Raw)'!$D$2:$D$180,"="&amp;'Implied Productivity Ratios'!$C85)</f>
        <v>175.08550933276629</v>
      </c>
      <c r="AW85">
        <f>SUMIFS('MoodysData(Raw)'!AZ$2:AZ$180,'MoodysData(Raw)'!$B$2:$B$180,"=GDP",'MoodysData(Raw)'!$D$2:$D$180,"="&amp;'Implied Productivity Ratios'!$C85)/SUMIFS('MoodysData(Raw)'!AZ$2:AZ$180,'MoodysData(Raw)'!$B$2:$B$180,"=EMP",'MoodysData(Raw)'!$D$2:$D$180,"="&amp;'Implied Productivity Ratios'!$C85)</f>
        <v>177.91740499050331</v>
      </c>
      <c r="AX85">
        <f>SUMIFS('MoodysData(Raw)'!BA$2:BA$180,'MoodysData(Raw)'!$B$2:$B$180,"=GDP",'MoodysData(Raw)'!$D$2:$D$180,"="&amp;'Implied Productivity Ratios'!$C85)/SUMIFS('MoodysData(Raw)'!BA$2:BA$180,'MoodysData(Raw)'!$B$2:$B$180,"=EMP",'MoodysData(Raw)'!$D$2:$D$180,"="&amp;'Implied Productivity Ratios'!$C85)</f>
        <v>180.71401923511971</v>
      </c>
      <c r="AY85">
        <f>SUMIFS('MoodysData(Raw)'!BB$2:BB$180,'MoodysData(Raw)'!$B$2:$B$180,"=GDP",'MoodysData(Raw)'!$D$2:$D$180,"="&amp;'Implied Productivity Ratios'!$C85)/SUMIFS('MoodysData(Raw)'!BB$2:BB$180,'MoodysData(Raw)'!$B$2:$B$180,"=EMP",'MoodysData(Raw)'!$D$2:$D$180,"="&amp;'Implied Productivity Ratios'!$C85)</f>
        <v>183.48609869675906</v>
      </c>
      <c r="AZ85">
        <f>SUMIFS('MoodysData(Raw)'!BC$2:BC$180,'MoodysData(Raw)'!$B$2:$B$180,"=GDP",'MoodysData(Raw)'!$D$2:$D$180,"="&amp;'Implied Productivity Ratios'!$C85)/SUMIFS('MoodysData(Raw)'!BC$2:BC$180,'MoodysData(Raw)'!$B$2:$B$180,"=EMP",'MoodysData(Raw)'!$D$2:$D$180,"="&amp;'Implied Productivity Ratios'!$C85)</f>
        <v>186.30121911630846</v>
      </c>
      <c r="BA85">
        <f>SUMIFS('MoodysData(Raw)'!BD$2:BD$180,'MoodysData(Raw)'!$B$2:$B$180,"=GDP",'MoodysData(Raw)'!$D$2:$D$180,"="&amp;'Implied Productivity Ratios'!$C85)/SUMIFS('MoodysData(Raw)'!BD$2:BD$180,'MoodysData(Raw)'!$B$2:$B$180,"=EMP",'MoodysData(Raw)'!$D$2:$D$180,"="&amp;'Implied Productivity Ratios'!$C85)</f>
        <v>189.28724764850486</v>
      </c>
      <c r="BB85">
        <f>SUMIFS('MoodysData(Raw)'!BE$2:BE$180,'MoodysData(Raw)'!$B$2:$B$180,"=GDP",'MoodysData(Raw)'!$D$2:$D$180,"="&amp;'Implied Productivity Ratios'!$C85)/SUMIFS('MoodysData(Raw)'!BE$2:BE$180,'MoodysData(Raw)'!$B$2:$B$180,"=EMP",'MoodysData(Raw)'!$D$2:$D$180,"="&amp;'Implied Productivity Ratios'!$C85)</f>
        <v>192.34208810968201</v>
      </c>
      <c r="BC85">
        <f>SUMIFS('MoodysData(Raw)'!BF$2:BF$180,'MoodysData(Raw)'!$B$2:$B$180,"=GDP",'MoodysData(Raw)'!$D$2:$D$180,"="&amp;'Implied Productivity Ratios'!$C85)/SUMIFS('MoodysData(Raw)'!BF$2:BF$180,'MoodysData(Raw)'!$B$2:$B$180,"=EMP",'MoodysData(Raw)'!$D$2:$D$180,"="&amp;'Implied Productivity Ratios'!$C85)</f>
        <v>195.39330197948152</v>
      </c>
      <c r="BD85" s="5">
        <f t="shared" ref="BD85:BH85" si="79">BC85+($BC85-$AX85)/5</f>
        <v>198.32915852835387</v>
      </c>
      <c r="BE85" s="5">
        <f t="shared" si="79"/>
        <v>201.26501507722622</v>
      </c>
      <c r="BF85" s="5">
        <f t="shared" si="79"/>
        <v>204.20087162609858</v>
      </c>
      <c r="BG85" s="5">
        <f t="shared" si="79"/>
        <v>207.13672817497093</v>
      </c>
      <c r="BH85" s="5">
        <f t="shared" si="79"/>
        <v>210.07258472384328</v>
      </c>
    </row>
    <row r="86" spans="3:60">
      <c r="C86">
        <v>722</v>
      </c>
      <c r="D86" t="s">
        <v>448</v>
      </c>
      <c r="E86">
        <f>SUMIFS('MoodysData(Raw)'!H$2:H$180,'MoodysData(Raw)'!$B$2:$B$180,"=GDP",'MoodysData(Raw)'!$D$2:$D$180,"="&amp;'Implied Productivity Ratios'!$C86)/SUMIFS('MoodysData(Raw)'!H$2:H$180,'MoodysData(Raw)'!$B$2:$B$180,"=EMP",'MoodysData(Raw)'!$D$2:$D$180,"="&amp;'Implied Productivity Ratios'!$C86)</f>
        <v>42.030861549582177</v>
      </c>
      <c r="F86">
        <f>SUMIFS('MoodysData(Raw)'!I$2:I$180,'MoodysData(Raw)'!$B$2:$B$180,"=GDP",'MoodysData(Raw)'!$D$2:$D$180,"="&amp;'Implied Productivity Ratios'!$C86)/SUMIFS('MoodysData(Raw)'!I$2:I$180,'MoodysData(Raw)'!$B$2:$B$180,"=EMP",'MoodysData(Raw)'!$D$2:$D$180,"="&amp;'Implied Productivity Ratios'!$C86)</f>
        <v>42.068783736387822</v>
      </c>
      <c r="G86">
        <f>SUMIFS('MoodysData(Raw)'!J$2:J$180,'MoodysData(Raw)'!$B$2:$B$180,"=GDP",'MoodysData(Raw)'!$D$2:$D$180,"="&amp;'Implied Productivity Ratios'!$C86)/SUMIFS('MoodysData(Raw)'!J$2:J$180,'MoodysData(Raw)'!$B$2:$B$180,"=EMP",'MoodysData(Raw)'!$D$2:$D$180,"="&amp;'Implied Productivity Ratios'!$C86)</f>
        <v>40.397687302582163</v>
      </c>
      <c r="H86">
        <f>SUMIFS('MoodysData(Raw)'!K$2:K$180,'MoodysData(Raw)'!$B$2:$B$180,"=GDP",'MoodysData(Raw)'!$D$2:$D$180,"="&amp;'Implied Productivity Ratios'!$C86)/SUMIFS('MoodysData(Raw)'!K$2:K$180,'MoodysData(Raw)'!$B$2:$B$180,"=EMP",'MoodysData(Raw)'!$D$2:$D$180,"="&amp;'Implied Productivity Ratios'!$C86)</f>
        <v>39.039743102181646</v>
      </c>
      <c r="I86">
        <f>SUMIFS('MoodysData(Raw)'!L$2:L$180,'MoodysData(Raw)'!$B$2:$B$180,"=GDP",'MoodysData(Raw)'!$D$2:$D$180,"="&amp;'Implied Productivity Ratios'!$C86)/SUMIFS('MoodysData(Raw)'!L$2:L$180,'MoodysData(Raw)'!$B$2:$B$180,"=EMP",'MoodysData(Raw)'!$D$2:$D$180,"="&amp;'Implied Productivity Ratios'!$C86)</f>
        <v>37.722821316621115</v>
      </c>
      <c r="J86">
        <f>SUMIFS('MoodysData(Raw)'!M$2:M$180,'MoodysData(Raw)'!$B$2:$B$180,"=GDP",'MoodysData(Raw)'!$D$2:$D$180,"="&amp;'Implied Productivity Ratios'!$C86)/SUMIFS('MoodysData(Raw)'!M$2:M$180,'MoodysData(Raw)'!$B$2:$B$180,"=EMP",'MoodysData(Raw)'!$D$2:$D$180,"="&amp;'Implied Productivity Ratios'!$C86)</f>
        <v>38.860526874923785</v>
      </c>
      <c r="K86">
        <f>SUMIFS('MoodysData(Raw)'!N$2:N$180,'MoodysData(Raw)'!$B$2:$B$180,"=GDP",'MoodysData(Raw)'!$D$2:$D$180,"="&amp;'Implied Productivity Ratios'!$C86)/SUMIFS('MoodysData(Raw)'!N$2:N$180,'MoodysData(Raw)'!$B$2:$B$180,"=EMP",'MoodysData(Raw)'!$D$2:$D$180,"="&amp;'Implied Productivity Ratios'!$C86)</f>
        <v>39.023473383611709</v>
      </c>
      <c r="L86">
        <f>SUMIFS('MoodysData(Raw)'!O$2:O$180,'MoodysData(Raw)'!$B$2:$B$180,"=GDP",'MoodysData(Raw)'!$D$2:$D$180,"="&amp;'Implied Productivity Ratios'!$C86)/SUMIFS('MoodysData(Raw)'!O$2:O$180,'MoodysData(Raw)'!$B$2:$B$180,"=EMP",'MoodysData(Raw)'!$D$2:$D$180,"="&amp;'Implied Productivity Ratios'!$C86)</f>
        <v>38.412687910425539</v>
      </c>
      <c r="M86">
        <f>SUMIFS('MoodysData(Raw)'!P$2:P$180,'MoodysData(Raw)'!$B$2:$B$180,"=GDP",'MoodysData(Raw)'!$D$2:$D$180,"="&amp;'Implied Productivity Ratios'!$C86)/SUMIFS('MoodysData(Raw)'!P$2:P$180,'MoodysData(Raw)'!$B$2:$B$180,"=EMP",'MoodysData(Raw)'!$D$2:$D$180,"="&amp;'Implied Productivity Ratios'!$C86)</f>
        <v>37.816752391459232</v>
      </c>
      <c r="N86">
        <f>SUMIFS('MoodysData(Raw)'!Q$2:Q$180,'MoodysData(Raw)'!$B$2:$B$180,"=GDP",'MoodysData(Raw)'!$D$2:$D$180,"="&amp;'Implied Productivity Ratios'!$C86)/SUMIFS('MoodysData(Raw)'!Q$2:Q$180,'MoodysData(Raw)'!$B$2:$B$180,"=EMP",'MoodysData(Raw)'!$D$2:$D$180,"="&amp;'Implied Productivity Ratios'!$C86)</f>
        <v>38.200094726533784</v>
      </c>
      <c r="O86">
        <f>SUMIFS('MoodysData(Raw)'!R$2:R$180,'MoodysData(Raw)'!$B$2:$B$180,"=GDP",'MoodysData(Raw)'!$D$2:$D$180,"="&amp;'Implied Productivity Ratios'!$C86)/SUMIFS('MoodysData(Raw)'!R$2:R$180,'MoodysData(Raw)'!$B$2:$B$180,"=EMP",'MoodysData(Raw)'!$D$2:$D$180,"="&amp;'Implied Productivity Ratios'!$C86)</f>
        <v>38.40174170124228</v>
      </c>
      <c r="P86">
        <f>SUMIFS('MoodysData(Raw)'!S$2:S$180,'MoodysData(Raw)'!$B$2:$B$180,"=GDP",'MoodysData(Raw)'!$D$2:$D$180,"="&amp;'Implied Productivity Ratios'!$C86)/SUMIFS('MoodysData(Raw)'!S$2:S$180,'MoodysData(Raw)'!$B$2:$B$180,"=EMP",'MoodysData(Raw)'!$D$2:$D$180,"="&amp;'Implied Productivity Ratios'!$C86)</f>
        <v>37.95046723036527</v>
      </c>
      <c r="Q86">
        <f>SUMIFS('MoodysData(Raw)'!T$2:T$180,'MoodysData(Raw)'!$B$2:$B$180,"=GDP",'MoodysData(Raw)'!$D$2:$D$180,"="&amp;'Implied Productivity Ratios'!$C86)/SUMIFS('MoodysData(Raw)'!T$2:T$180,'MoodysData(Raw)'!$B$2:$B$180,"=EMP",'MoodysData(Raw)'!$D$2:$D$180,"="&amp;'Implied Productivity Ratios'!$C86)</f>
        <v>37.828965790019168</v>
      </c>
      <c r="R86">
        <f>SUMIFS('MoodysData(Raw)'!U$2:U$180,'MoodysData(Raw)'!$B$2:$B$180,"=GDP",'MoodysData(Raw)'!$D$2:$D$180,"="&amp;'Implied Productivity Ratios'!$C86)/SUMIFS('MoodysData(Raw)'!U$2:U$180,'MoodysData(Raw)'!$B$2:$B$180,"=EMP",'MoodysData(Raw)'!$D$2:$D$180,"="&amp;'Implied Productivity Ratios'!$C86)</f>
        <v>37.750219030468486</v>
      </c>
      <c r="S86">
        <f>SUMIFS('MoodysData(Raw)'!V$2:V$180,'MoodysData(Raw)'!$B$2:$B$180,"=GDP",'MoodysData(Raw)'!$D$2:$D$180,"="&amp;'Implied Productivity Ratios'!$C86)/SUMIFS('MoodysData(Raw)'!V$2:V$180,'MoodysData(Raw)'!$B$2:$B$180,"=EMP",'MoodysData(Raw)'!$D$2:$D$180,"="&amp;'Implied Productivity Ratios'!$C86)</f>
        <v>38.173497680685692</v>
      </c>
      <c r="T86">
        <f>SUMIFS('MoodysData(Raw)'!W$2:W$180,'MoodysData(Raw)'!$B$2:$B$180,"=GDP",'MoodysData(Raw)'!$D$2:$D$180,"="&amp;'Implied Productivity Ratios'!$C86)/SUMIFS('MoodysData(Raw)'!W$2:W$180,'MoodysData(Raw)'!$B$2:$B$180,"=EMP",'MoodysData(Raw)'!$D$2:$D$180,"="&amp;'Implied Productivity Ratios'!$C86)</f>
        <v>35.749266275160984</v>
      </c>
      <c r="U86">
        <f>SUMIFS('MoodysData(Raw)'!X$2:X$180,'MoodysData(Raw)'!$B$2:$B$180,"=GDP",'MoodysData(Raw)'!$D$2:$D$180,"="&amp;'Implied Productivity Ratios'!$C86)/SUMIFS('MoodysData(Raw)'!X$2:X$180,'MoodysData(Raw)'!$B$2:$B$180,"=EMP",'MoodysData(Raw)'!$D$2:$D$180,"="&amp;'Implied Productivity Ratios'!$C86)</f>
        <v>40.299566346951444</v>
      </c>
      <c r="V86">
        <f>SUMIFS('MoodysData(Raw)'!Y$2:Y$180,'MoodysData(Raw)'!$B$2:$B$180,"=GDP",'MoodysData(Raw)'!$D$2:$D$180,"="&amp;'Implied Productivity Ratios'!$C86)/SUMIFS('MoodysData(Raw)'!Y$2:Y$180,'MoodysData(Raw)'!$B$2:$B$180,"=EMP",'MoodysData(Raw)'!$D$2:$D$180,"="&amp;'Implied Productivity Ratios'!$C86)</f>
        <v>38.735540858046448</v>
      </c>
      <c r="W86">
        <f>SUMIFS('MoodysData(Raw)'!Z$2:Z$180,'MoodysData(Raw)'!$B$2:$B$180,"=GDP",'MoodysData(Raw)'!$D$2:$D$180,"="&amp;'Implied Productivity Ratios'!$C86)/SUMIFS('MoodysData(Raw)'!Z$2:Z$180,'MoodysData(Raw)'!$B$2:$B$180,"=EMP",'MoodysData(Raw)'!$D$2:$D$180,"="&amp;'Implied Productivity Ratios'!$C86)</f>
        <v>37.709533870566432</v>
      </c>
      <c r="X86">
        <f>SUMIFS('MoodysData(Raw)'!AA$2:AA$180,'MoodysData(Raw)'!$B$2:$B$180,"=GDP",'MoodysData(Raw)'!$D$2:$D$180,"="&amp;'Implied Productivity Ratios'!$C86)/SUMIFS('MoodysData(Raw)'!AA$2:AA$180,'MoodysData(Raw)'!$B$2:$B$180,"=EMP",'MoodysData(Raw)'!$D$2:$D$180,"="&amp;'Implied Productivity Ratios'!$C86)</f>
        <v>36.869510218715682</v>
      </c>
      <c r="Y86">
        <f>SUMIFS('MoodysData(Raw)'!AB$2:AB$180,'MoodysData(Raw)'!$B$2:$B$180,"=GDP",'MoodysData(Raw)'!$D$2:$D$180,"="&amp;'Implied Productivity Ratios'!$C86)/SUMIFS('MoodysData(Raw)'!AB$2:AB$180,'MoodysData(Raw)'!$B$2:$B$180,"=EMP",'MoodysData(Raw)'!$D$2:$D$180,"="&amp;'Implied Productivity Ratios'!$C86)</f>
        <v>37.158226081857933</v>
      </c>
      <c r="Z86">
        <f>SUMIFS('MoodysData(Raw)'!AC$2:AC$180,'MoodysData(Raw)'!$B$2:$B$180,"=GDP",'MoodysData(Raw)'!$D$2:$D$180,"="&amp;'Implied Productivity Ratios'!$C86)/SUMIFS('MoodysData(Raw)'!AC$2:AC$180,'MoodysData(Raw)'!$B$2:$B$180,"=EMP",'MoodysData(Raw)'!$D$2:$D$180,"="&amp;'Implied Productivity Ratios'!$C86)</f>
        <v>37.38883872505064</v>
      </c>
      <c r="AA86">
        <f>SUMIFS('MoodysData(Raw)'!AD$2:AD$180,'MoodysData(Raw)'!$B$2:$B$180,"=GDP",'MoodysData(Raw)'!$D$2:$D$180,"="&amp;'Implied Productivity Ratios'!$C86)/SUMIFS('MoodysData(Raw)'!AD$2:AD$180,'MoodysData(Raw)'!$B$2:$B$180,"=EMP",'MoodysData(Raw)'!$D$2:$D$180,"="&amp;'Implied Productivity Ratios'!$C86)</f>
        <v>37.638845776634838</v>
      </c>
      <c r="AB86">
        <f>SUMIFS('MoodysData(Raw)'!AE$2:AE$180,'MoodysData(Raw)'!$B$2:$B$180,"=GDP",'MoodysData(Raw)'!$D$2:$D$180,"="&amp;'Implied Productivity Ratios'!$C86)/SUMIFS('MoodysData(Raw)'!AE$2:AE$180,'MoodysData(Raw)'!$B$2:$B$180,"=EMP",'MoodysData(Raw)'!$D$2:$D$180,"="&amp;'Implied Productivity Ratios'!$C86)</f>
        <v>37.911705537035765</v>
      </c>
      <c r="AC86">
        <f>SUMIFS('MoodysData(Raw)'!AF$2:AF$180,'MoodysData(Raw)'!$B$2:$B$180,"=GDP",'MoodysData(Raw)'!$D$2:$D$180,"="&amp;'Implied Productivity Ratios'!$C86)/SUMIFS('MoodysData(Raw)'!AF$2:AF$180,'MoodysData(Raw)'!$B$2:$B$180,"=EMP",'MoodysData(Raw)'!$D$2:$D$180,"="&amp;'Implied Productivity Ratios'!$C86)</f>
        <v>38.216229869686877</v>
      </c>
      <c r="AD86">
        <f>SUMIFS('MoodysData(Raw)'!AG$2:AG$180,'MoodysData(Raw)'!$B$2:$B$180,"=GDP",'MoodysData(Raw)'!$D$2:$D$180,"="&amp;'Implied Productivity Ratios'!$C86)/SUMIFS('MoodysData(Raw)'!AG$2:AG$180,'MoodysData(Raw)'!$B$2:$B$180,"=EMP",'MoodysData(Raw)'!$D$2:$D$180,"="&amp;'Implied Productivity Ratios'!$C86)</f>
        <v>38.534254206755378</v>
      </c>
      <c r="AE86">
        <f>SUMIFS('MoodysData(Raw)'!AH$2:AH$180,'MoodysData(Raw)'!$B$2:$B$180,"=GDP",'MoodysData(Raw)'!$D$2:$D$180,"="&amp;'Implied Productivity Ratios'!$C86)/SUMIFS('MoodysData(Raw)'!AH$2:AH$180,'MoodysData(Raw)'!$B$2:$B$180,"=EMP",'MoodysData(Raw)'!$D$2:$D$180,"="&amp;'Implied Productivity Ratios'!$C86)</f>
        <v>38.815079553335707</v>
      </c>
      <c r="AF86">
        <f>SUMIFS('MoodysData(Raw)'!AI$2:AI$180,'MoodysData(Raw)'!$B$2:$B$180,"=GDP",'MoodysData(Raw)'!$D$2:$D$180,"="&amp;'Implied Productivity Ratios'!$C86)/SUMIFS('MoodysData(Raw)'!AI$2:AI$180,'MoodysData(Raw)'!$B$2:$B$180,"=EMP",'MoodysData(Raw)'!$D$2:$D$180,"="&amp;'Implied Productivity Ratios'!$C86)</f>
        <v>39.099769980193834</v>
      </c>
      <c r="AG86">
        <f>SUMIFS('MoodysData(Raw)'!AJ$2:AJ$180,'MoodysData(Raw)'!$B$2:$B$180,"=GDP",'MoodysData(Raw)'!$D$2:$D$180,"="&amp;'Implied Productivity Ratios'!$C86)/SUMIFS('MoodysData(Raw)'!AJ$2:AJ$180,'MoodysData(Raw)'!$B$2:$B$180,"=EMP",'MoodysData(Raw)'!$D$2:$D$180,"="&amp;'Implied Productivity Ratios'!$C86)</f>
        <v>39.401788106668775</v>
      </c>
      <c r="AH86">
        <f>SUMIFS('MoodysData(Raw)'!AK$2:AK$180,'MoodysData(Raw)'!$B$2:$B$180,"=GDP",'MoodysData(Raw)'!$D$2:$D$180,"="&amp;'Implied Productivity Ratios'!$C86)/SUMIFS('MoodysData(Raw)'!AK$2:AK$180,'MoodysData(Raw)'!$B$2:$B$180,"=EMP",'MoodysData(Raw)'!$D$2:$D$180,"="&amp;'Implied Productivity Ratios'!$C86)</f>
        <v>39.662138614247063</v>
      </c>
      <c r="AI86">
        <f>SUMIFS('MoodysData(Raw)'!AL$2:AL$180,'MoodysData(Raw)'!$B$2:$B$180,"=GDP",'MoodysData(Raw)'!$D$2:$D$180,"="&amp;'Implied Productivity Ratios'!$C86)/SUMIFS('MoodysData(Raw)'!AL$2:AL$180,'MoodysData(Raw)'!$B$2:$B$180,"=EMP",'MoodysData(Raw)'!$D$2:$D$180,"="&amp;'Implied Productivity Ratios'!$C86)</f>
        <v>39.919559813159779</v>
      </c>
      <c r="AJ86">
        <f>SUMIFS('MoodysData(Raw)'!AM$2:AM$180,'MoodysData(Raw)'!$B$2:$B$180,"=GDP",'MoodysData(Raw)'!$D$2:$D$180,"="&amp;'Implied Productivity Ratios'!$C86)/SUMIFS('MoodysData(Raw)'!AM$2:AM$180,'MoodysData(Raw)'!$B$2:$B$180,"=EMP",'MoodysData(Raw)'!$D$2:$D$180,"="&amp;'Implied Productivity Ratios'!$C86)</f>
        <v>40.246710067447104</v>
      </c>
      <c r="AK86">
        <f>SUMIFS('MoodysData(Raw)'!AN$2:AN$180,'MoodysData(Raw)'!$B$2:$B$180,"=GDP",'MoodysData(Raw)'!$D$2:$D$180,"="&amp;'Implied Productivity Ratios'!$C86)/SUMIFS('MoodysData(Raw)'!AN$2:AN$180,'MoodysData(Raw)'!$B$2:$B$180,"=EMP",'MoodysData(Raw)'!$D$2:$D$180,"="&amp;'Implied Productivity Ratios'!$C86)</f>
        <v>40.623935742085798</v>
      </c>
      <c r="AL86">
        <f>SUMIFS('MoodysData(Raw)'!AO$2:AO$180,'MoodysData(Raw)'!$B$2:$B$180,"=GDP",'MoodysData(Raw)'!$D$2:$D$180,"="&amp;'Implied Productivity Ratios'!$C86)/SUMIFS('MoodysData(Raw)'!AO$2:AO$180,'MoodysData(Raw)'!$B$2:$B$180,"=EMP",'MoodysData(Raw)'!$D$2:$D$180,"="&amp;'Implied Productivity Ratios'!$C86)</f>
        <v>41.000638219946005</v>
      </c>
      <c r="AM86">
        <f>SUMIFS('MoodysData(Raw)'!AP$2:AP$180,'MoodysData(Raw)'!$B$2:$B$180,"=GDP",'MoodysData(Raw)'!$D$2:$D$180,"="&amp;'Implied Productivity Ratios'!$C86)/SUMIFS('MoodysData(Raw)'!AP$2:AP$180,'MoodysData(Raw)'!$B$2:$B$180,"=EMP",'MoodysData(Raw)'!$D$2:$D$180,"="&amp;'Implied Productivity Ratios'!$C86)</f>
        <v>41.380402718493535</v>
      </c>
      <c r="AN86">
        <f>SUMIFS('MoodysData(Raw)'!AQ$2:AQ$180,'MoodysData(Raw)'!$B$2:$B$180,"=GDP",'MoodysData(Raw)'!$D$2:$D$180,"="&amp;'Implied Productivity Ratios'!$C86)/SUMIFS('MoodysData(Raw)'!AQ$2:AQ$180,'MoodysData(Raw)'!$B$2:$B$180,"=EMP",'MoodysData(Raw)'!$D$2:$D$180,"="&amp;'Implied Productivity Ratios'!$C86)</f>
        <v>41.755067276219968</v>
      </c>
      <c r="AO86">
        <f>SUMIFS('MoodysData(Raw)'!AR$2:AR$180,'MoodysData(Raw)'!$B$2:$B$180,"=GDP",'MoodysData(Raw)'!$D$2:$D$180,"="&amp;'Implied Productivity Ratios'!$C86)/SUMIFS('MoodysData(Raw)'!AR$2:AR$180,'MoodysData(Raw)'!$B$2:$B$180,"=EMP",'MoodysData(Raw)'!$D$2:$D$180,"="&amp;'Implied Productivity Ratios'!$C86)</f>
        <v>42.111189230051643</v>
      </c>
      <c r="AP86">
        <f>SUMIFS('MoodysData(Raw)'!AS$2:AS$180,'MoodysData(Raw)'!$B$2:$B$180,"=GDP",'MoodysData(Raw)'!$D$2:$D$180,"="&amp;'Implied Productivity Ratios'!$C86)/SUMIFS('MoodysData(Raw)'!AS$2:AS$180,'MoodysData(Raw)'!$B$2:$B$180,"=EMP",'MoodysData(Raw)'!$D$2:$D$180,"="&amp;'Implied Productivity Ratios'!$C86)</f>
        <v>42.467886959786334</v>
      </c>
      <c r="AQ86">
        <f>SUMIFS('MoodysData(Raw)'!AT$2:AT$180,'MoodysData(Raw)'!$B$2:$B$180,"=GDP",'MoodysData(Raw)'!$D$2:$D$180,"="&amp;'Implied Productivity Ratios'!$C86)/SUMIFS('MoodysData(Raw)'!AT$2:AT$180,'MoodysData(Raw)'!$B$2:$B$180,"=EMP",'MoodysData(Raw)'!$D$2:$D$180,"="&amp;'Implied Productivity Ratios'!$C86)</f>
        <v>42.841439960826385</v>
      </c>
      <c r="AR86">
        <f>SUMIFS('MoodysData(Raw)'!AU$2:AU$180,'MoodysData(Raw)'!$B$2:$B$180,"=GDP",'MoodysData(Raw)'!$D$2:$D$180,"="&amp;'Implied Productivity Ratios'!$C86)/SUMIFS('MoodysData(Raw)'!AU$2:AU$180,'MoodysData(Raw)'!$B$2:$B$180,"=EMP",'MoodysData(Raw)'!$D$2:$D$180,"="&amp;'Implied Productivity Ratios'!$C86)</f>
        <v>43.235987826817691</v>
      </c>
      <c r="AS86">
        <f>SUMIFS('MoodysData(Raw)'!AV$2:AV$180,'MoodysData(Raw)'!$B$2:$B$180,"=GDP",'MoodysData(Raw)'!$D$2:$D$180,"="&amp;'Implied Productivity Ratios'!$C86)/SUMIFS('MoodysData(Raw)'!AV$2:AV$180,'MoodysData(Raw)'!$B$2:$B$180,"=EMP",'MoodysData(Raw)'!$D$2:$D$180,"="&amp;'Implied Productivity Ratios'!$C86)</f>
        <v>43.64406188653652</v>
      </c>
      <c r="AT86">
        <f>SUMIFS('MoodysData(Raw)'!AW$2:AW$180,'MoodysData(Raw)'!$B$2:$B$180,"=GDP",'MoodysData(Raw)'!$D$2:$D$180,"="&amp;'Implied Productivity Ratios'!$C86)/SUMIFS('MoodysData(Raw)'!AW$2:AW$180,'MoodysData(Raw)'!$B$2:$B$180,"=EMP",'MoodysData(Raw)'!$D$2:$D$180,"="&amp;'Implied Productivity Ratios'!$C86)</f>
        <v>44.058371722986408</v>
      </c>
      <c r="AU86">
        <f>SUMIFS('MoodysData(Raw)'!AX$2:AX$180,'MoodysData(Raw)'!$B$2:$B$180,"=GDP",'MoodysData(Raw)'!$D$2:$D$180,"="&amp;'Implied Productivity Ratios'!$C86)/SUMIFS('MoodysData(Raw)'!AX$2:AX$180,'MoodysData(Raw)'!$B$2:$B$180,"=EMP",'MoodysData(Raw)'!$D$2:$D$180,"="&amp;'Implied Productivity Ratios'!$C86)</f>
        <v>44.514730786518506</v>
      </c>
      <c r="AV86">
        <f>SUMIFS('MoodysData(Raw)'!AY$2:AY$180,'MoodysData(Raw)'!$B$2:$B$180,"=GDP",'MoodysData(Raw)'!$D$2:$D$180,"="&amp;'Implied Productivity Ratios'!$C86)/SUMIFS('MoodysData(Raw)'!AY$2:AY$180,'MoodysData(Raw)'!$B$2:$B$180,"=EMP",'MoodysData(Raw)'!$D$2:$D$180,"="&amp;'Implied Productivity Ratios'!$C86)</f>
        <v>45.005584436884583</v>
      </c>
      <c r="AW86">
        <f>SUMIFS('MoodysData(Raw)'!AZ$2:AZ$180,'MoodysData(Raw)'!$B$2:$B$180,"=GDP",'MoodysData(Raw)'!$D$2:$D$180,"="&amp;'Implied Productivity Ratios'!$C86)/SUMIFS('MoodysData(Raw)'!AZ$2:AZ$180,'MoodysData(Raw)'!$B$2:$B$180,"=EMP",'MoodysData(Raw)'!$D$2:$D$180,"="&amp;'Implied Productivity Ratios'!$C86)</f>
        <v>45.504314440570106</v>
      </c>
      <c r="AX86">
        <f>SUMIFS('MoodysData(Raw)'!BA$2:BA$180,'MoodysData(Raw)'!$B$2:$B$180,"=GDP",'MoodysData(Raw)'!$D$2:$D$180,"="&amp;'Implied Productivity Ratios'!$C86)/SUMIFS('MoodysData(Raw)'!BA$2:BA$180,'MoodysData(Raw)'!$B$2:$B$180,"=EMP",'MoodysData(Raw)'!$D$2:$D$180,"="&amp;'Implied Productivity Ratios'!$C86)</f>
        <v>46.021364482038933</v>
      </c>
      <c r="AY86">
        <f>SUMIFS('MoodysData(Raw)'!BB$2:BB$180,'MoodysData(Raw)'!$B$2:$B$180,"=GDP",'MoodysData(Raw)'!$D$2:$D$180,"="&amp;'Implied Productivity Ratios'!$C86)/SUMIFS('MoodysData(Raw)'!BB$2:BB$180,'MoodysData(Raw)'!$B$2:$B$180,"=EMP",'MoodysData(Raw)'!$D$2:$D$180,"="&amp;'Implied Productivity Ratios'!$C86)</f>
        <v>46.560473218697886</v>
      </c>
      <c r="AZ86">
        <f>SUMIFS('MoodysData(Raw)'!BC$2:BC$180,'MoodysData(Raw)'!$B$2:$B$180,"=GDP",'MoodysData(Raw)'!$D$2:$D$180,"="&amp;'Implied Productivity Ratios'!$C86)/SUMIFS('MoodysData(Raw)'!BC$2:BC$180,'MoodysData(Raw)'!$B$2:$B$180,"=EMP",'MoodysData(Raw)'!$D$2:$D$180,"="&amp;'Implied Productivity Ratios'!$C86)</f>
        <v>47.139344513624671</v>
      </c>
      <c r="BA86">
        <f>SUMIFS('MoodysData(Raw)'!BD$2:BD$180,'MoodysData(Raw)'!$B$2:$B$180,"=GDP",'MoodysData(Raw)'!$D$2:$D$180,"="&amp;'Implied Productivity Ratios'!$C86)/SUMIFS('MoodysData(Raw)'!BD$2:BD$180,'MoodysData(Raw)'!$B$2:$B$180,"=EMP",'MoodysData(Raw)'!$D$2:$D$180,"="&amp;'Implied Productivity Ratios'!$C86)</f>
        <v>47.78596580572755</v>
      </c>
      <c r="BB86">
        <f>SUMIFS('MoodysData(Raw)'!BE$2:BE$180,'MoodysData(Raw)'!$B$2:$B$180,"=GDP",'MoodysData(Raw)'!$D$2:$D$180,"="&amp;'Implied Productivity Ratios'!$C86)/SUMIFS('MoodysData(Raw)'!BE$2:BE$180,'MoodysData(Raw)'!$B$2:$B$180,"=EMP",'MoodysData(Raw)'!$D$2:$D$180,"="&amp;'Implied Productivity Ratios'!$C86)</f>
        <v>48.47953583080939</v>
      </c>
      <c r="BC86">
        <f>SUMIFS('MoodysData(Raw)'!BF$2:BF$180,'MoodysData(Raw)'!$B$2:$B$180,"=GDP",'MoodysData(Raw)'!$D$2:$D$180,"="&amp;'Implied Productivity Ratios'!$C86)/SUMIFS('MoodysData(Raw)'!BF$2:BF$180,'MoodysData(Raw)'!$B$2:$B$180,"=EMP",'MoodysData(Raw)'!$D$2:$D$180,"="&amp;'Implied Productivity Ratios'!$C86)</f>
        <v>49.205308645315334</v>
      </c>
      <c r="BD86" s="5">
        <f t="shared" ref="BD86:BH86" si="80">BC86+($BC86-$AX86)/5</f>
        <v>49.842097477970611</v>
      </c>
      <c r="BE86" s="5">
        <f t="shared" si="80"/>
        <v>50.478886310625889</v>
      </c>
      <c r="BF86" s="5">
        <f t="shared" si="80"/>
        <v>51.115675143281166</v>
      </c>
      <c r="BG86" s="5">
        <f t="shared" si="80"/>
        <v>51.752463975936443</v>
      </c>
      <c r="BH86" s="5">
        <f t="shared" si="80"/>
        <v>52.389252808591721</v>
      </c>
    </row>
    <row r="87" spans="3:60">
      <c r="C87">
        <v>811</v>
      </c>
      <c r="D87" t="s">
        <v>452</v>
      </c>
      <c r="E87">
        <f>SUMIFS('MoodysData(Raw)'!H$2:H$180,'MoodysData(Raw)'!$B$2:$B$180,"=GDP",'MoodysData(Raw)'!$D$2:$D$180,"="&amp;'Implied Productivity Ratios'!$C87)/SUMIFS('MoodysData(Raw)'!H$2:H$180,'MoodysData(Raw)'!$B$2:$B$180,"=EMP",'MoodysData(Raw)'!$D$2:$D$180,"="&amp;'Implied Productivity Ratios'!$C87)</f>
        <v>105.17969957574347</v>
      </c>
      <c r="F87">
        <f>SUMIFS('MoodysData(Raw)'!I$2:I$180,'MoodysData(Raw)'!$B$2:$B$180,"=GDP",'MoodysData(Raw)'!$D$2:$D$180,"="&amp;'Implied Productivity Ratios'!$C87)/SUMIFS('MoodysData(Raw)'!I$2:I$180,'MoodysData(Raw)'!$B$2:$B$180,"=EMP",'MoodysData(Raw)'!$D$2:$D$180,"="&amp;'Implied Productivity Ratios'!$C87)</f>
        <v>104.08639429681071</v>
      </c>
      <c r="G87">
        <f>SUMIFS('MoodysData(Raw)'!J$2:J$180,'MoodysData(Raw)'!$B$2:$B$180,"=GDP",'MoodysData(Raw)'!$D$2:$D$180,"="&amp;'Implied Productivity Ratios'!$C87)/SUMIFS('MoodysData(Raw)'!J$2:J$180,'MoodysData(Raw)'!$B$2:$B$180,"=EMP",'MoodysData(Raw)'!$D$2:$D$180,"="&amp;'Implied Productivity Ratios'!$C87)</f>
        <v>98.06676400125248</v>
      </c>
      <c r="H87">
        <f>SUMIFS('MoodysData(Raw)'!K$2:K$180,'MoodysData(Raw)'!$B$2:$B$180,"=GDP",'MoodysData(Raw)'!$D$2:$D$180,"="&amp;'Implied Productivity Ratios'!$C87)/SUMIFS('MoodysData(Raw)'!K$2:K$180,'MoodysData(Raw)'!$B$2:$B$180,"=EMP",'MoodysData(Raw)'!$D$2:$D$180,"="&amp;'Implied Productivity Ratios'!$C87)</f>
        <v>90.251168189485099</v>
      </c>
      <c r="I87">
        <f>SUMIFS('MoodysData(Raw)'!L$2:L$180,'MoodysData(Raw)'!$B$2:$B$180,"=GDP",'MoodysData(Raw)'!$D$2:$D$180,"="&amp;'Implied Productivity Ratios'!$C87)/SUMIFS('MoodysData(Raw)'!L$2:L$180,'MoodysData(Raw)'!$B$2:$B$180,"=EMP",'MoodysData(Raw)'!$D$2:$D$180,"="&amp;'Implied Productivity Ratios'!$C87)</f>
        <v>85.635862422135233</v>
      </c>
      <c r="J87">
        <f>SUMIFS('MoodysData(Raw)'!M$2:M$180,'MoodysData(Raw)'!$B$2:$B$180,"=GDP",'MoodysData(Raw)'!$D$2:$D$180,"="&amp;'Implied Productivity Ratios'!$C87)/SUMIFS('MoodysData(Raw)'!M$2:M$180,'MoodysData(Raw)'!$B$2:$B$180,"=EMP",'MoodysData(Raw)'!$D$2:$D$180,"="&amp;'Implied Productivity Ratios'!$C87)</f>
        <v>85.700128343458928</v>
      </c>
      <c r="K87">
        <f>SUMIFS('MoodysData(Raw)'!N$2:N$180,'MoodysData(Raw)'!$B$2:$B$180,"=GDP",'MoodysData(Raw)'!$D$2:$D$180,"="&amp;'Implied Productivity Ratios'!$C87)/SUMIFS('MoodysData(Raw)'!N$2:N$180,'MoodysData(Raw)'!$B$2:$B$180,"=EMP",'MoodysData(Raw)'!$D$2:$D$180,"="&amp;'Implied Productivity Ratios'!$C87)</f>
        <v>82.842804259381737</v>
      </c>
      <c r="L87">
        <f>SUMIFS('MoodysData(Raw)'!O$2:O$180,'MoodysData(Raw)'!$B$2:$B$180,"=GDP",'MoodysData(Raw)'!$D$2:$D$180,"="&amp;'Implied Productivity Ratios'!$C87)/SUMIFS('MoodysData(Raw)'!O$2:O$180,'MoodysData(Raw)'!$B$2:$B$180,"=EMP",'MoodysData(Raw)'!$D$2:$D$180,"="&amp;'Implied Productivity Ratios'!$C87)</f>
        <v>82.880701064741302</v>
      </c>
      <c r="M87">
        <f>SUMIFS('MoodysData(Raw)'!P$2:P$180,'MoodysData(Raw)'!$B$2:$B$180,"=GDP",'MoodysData(Raw)'!$D$2:$D$180,"="&amp;'Implied Productivity Ratios'!$C87)/SUMIFS('MoodysData(Raw)'!P$2:P$180,'MoodysData(Raw)'!$B$2:$B$180,"=EMP",'MoodysData(Raw)'!$D$2:$D$180,"="&amp;'Implied Productivity Ratios'!$C87)</f>
        <v>84.12329991005295</v>
      </c>
      <c r="N87">
        <f>SUMIFS('MoodysData(Raw)'!Q$2:Q$180,'MoodysData(Raw)'!$B$2:$B$180,"=GDP",'MoodysData(Raw)'!$D$2:$D$180,"="&amp;'Implied Productivity Ratios'!$C87)/SUMIFS('MoodysData(Raw)'!Q$2:Q$180,'MoodysData(Raw)'!$B$2:$B$180,"=EMP",'MoodysData(Raw)'!$D$2:$D$180,"="&amp;'Implied Productivity Ratios'!$C87)</f>
        <v>87.669752731878305</v>
      </c>
      <c r="O87">
        <f>SUMIFS('MoodysData(Raw)'!R$2:R$180,'MoodysData(Raw)'!$B$2:$B$180,"=GDP",'MoodysData(Raw)'!$D$2:$D$180,"="&amp;'Implied Productivity Ratios'!$C87)/SUMIFS('MoodysData(Raw)'!R$2:R$180,'MoodysData(Raw)'!$B$2:$B$180,"=EMP",'MoodysData(Raw)'!$D$2:$D$180,"="&amp;'Implied Productivity Ratios'!$C87)</f>
        <v>87.911845263752042</v>
      </c>
      <c r="P87">
        <f>SUMIFS('MoodysData(Raw)'!S$2:S$180,'MoodysData(Raw)'!$B$2:$B$180,"=GDP",'MoodysData(Raw)'!$D$2:$D$180,"="&amp;'Implied Productivity Ratios'!$C87)/SUMIFS('MoodysData(Raw)'!S$2:S$180,'MoodysData(Raw)'!$B$2:$B$180,"=EMP",'MoodysData(Raw)'!$D$2:$D$180,"="&amp;'Implied Productivity Ratios'!$C87)</f>
        <v>88.11692190509568</v>
      </c>
      <c r="Q87">
        <f>SUMIFS('MoodysData(Raw)'!T$2:T$180,'MoodysData(Raw)'!$B$2:$B$180,"=GDP",'MoodysData(Raw)'!$D$2:$D$180,"="&amp;'Implied Productivity Ratios'!$C87)/SUMIFS('MoodysData(Raw)'!T$2:T$180,'MoodysData(Raw)'!$B$2:$B$180,"=EMP",'MoodysData(Raw)'!$D$2:$D$180,"="&amp;'Implied Productivity Ratios'!$C87)</f>
        <v>90.412251552610471</v>
      </c>
      <c r="R87">
        <f>SUMIFS('MoodysData(Raw)'!U$2:U$180,'MoodysData(Raw)'!$B$2:$B$180,"=GDP",'MoodysData(Raw)'!$D$2:$D$180,"="&amp;'Implied Productivity Ratios'!$C87)/SUMIFS('MoodysData(Raw)'!U$2:U$180,'MoodysData(Raw)'!$B$2:$B$180,"=EMP",'MoodysData(Raw)'!$D$2:$D$180,"="&amp;'Implied Productivity Ratios'!$C87)</f>
        <v>91.168559067035133</v>
      </c>
      <c r="S87">
        <f>SUMIFS('MoodysData(Raw)'!V$2:V$180,'MoodysData(Raw)'!$B$2:$B$180,"=GDP",'MoodysData(Raw)'!$D$2:$D$180,"="&amp;'Implied Productivity Ratios'!$C87)/SUMIFS('MoodysData(Raw)'!V$2:V$180,'MoodysData(Raw)'!$B$2:$B$180,"=EMP",'MoodysData(Raw)'!$D$2:$D$180,"="&amp;'Implied Productivity Ratios'!$C87)</f>
        <v>89.715976864973342</v>
      </c>
      <c r="T87">
        <f>SUMIFS('MoodysData(Raw)'!W$2:W$180,'MoodysData(Raw)'!$B$2:$B$180,"=GDP",'MoodysData(Raw)'!$D$2:$D$180,"="&amp;'Implied Productivity Ratios'!$C87)/SUMIFS('MoodysData(Raw)'!W$2:W$180,'MoodysData(Raw)'!$B$2:$B$180,"=EMP",'MoodysData(Raw)'!$D$2:$D$180,"="&amp;'Implied Productivity Ratios'!$C87)</f>
        <v>88.517853707748927</v>
      </c>
      <c r="U87">
        <f>SUMIFS('MoodysData(Raw)'!X$2:X$180,'MoodysData(Raw)'!$B$2:$B$180,"=GDP",'MoodysData(Raw)'!$D$2:$D$180,"="&amp;'Implied Productivity Ratios'!$C87)/SUMIFS('MoodysData(Raw)'!X$2:X$180,'MoodysData(Raw)'!$B$2:$B$180,"=EMP",'MoodysData(Raw)'!$D$2:$D$180,"="&amp;'Implied Productivity Ratios'!$C87)</f>
        <v>88.339982120258668</v>
      </c>
      <c r="V87">
        <f>SUMIFS('MoodysData(Raw)'!Y$2:Y$180,'MoodysData(Raw)'!$B$2:$B$180,"=GDP",'MoodysData(Raw)'!$D$2:$D$180,"="&amp;'Implied Productivity Ratios'!$C87)/SUMIFS('MoodysData(Raw)'!Y$2:Y$180,'MoodysData(Raw)'!$B$2:$B$180,"=EMP",'MoodysData(Raw)'!$D$2:$D$180,"="&amp;'Implied Productivity Ratios'!$C87)</f>
        <v>80.881803520062149</v>
      </c>
      <c r="W87">
        <f>SUMIFS('MoodysData(Raw)'!Z$2:Z$180,'MoodysData(Raw)'!$B$2:$B$180,"=GDP",'MoodysData(Raw)'!$D$2:$D$180,"="&amp;'Implied Productivity Ratios'!$C87)/SUMIFS('MoodysData(Raw)'!Z$2:Z$180,'MoodysData(Raw)'!$B$2:$B$180,"=EMP",'MoodysData(Raw)'!$D$2:$D$180,"="&amp;'Implied Productivity Ratios'!$C87)</f>
        <v>70.006238182856421</v>
      </c>
      <c r="X87">
        <f>SUMIFS('MoodysData(Raw)'!AA$2:AA$180,'MoodysData(Raw)'!$B$2:$B$180,"=GDP",'MoodysData(Raw)'!$D$2:$D$180,"="&amp;'Implied Productivity Ratios'!$C87)/SUMIFS('MoodysData(Raw)'!AA$2:AA$180,'MoodysData(Raw)'!$B$2:$B$180,"=EMP",'MoodysData(Raw)'!$D$2:$D$180,"="&amp;'Implied Productivity Ratios'!$C87)</f>
        <v>65.973261895570531</v>
      </c>
      <c r="Y87">
        <f>SUMIFS('MoodysData(Raw)'!AB$2:AB$180,'MoodysData(Raw)'!$B$2:$B$180,"=GDP",'MoodysData(Raw)'!$D$2:$D$180,"="&amp;'Implied Productivity Ratios'!$C87)/SUMIFS('MoodysData(Raw)'!AB$2:AB$180,'MoodysData(Raw)'!$B$2:$B$180,"=EMP",'MoodysData(Raw)'!$D$2:$D$180,"="&amp;'Implied Productivity Ratios'!$C87)</f>
        <v>64.304628957438695</v>
      </c>
      <c r="Z87">
        <f>SUMIFS('MoodysData(Raw)'!AC$2:AC$180,'MoodysData(Raw)'!$B$2:$B$180,"=GDP",'MoodysData(Raw)'!$D$2:$D$180,"="&amp;'Implied Productivity Ratios'!$C87)/SUMIFS('MoodysData(Raw)'!AC$2:AC$180,'MoodysData(Raw)'!$B$2:$B$180,"=EMP",'MoodysData(Raw)'!$D$2:$D$180,"="&amp;'Implied Productivity Ratios'!$C87)</f>
        <v>62.877969458832261</v>
      </c>
      <c r="AA87">
        <f>SUMIFS('MoodysData(Raw)'!AD$2:AD$180,'MoodysData(Raw)'!$B$2:$B$180,"=GDP",'MoodysData(Raw)'!$D$2:$D$180,"="&amp;'Implied Productivity Ratios'!$C87)/SUMIFS('MoodysData(Raw)'!AD$2:AD$180,'MoodysData(Raw)'!$B$2:$B$180,"=EMP",'MoodysData(Raw)'!$D$2:$D$180,"="&amp;'Implied Productivity Ratios'!$C87)</f>
        <v>61.646825585898611</v>
      </c>
      <c r="AB87">
        <f>SUMIFS('MoodysData(Raw)'!AE$2:AE$180,'MoodysData(Raw)'!$B$2:$B$180,"=GDP",'MoodysData(Raw)'!$D$2:$D$180,"="&amp;'Implied Productivity Ratios'!$C87)/SUMIFS('MoodysData(Raw)'!AE$2:AE$180,'MoodysData(Raw)'!$B$2:$B$180,"=EMP",'MoodysData(Raw)'!$D$2:$D$180,"="&amp;'Implied Productivity Ratios'!$C87)</f>
        <v>60.677634568689399</v>
      </c>
      <c r="AC87">
        <f>SUMIFS('MoodysData(Raw)'!AF$2:AF$180,'MoodysData(Raw)'!$B$2:$B$180,"=GDP",'MoodysData(Raw)'!$D$2:$D$180,"="&amp;'Implied Productivity Ratios'!$C87)/SUMIFS('MoodysData(Raw)'!AF$2:AF$180,'MoodysData(Raw)'!$B$2:$B$180,"=EMP",'MoodysData(Raw)'!$D$2:$D$180,"="&amp;'Implied Productivity Ratios'!$C87)</f>
        <v>59.834077814423154</v>
      </c>
      <c r="AD87">
        <f>SUMIFS('MoodysData(Raw)'!AG$2:AG$180,'MoodysData(Raw)'!$B$2:$B$180,"=GDP",'MoodysData(Raw)'!$D$2:$D$180,"="&amp;'Implied Productivity Ratios'!$C87)/SUMIFS('MoodysData(Raw)'!AG$2:AG$180,'MoodysData(Raw)'!$B$2:$B$180,"=EMP",'MoodysData(Raw)'!$D$2:$D$180,"="&amp;'Implied Productivity Ratios'!$C87)</f>
        <v>59.117735061999994</v>
      </c>
      <c r="AE87">
        <f>SUMIFS('MoodysData(Raw)'!AH$2:AH$180,'MoodysData(Raw)'!$B$2:$B$180,"=GDP",'MoodysData(Raw)'!$D$2:$D$180,"="&amp;'Implied Productivity Ratios'!$C87)/SUMIFS('MoodysData(Raw)'!AH$2:AH$180,'MoodysData(Raw)'!$B$2:$B$180,"=EMP",'MoodysData(Raw)'!$D$2:$D$180,"="&amp;'Implied Productivity Ratios'!$C87)</f>
        <v>58.431713614799399</v>
      </c>
      <c r="AF87">
        <f>SUMIFS('MoodysData(Raw)'!AI$2:AI$180,'MoodysData(Raw)'!$B$2:$B$180,"=GDP",'MoodysData(Raw)'!$D$2:$D$180,"="&amp;'Implied Productivity Ratios'!$C87)/SUMIFS('MoodysData(Raw)'!AI$2:AI$180,'MoodysData(Raw)'!$B$2:$B$180,"=EMP",'MoodysData(Raw)'!$D$2:$D$180,"="&amp;'Implied Productivity Ratios'!$C87)</f>
        <v>57.892113528801467</v>
      </c>
      <c r="AG87">
        <f>SUMIFS('MoodysData(Raw)'!AJ$2:AJ$180,'MoodysData(Raw)'!$B$2:$B$180,"=GDP",'MoodysData(Raw)'!$D$2:$D$180,"="&amp;'Implied Productivity Ratios'!$C87)/SUMIFS('MoodysData(Raw)'!AJ$2:AJ$180,'MoodysData(Raw)'!$B$2:$B$180,"=EMP",'MoodysData(Raw)'!$D$2:$D$180,"="&amp;'Implied Productivity Ratios'!$C87)</f>
        <v>57.48228897096881</v>
      </c>
      <c r="AH87">
        <f>SUMIFS('MoodysData(Raw)'!AK$2:AK$180,'MoodysData(Raw)'!$B$2:$B$180,"=GDP",'MoodysData(Raw)'!$D$2:$D$180,"="&amp;'Implied Productivity Ratios'!$C87)/SUMIFS('MoodysData(Raw)'!AK$2:AK$180,'MoodysData(Raw)'!$B$2:$B$180,"=EMP",'MoodysData(Raw)'!$D$2:$D$180,"="&amp;'Implied Productivity Ratios'!$C87)</f>
        <v>56.985977585662312</v>
      </c>
      <c r="AI87">
        <f>SUMIFS('MoodysData(Raw)'!AL$2:AL$180,'MoodysData(Raw)'!$B$2:$B$180,"=GDP",'MoodysData(Raw)'!$D$2:$D$180,"="&amp;'Implied Productivity Ratios'!$C87)/SUMIFS('MoodysData(Raw)'!AL$2:AL$180,'MoodysData(Raw)'!$B$2:$B$180,"=EMP",'MoodysData(Raw)'!$D$2:$D$180,"="&amp;'Implied Productivity Ratios'!$C87)</f>
        <v>56.420503335601666</v>
      </c>
      <c r="AJ87">
        <f>SUMIFS('MoodysData(Raw)'!AM$2:AM$180,'MoodysData(Raw)'!$B$2:$B$180,"=GDP",'MoodysData(Raw)'!$D$2:$D$180,"="&amp;'Implied Productivity Ratios'!$C87)/SUMIFS('MoodysData(Raw)'!AM$2:AM$180,'MoodysData(Raw)'!$B$2:$B$180,"=EMP",'MoodysData(Raw)'!$D$2:$D$180,"="&amp;'Implied Productivity Ratios'!$C87)</f>
        <v>55.92399335334725</v>
      </c>
      <c r="AK87">
        <f>SUMIFS('MoodysData(Raw)'!AN$2:AN$180,'MoodysData(Raw)'!$B$2:$B$180,"=GDP",'MoodysData(Raw)'!$D$2:$D$180,"="&amp;'Implied Productivity Ratios'!$C87)/SUMIFS('MoodysData(Raw)'!AN$2:AN$180,'MoodysData(Raw)'!$B$2:$B$180,"=EMP",'MoodysData(Raw)'!$D$2:$D$180,"="&amp;'Implied Productivity Ratios'!$C87)</f>
        <v>55.407218085023878</v>
      </c>
      <c r="AL87">
        <f>SUMIFS('MoodysData(Raw)'!AO$2:AO$180,'MoodysData(Raw)'!$B$2:$B$180,"=GDP",'MoodysData(Raw)'!$D$2:$D$180,"="&amp;'Implied Productivity Ratios'!$C87)/SUMIFS('MoodysData(Raw)'!AO$2:AO$180,'MoodysData(Raw)'!$B$2:$B$180,"=EMP",'MoodysData(Raw)'!$D$2:$D$180,"="&amp;'Implied Productivity Ratios'!$C87)</f>
        <v>54.855398010149315</v>
      </c>
      <c r="AM87">
        <f>SUMIFS('MoodysData(Raw)'!AP$2:AP$180,'MoodysData(Raw)'!$B$2:$B$180,"=GDP",'MoodysData(Raw)'!$D$2:$D$180,"="&amp;'Implied Productivity Ratios'!$C87)/SUMIFS('MoodysData(Raw)'!AP$2:AP$180,'MoodysData(Raw)'!$B$2:$B$180,"=EMP",'MoodysData(Raw)'!$D$2:$D$180,"="&amp;'Implied Productivity Ratios'!$C87)</f>
        <v>54.328619439028955</v>
      </c>
      <c r="AN87">
        <f>SUMIFS('MoodysData(Raw)'!AQ$2:AQ$180,'MoodysData(Raw)'!$B$2:$B$180,"=GDP",'MoodysData(Raw)'!$D$2:$D$180,"="&amp;'Implied Productivity Ratios'!$C87)/SUMIFS('MoodysData(Raw)'!AQ$2:AQ$180,'MoodysData(Raw)'!$B$2:$B$180,"=EMP",'MoodysData(Raw)'!$D$2:$D$180,"="&amp;'Implied Productivity Ratios'!$C87)</f>
        <v>53.854968941465195</v>
      </c>
      <c r="AO87">
        <f>SUMIFS('MoodysData(Raw)'!AR$2:AR$180,'MoodysData(Raw)'!$B$2:$B$180,"=GDP",'MoodysData(Raw)'!$D$2:$D$180,"="&amp;'Implied Productivity Ratios'!$C87)/SUMIFS('MoodysData(Raw)'!AR$2:AR$180,'MoodysData(Raw)'!$B$2:$B$180,"=EMP",'MoodysData(Raw)'!$D$2:$D$180,"="&amp;'Implied Productivity Ratios'!$C87)</f>
        <v>53.410985279819513</v>
      </c>
      <c r="AP87">
        <f>SUMIFS('MoodysData(Raw)'!AS$2:AS$180,'MoodysData(Raw)'!$B$2:$B$180,"=GDP",'MoodysData(Raw)'!$D$2:$D$180,"="&amp;'Implied Productivity Ratios'!$C87)/SUMIFS('MoodysData(Raw)'!AS$2:AS$180,'MoodysData(Raw)'!$B$2:$B$180,"=EMP",'MoodysData(Raw)'!$D$2:$D$180,"="&amp;'Implied Productivity Ratios'!$C87)</f>
        <v>52.976367085266396</v>
      </c>
      <c r="AQ87">
        <f>SUMIFS('MoodysData(Raw)'!AT$2:AT$180,'MoodysData(Raw)'!$B$2:$B$180,"=GDP",'MoodysData(Raw)'!$D$2:$D$180,"="&amp;'Implied Productivity Ratios'!$C87)/SUMIFS('MoodysData(Raw)'!AT$2:AT$180,'MoodysData(Raw)'!$B$2:$B$180,"=EMP",'MoodysData(Raw)'!$D$2:$D$180,"="&amp;'Implied Productivity Ratios'!$C87)</f>
        <v>52.539242665788848</v>
      </c>
      <c r="AR87">
        <f>SUMIFS('MoodysData(Raw)'!AU$2:AU$180,'MoodysData(Raw)'!$B$2:$B$180,"=GDP",'MoodysData(Raw)'!$D$2:$D$180,"="&amp;'Implied Productivity Ratios'!$C87)/SUMIFS('MoodysData(Raw)'!AU$2:AU$180,'MoodysData(Raw)'!$B$2:$B$180,"=EMP",'MoodysData(Raw)'!$D$2:$D$180,"="&amp;'Implied Productivity Ratios'!$C87)</f>
        <v>52.105962004034787</v>
      </c>
      <c r="AS87">
        <f>SUMIFS('MoodysData(Raw)'!AV$2:AV$180,'MoodysData(Raw)'!$B$2:$B$180,"=GDP",'MoodysData(Raw)'!$D$2:$D$180,"="&amp;'Implied Productivity Ratios'!$C87)/SUMIFS('MoodysData(Raw)'!AV$2:AV$180,'MoodysData(Raw)'!$B$2:$B$180,"=EMP",'MoodysData(Raw)'!$D$2:$D$180,"="&amp;'Implied Productivity Ratios'!$C87)</f>
        <v>51.698995447148931</v>
      </c>
      <c r="AT87">
        <f>SUMIFS('MoodysData(Raw)'!AW$2:AW$180,'MoodysData(Raw)'!$B$2:$B$180,"=GDP",'MoodysData(Raw)'!$D$2:$D$180,"="&amp;'Implied Productivity Ratios'!$C87)/SUMIFS('MoodysData(Raw)'!AW$2:AW$180,'MoodysData(Raw)'!$B$2:$B$180,"=EMP",'MoodysData(Raw)'!$D$2:$D$180,"="&amp;'Implied Productivity Ratios'!$C87)</f>
        <v>51.301924335588716</v>
      </c>
      <c r="AU87">
        <f>SUMIFS('MoodysData(Raw)'!AX$2:AX$180,'MoodysData(Raw)'!$B$2:$B$180,"=GDP",'MoodysData(Raw)'!$D$2:$D$180,"="&amp;'Implied Productivity Ratios'!$C87)/SUMIFS('MoodysData(Raw)'!AX$2:AX$180,'MoodysData(Raw)'!$B$2:$B$180,"=EMP",'MoodysData(Raw)'!$D$2:$D$180,"="&amp;'Implied Productivity Ratios'!$C87)</f>
        <v>50.961064614583165</v>
      </c>
      <c r="AV87">
        <f>SUMIFS('MoodysData(Raw)'!AY$2:AY$180,'MoodysData(Raw)'!$B$2:$B$180,"=GDP",'MoodysData(Raw)'!$D$2:$D$180,"="&amp;'Implied Productivity Ratios'!$C87)/SUMIFS('MoodysData(Raw)'!AY$2:AY$180,'MoodysData(Raw)'!$B$2:$B$180,"=EMP",'MoodysData(Raw)'!$D$2:$D$180,"="&amp;'Implied Productivity Ratios'!$C87)</f>
        <v>50.667355235092018</v>
      </c>
      <c r="AW87">
        <f>SUMIFS('MoodysData(Raw)'!AZ$2:AZ$180,'MoodysData(Raw)'!$B$2:$B$180,"=GDP",'MoodysData(Raw)'!$D$2:$D$180,"="&amp;'Implied Productivity Ratios'!$C87)/SUMIFS('MoodysData(Raw)'!AZ$2:AZ$180,'MoodysData(Raw)'!$B$2:$B$180,"=EMP",'MoodysData(Raw)'!$D$2:$D$180,"="&amp;'Implied Productivity Ratios'!$C87)</f>
        <v>50.378217986572544</v>
      </c>
      <c r="AX87">
        <f>SUMIFS('MoodysData(Raw)'!BA$2:BA$180,'MoodysData(Raw)'!$B$2:$B$180,"=GDP",'MoodysData(Raw)'!$D$2:$D$180,"="&amp;'Implied Productivity Ratios'!$C87)/SUMIFS('MoodysData(Raw)'!BA$2:BA$180,'MoodysData(Raw)'!$B$2:$B$180,"=EMP",'MoodysData(Raw)'!$D$2:$D$180,"="&amp;'Implied Productivity Ratios'!$C87)</f>
        <v>50.088445298619504</v>
      </c>
      <c r="AY87">
        <f>SUMIFS('MoodysData(Raw)'!BB$2:BB$180,'MoodysData(Raw)'!$B$2:$B$180,"=GDP",'MoodysData(Raw)'!$D$2:$D$180,"="&amp;'Implied Productivity Ratios'!$C87)/SUMIFS('MoodysData(Raw)'!BB$2:BB$180,'MoodysData(Raw)'!$B$2:$B$180,"=EMP",'MoodysData(Raw)'!$D$2:$D$180,"="&amp;'Implied Productivity Ratios'!$C87)</f>
        <v>49.826846129562149</v>
      </c>
      <c r="AZ87">
        <f>SUMIFS('MoodysData(Raw)'!BC$2:BC$180,'MoodysData(Raw)'!$B$2:$B$180,"=GDP",'MoodysData(Raw)'!$D$2:$D$180,"="&amp;'Implied Productivity Ratios'!$C87)/SUMIFS('MoodysData(Raw)'!BC$2:BC$180,'MoodysData(Raw)'!$B$2:$B$180,"=EMP",'MoodysData(Raw)'!$D$2:$D$180,"="&amp;'Implied Productivity Ratios'!$C87)</f>
        <v>49.621299364658256</v>
      </c>
      <c r="BA87">
        <f>SUMIFS('MoodysData(Raw)'!BD$2:BD$180,'MoodysData(Raw)'!$B$2:$B$180,"=GDP",'MoodysData(Raw)'!$D$2:$D$180,"="&amp;'Implied Productivity Ratios'!$C87)/SUMIFS('MoodysData(Raw)'!BD$2:BD$180,'MoodysData(Raw)'!$B$2:$B$180,"=EMP",'MoodysData(Raw)'!$D$2:$D$180,"="&amp;'Implied Productivity Ratios'!$C87)</f>
        <v>49.458740749302521</v>
      </c>
      <c r="BB87">
        <f>SUMIFS('MoodysData(Raw)'!BE$2:BE$180,'MoodysData(Raw)'!$B$2:$B$180,"=GDP",'MoodysData(Raw)'!$D$2:$D$180,"="&amp;'Implied Productivity Ratios'!$C87)/SUMIFS('MoodysData(Raw)'!BE$2:BE$180,'MoodysData(Raw)'!$B$2:$B$180,"=EMP",'MoodysData(Raw)'!$D$2:$D$180,"="&amp;'Implied Productivity Ratios'!$C87)</f>
        <v>49.343548046239356</v>
      </c>
      <c r="BC87">
        <f>SUMIFS('MoodysData(Raw)'!BF$2:BF$180,'MoodysData(Raw)'!$B$2:$B$180,"=GDP",'MoodysData(Raw)'!$D$2:$D$180,"="&amp;'Implied Productivity Ratios'!$C87)/SUMIFS('MoodysData(Raw)'!BF$2:BF$180,'MoodysData(Raw)'!$B$2:$B$180,"=EMP",'MoodysData(Raw)'!$D$2:$D$180,"="&amp;'Implied Productivity Ratios'!$C87)</f>
        <v>49.268809189041967</v>
      </c>
      <c r="BD87" s="5">
        <f t="shared" ref="BD87:BH87" si="81">BC87+($BC87-$AX87)/5</f>
        <v>49.10488196712646</v>
      </c>
      <c r="BE87" s="5">
        <f t="shared" si="81"/>
        <v>48.940954745210952</v>
      </c>
      <c r="BF87" s="5">
        <f t="shared" si="81"/>
        <v>48.777027523295445</v>
      </c>
      <c r="BG87" s="5">
        <f t="shared" si="81"/>
        <v>48.613100301379937</v>
      </c>
      <c r="BH87" s="5">
        <f t="shared" si="81"/>
        <v>48.44917307946443</v>
      </c>
    </row>
    <row r="88" spans="3:60">
      <c r="C88">
        <v>812</v>
      </c>
      <c r="D88" t="s">
        <v>456</v>
      </c>
      <c r="E88">
        <f>SUMIFS('MoodysData(Raw)'!H$2:H$180,'MoodysData(Raw)'!$B$2:$B$180,"=GDP",'MoodysData(Raw)'!$D$2:$D$180,"="&amp;'Implied Productivity Ratios'!$C88)/SUMIFS('MoodysData(Raw)'!H$2:H$180,'MoodysData(Raw)'!$B$2:$B$180,"=EMP",'MoodysData(Raw)'!$D$2:$D$180,"="&amp;'Implied Productivity Ratios'!$C88)</f>
        <v>98.326646931943685</v>
      </c>
      <c r="F88">
        <f>SUMIFS('MoodysData(Raw)'!I$2:I$180,'MoodysData(Raw)'!$B$2:$B$180,"=GDP",'MoodysData(Raw)'!$D$2:$D$180,"="&amp;'Implied Productivity Ratios'!$C88)/SUMIFS('MoodysData(Raw)'!I$2:I$180,'MoodysData(Raw)'!$B$2:$B$180,"=EMP",'MoodysData(Raw)'!$D$2:$D$180,"="&amp;'Implied Productivity Ratios'!$C88)</f>
        <v>97.640784002915964</v>
      </c>
      <c r="G88">
        <f>SUMIFS('MoodysData(Raw)'!J$2:J$180,'MoodysData(Raw)'!$B$2:$B$180,"=GDP",'MoodysData(Raw)'!$D$2:$D$180,"="&amp;'Implied Productivity Ratios'!$C88)/SUMIFS('MoodysData(Raw)'!J$2:J$180,'MoodysData(Raw)'!$B$2:$B$180,"=EMP",'MoodysData(Raw)'!$D$2:$D$180,"="&amp;'Implied Productivity Ratios'!$C88)</f>
        <v>89.807249777827153</v>
      </c>
      <c r="H88">
        <f>SUMIFS('MoodysData(Raw)'!K$2:K$180,'MoodysData(Raw)'!$B$2:$B$180,"=GDP",'MoodysData(Raw)'!$D$2:$D$180,"="&amp;'Implied Productivity Ratios'!$C88)/SUMIFS('MoodysData(Raw)'!K$2:K$180,'MoodysData(Raw)'!$B$2:$B$180,"=EMP",'MoodysData(Raw)'!$D$2:$D$180,"="&amp;'Implied Productivity Ratios'!$C88)</f>
        <v>79.705887420824453</v>
      </c>
      <c r="I88">
        <f>SUMIFS('MoodysData(Raw)'!L$2:L$180,'MoodysData(Raw)'!$B$2:$B$180,"=GDP",'MoodysData(Raw)'!$D$2:$D$180,"="&amp;'Implied Productivity Ratios'!$C88)/SUMIFS('MoodysData(Raw)'!L$2:L$180,'MoodysData(Raw)'!$B$2:$B$180,"=EMP",'MoodysData(Raw)'!$D$2:$D$180,"="&amp;'Implied Productivity Ratios'!$C88)</f>
        <v>75.589132898326099</v>
      </c>
      <c r="J88">
        <f>SUMIFS('MoodysData(Raw)'!M$2:M$180,'MoodysData(Raw)'!$B$2:$B$180,"=GDP",'MoodysData(Raw)'!$D$2:$D$180,"="&amp;'Implied Productivity Ratios'!$C88)/SUMIFS('MoodysData(Raw)'!M$2:M$180,'MoodysData(Raw)'!$B$2:$B$180,"=EMP",'MoodysData(Raw)'!$D$2:$D$180,"="&amp;'Implied Productivity Ratios'!$C88)</f>
        <v>79.006694857802287</v>
      </c>
      <c r="K88">
        <f>SUMIFS('MoodysData(Raw)'!N$2:N$180,'MoodysData(Raw)'!$B$2:$B$180,"=GDP",'MoodysData(Raw)'!$D$2:$D$180,"="&amp;'Implied Productivity Ratios'!$C88)/SUMIFS('MoodysData(Raw)'!N$2:N$180,'MoodysData(Raw)'!$B$2:$B$180,"=EMP",'MoodysData(Raw)'!$D$2:$D$180,"="&amp;'Implied Productivity Ratios'!$C88)</f>
        <v>75.911894463178385</v>
      </c>
      <c r="L88">
        <f>SUMIFS('MoodysData(Raw)'!O$2:O$180,'MoodysData(Raw)'!$B$2:$B$180,"=GDP",'MoodysData(Raw)'!$D$2:$D$180,"="&amp;'Implied Productivity Ratios'!$C88)/SUMIFS('MoodysData(Raw)'!O$2:O$180,'MoodysData(Raw)'!$B$2:$B$180,"=EMP",'MoodysData(Raw)'!$D$2:$D$180,"="&amp;'Implied Productivity Ratios'!$C88)</f>
        <v>74.648733705269052</v>
      </c>
      <c r="M88">
        <f>SUMIFS('MoodysData(Raw)'!P$2:P$180,'MoodysData(Raw)'!$B$2:$B$180,"=GDP",'MoodysData(Raw)'!$D$2:$D$180,"="&amp;'Implied Productivity Ratios'!$C88)/SUMIFS('MoodysData(Raw)'!P$2:P$180,'MoodysData(Raw)'!$B$2:$B$180,"=EMP",'MoodysData(Raw)'!$D$2:$D$180,"="&amp;'Implied Productivity Ratios'!$C88)</f>
        <v>72.405840254071762</v>
      </c>
      <c r="N88">
        <f>SUMIFS('MoodysData(Raw)'!Q$2:Q$180,'MoodysData(Raw)'!$B$2:$B$180,"=GDP",'MoodysData(Raw)'!$D$2:$D$180,"="&amp;'Implied Productivity Ratios'!$C88)/SUMIFS('MoodysData(Raw)'!Q$2:Q$180,'MoodysData(Raw)'!$B$2:$B$180,"=EMP",'MoodysData(Raw)'!$D$2:$D$180,"="&amp;'Implied Productivity Ratios'!$C88)</f>
        <v>73.526811517141454</v>
      </c>
      <c r="O88">
        <f>SUMIFS('MoodysData(Raw)'!R$2:R$180,'MoodysData(Raw)'!$B$2:$B$180,"=GDP",'MoodysData(Raw)'!$D$2:$D$180,"="&amp;'Implied Productivity Ratios'!$C88)/SUMIFS('MoodysData(Raw)'!R$2:R$180,'MoodysData(Raw)'!$B$2:$B$180,"=EMP",'MoodysData(Raw)'!$D$2:$D$180,"="&amp;'Implied Productivity Ratios'!$C88)</f>
        <v>72.760767295540447</v>
      </c>
      <c r="P88">
        <f>SUMIFS('MoodysData(Raw)'!S$2:S$180,'MoodysData(Raw)'!$B$2:$B$180,"=GDP",'MoodysData(Raw)'!$D$2:$D$180,"="&amp;'Implied Productivity Ratios'!$C88)/SUMIFS('MoodysData(Raw)'!S$2:S$180,'MoodysData(Raw)'!$B$2:$B$180,"=EMP",'MoodysData(Raw)'!$D$2:$D$180,"="&amp;'Implied Productivity Ratios'!$C88)</f>
        <v>70.289738146413811</v>
      </c>
      <c r="Q88">
        <f>SUMIFS('MoodysData(Raw)'!T$2:T$180,'MoodysData(Raw)'!$B$2:$B$180,"=GDP",'MoodysData(Raw)'!$D$2:$D$180,"="&amp;'Implied Productivity Ratios'!$C88)/SUMIFS('MoodysData(Raw)'!T$2:T$180,'MoodysData(Raw)'!$B$2:$B$180,"=EMP",'MoodysData(Raw)'!$D$2:$D$180,"="&amp;'Implied Productivity Ratios'!$C88)</f>
        <v>70.982530680561894</v>
      </c>
      <c r="R88">
        <f>SUMIFS('MoodysData(Raw)'!U$2:U$180,'MoodysData(Raw)'!$B$2:$B$180,"=GDP",'MoodysData(Raw)'!$D$2:$D$180,"="&amp;'Implied Productivity Ratios'!$C88)/SUMIFS('MoodysData(Raw)'!U$2:U$180,'MoodysData(Raw)'!$B$2:$B$180,"=EMP",'MoodysData(Raw)'!$D$2:$D$180,"="&amp;'Implied Productivity Ratios'!$C88)</f>
        <v>71.872022950280495</v>
      </c>
      <c r="S88">
        <f>SUMIFS('MoodysData(Raw)'!V$2:V$180,'MoodysData(Raw)'!$B$2:$B$180,"=GDP",'MoodysData(Raw)'!$D$2:$D$180,"="&amp;'Implied Productivity Ratios'!$C88)/SUMIFS('MoodysData(Raw)'!V$2:V$180,'MoodysData(Raw)'!$B$2:$B$180,"=EMP",'MoodysData(Raw)'!$D$2:$D$180,"="&amp;'Implied Productivity Ratios'!$C88)</f>
        <v>69.94222407397001</v>
      </c>
      <c r="T88">
        <f>SUMIFS('MoodysData(Raw)'!W$2:W$180,'MoodysData(Raw)'!$B$2:$B$180,"=GDP",'MoodysData(Raw)'!$D$2:$D$180,"="&amp;'Implied Productivity Ratios'!$C88)/SUMIFS('MoodysData(Raw)'!W$2:W$180,'MoodysData(Raw)'!$B$2:$B$180,"=EMP",'MoodysData(Raw)'!$D$2:$D$180,"="&amp;'Implied Productivity Ratios'!$C88)</f>
        <v>59.418379960345</v>
      </c>
      <c r="U88">
        <f>SUMIFS('MoodysData(Raw)'!X$2:X$180,'MoodysData(Raw)'!$B$2:$B$180,"=GDP",'MoodysData(Raw)'!$D$2:$D$180,"="&amp;'Implied Productivity Ratios'!$C88)/SUMIFS('MoodysData(Raw)'!X$2:X$180,'MoodysData(Raw)'!$B$2:$B$180,"=EMP",'MoodysData(Raw)'!$D$2:$D$180,"="&amp;'Implied Productivity Ratios'!$C88)</f>
        <v>64.225288030673383</v>
      </c>
      <c r="V88">
        <f>SUMIFS('MoodysData(Raw)'!Y$2:Y$180,'MoodysData(Raw)'!$B$2:$B$180,"=GDP",'MoodysData(Raw)'!$D$2:$D$180,"="&amp;'Implied Productivity Ratios'!$C88)/SUMIFS('MoodysData(Raw)'!Y$2:Y$180,'MoodysData(Raw)'!$B$2:$B$180,"=EMP",'MoodysData(Raw)'!$D$2:$D$180,"="&amp;'Implied Productivity Ratios'!$C88)</f>
        <v>69.877095189713415</v>
      </c>
      <c r="W88">
        <f>SUMIFS('MoodysData(Raw)'!Z$2:Z$180,'MoodysData(Raw)'!$B$2:$B$180,"=GDP",'MoodysData(Raw)'!$D$2:$D$180,"="&amp;'Implied Productivity Ratios'!$C88)/SUMIFS('MoodysData(Raw)'!Z$2:Z$180,'MoodysData(Raw)'!$B$2:$B$180,"=EMP",'MoodysData(Raw)'!$D$2:$D$180,"="&amp;'Implied Productivity Ratios'!$C88)</f>
        <v>66.330197260778959</v>
      </c>
      <c r="X88">
        <f>SUMIFS('MoodysData(Raw)'!AA$2:AA$180,'MoodysData(Raw)'!$B$2:$B$180,"=GDP",'MoodysData(Raw)'!$D$2:$D$180,"="&amp;'Implied Productivity Ratios'!$C88)/SUMIFS('MoodysData(Raw)'!AA$2:AA$180,'MoodysData(Raw)'!$B$2:$B$180,"=EMP",'MoodysData(Raw)'!$D$2:$D$180,"="&amp;'Implied Productivity Ratios'!$C88)</f>
        <v>64.285719474253682</v>
      </c>
      <c r="Y88">
        <f>SUMIFS('MoodysData(Raw)'!AB$2:AB$180,'MoodysData(Raw)'!$B$2:$B$180,"=GDP",'MoodysData(Raw)'!$D$2:$D$180,"="&amp;'Implied Productivity Ratios'!$C88)/SUMIFS('MoodysData(Raw)'!AB$2:AB$180,'MoodysData(Raw)'!$B$2:$B$180,"=EMP",'MoodysData(Raw)'!$D$2:$D$180,"="&amp;'Implied Productivity Ratios'!$C88)</f>
        <v>62.461001622562939</v>
      </c>
      <c r="Z88">
        <f>SUMIFS('MoodysData(Raw)'!AC$2:AC$180,'MoodysData(Raw)'!$B$2:$B$180,"=GDP",'MoodysData(Raw)'!$D$2:$D$180,"="&amp;'Implied Productivity Ratios'!$C88)/SUMIFS('MoodysData(Raw)'!AC$2:AC$180,'MoodysData(Raw)'!$B$2:$B$180,"=EMP",'MoodysData(Raw)'!$D$2:$D$180,"="&amp;'Implied Productivity Ratios'!$C88)</f>
        <v>60.545630897092266</v>
      </c>
      <c r="AA88">
        <f>SUMIFS('MoodysData(Raw)'!AD$2:AD$180,'MoodysData(Raw)'!$B$2:$B$180,"=GDP",'MoodysData(Raw)'!$D$2:$D$180,"="&amp;'Implied Productivity Ratios'!$C88)/SUMIFS('MoodysData(Raw)'!AD$2:AD$180,'MoodysData(Raw)'!$B$2:$B$180,"=EMP",'MoodysData(Raw)'!$D$2:$D$180,"="&amp;'Implied Productivity Ratios'!$C88)</f>
        <v>58.864668254947127</v>
      </c>
      <c r="AB88">
        <f>SUMIFS('MoodysData(Raw)'!AE$2:AE$180,'MoodysData(Raw)'!$B$2:$B$180,"=GDP",'MoodysData(Raw)'!$D$2:$D$180,"="&amp;'Implied Productivity Ratios'!$C88)/SUMIFS('MoodysData(Raw)'!AE$2:AE$180,'MoodysData(Raw)'!$B$2:$B$180,"=EMP",'MoodysData(Raw)'!$D$2:$D$180,"="&amp;'Implied Productivity Ratios'!$C88)</f>
        <v>57.472403752900952</v>
      </c>
      <c r="AC88">
        <f>SUMIFS('MoodysData(Raw)'!AF$2:AF$180,'MoodysData(Raw)'!$B$2:$B$180,"=GDP",'MoodysData(Raw)'!$D$2:$D$180,"="&amp;'Implied Productivity Ratios'!$C88)/SUMIFS('MoodysData(Raw)'!AF$2:AF$180,'MoodysData(Raw)'!$B$2:$B$180,"=EMP",'MoodysData(Raw)'!$D$2:$D$180,"="&amp;'Implied Productivity Ratios'!$C88)</f>
        <v>56.236212464842367</v>
      </c>
      <c r="AD88">
        <f>SUMIFS('MoodysData(Raw)'!AG$2:AG$180,'MoodysData(Raw)'!$B$2:$B$180,"=GDP",'MoodysData(Raw)'!$D$2:$D$180,"="&amp;'Implied Productivity Ratios'!$C88)/SUMIFS('MoodysData(Raw)'!AG$2:AG$180,'MoodysData(Raw)'!$B$2:$B$180,"=EMP",'MoodysData(Raw)'!$D$2:$D$180,"="&amp;'Implied Productivity Ratios'!$C88)</f>
        <v>55.157556471222939</v>
      </c>
      <c r="AE88">
        <f>SUMIFS('MoodysData(Raw)'!AH$2:AH$180,'MoodysData(Raw)'!$B$2:$B$180,"=GDP",'MoodysData(Raw)'!$D$2:$D$180,"="&amp;'Implied Productivity Ratios'!$C88)/SUMIFS('MoodysData(Raw)'!AH$2:AH$180,'MoodysData(Raw)'!$B$2:$B$180,"=EMP",'MoodysData(Raw)'!$D$2:$D$180,"="&amp;'Implied Productivity Ratios'!$C88)</f>
        <v>54.13752471158741</v>
      </c>
      <c r="AF88">
        <f>SUMIFS('MoodysData(Raw)'!AI$2:AI$180,'MoodysData(Raw)'!$B$2:$B$180,"=GDP",'MoodysData(Raw)'!$D$2:$D$180,"="&amp;'Implied Productivity Ratios'!$C88)/SUMIFS('MoodysData(Raw)'!AI$2:AI$180,'MoodysData(Raw)'!$B$2:$B$180,"=EMP",'MoodysData(Raw)'!$D$2:$D$180,"="&amp;'Implied Productivity Ratios'!$C88)</f>
        <v>53.277907587767153</v>
      </c>
      <c r="AG88">
        <f>SUMIFS('MoodysData(Raw)'!AJ$2:AJ$180,'MoodysData(Raw)'!$B$2:$B$180,"=GDP",'MoodysData(Raw)'!$D$2:$D$180,"="&amp;'Implied Productivity Ratios'!$C88)/SUMIFS('MoodysData(Raw)'!AJ$2:AJ$180,'MoodysData(Raw)'!$B$2:$B$180,"=EMP",'MoodysData(Raw)'!$D$2:$D$180,"="&amp;'Implied Productivity Ratios'!$C88)</f>
        <v>52.560308394471519</v>
      </c>
      <c r="AH88">
        <f>SUMIFS('MoodysData(Raw)'!AK$2:AK$180,'MoodysData(Raw)'!$B$2:$B$180,"=GDP",'MoodysData(Raw)'!$D$2:$D$180,"="&amp;'Implied Productivity Ratios'!$C88)/SUMIFS('MoodysData(Raw)'!AK$2:AK$180,'MoodysData(Raw)'!$B$2:$B$180,"=EMP",'MoodysData(Raw)'!$D$2:$D$180,"="&amp;'Implied Productivity Ratios'!$C88)</f>
        <v>51.784933899017936</v>
      </c>
      <c r="AI88">
        <f>SUMIFS('MoodysData(Raw)'!AL$2:AL$180,'MoodysData(Raw)'!$B$2:$B$180,"=GDP",'MoodysData(Raw)'!$D$2:$D$180,"="&amp;'Implied Productivity Ratios'!$C88)/SUMIFS('MoodysData(Raw)'!AL$2:AL$180,'MoodysData(Raw)'!$B$2:$B$180,"=EMP",'MoodysData(Raw)'!$D$2:$D$180,"="&amp;'Implied Productivity Ratios'!$C88)</f>
        <v>50.968396147904954</v>
      </c>
      <c r="AJ88">
        <f>SUMIFS('MoodysData(Raw)'!AM$2:AM$180,'MoodysData(Raw)'!$B$2:$B$180,"=GDP",'MoodysData(Raw)'!$D$2:$D$180,"="&amp;'Implied Productivity Ratios'!$C88)/SUMIFS('MoodysData(Raw)'!AM$2:AM$180,'MoodysData(Raw)'!$B$2:$B$180,"=EMP",'MoodysData(Raw)'!$D$2:$D$180,"="&amp;'Implied Productivity Ratios'!$C88)</f>
        <v>50.235321026022135</v>
      </c>
      <c r="AK88">
        <f>SUMIFS('MoodysData(Raw)'!AN$2:AN$180,'MoodysData(Raw)'!$B$2:$B$180,"=GDP",'MoodysData(Raw)'!$D$2:$D$180,"="&amp;'Implied Productivity Ratios'!$C88)/SUMIFS('MoodysData(Raw)'!AN$2:AN$180,'MoodysData(Raw)'!$B$2:$B$180,"=EMP",'MoodysData(Raw)'!$D$2:$D$180,"="&amp;'Implied Productivity Ratios'!$C88)</f>
        <v>49.503523234396198</v>
      </c>
      <c r="AL88">
        <f>SUMIFS('MoodysData(Raw)'!AO$2:AO$180,'MoodysData(Raw)'!$B$2:$B$180,"=GDP",'MoodysData(Raw)'!$D$2:$D$180,"="&amp;'Implied Productivity Ratios'!$C88)/SUMIFS('MoodysData(Raw)'!AO$2:AO$180,'MoodysData(Raw)'!$B$2:$B$180,"=EMP",'MoodysData(Raw)'!$D$2:$D$180,"="&amp;'Implied Productivity Ratios'!$C88)</f>
        <v>48.759974232690837</v>
      </c>
      <c r="AM88">
        <f>SUMIFS('MoodysData(Raw)'!AP$2:AP$180,'MoodysData(Raw)'!$B$2:$B$180,"=GDP",'MoodysData(Raw)'!$D$2:$D$180,"="&amp;'Implied Productivity Ratios'!$C88)/SUMIFS('MoodysData(Raw)'!AP$2:AP$180,'MoodysData(Raw)'!$B$2:$B$180,"=EMP",'MoodysData(Raw)'!$D$2:$D$180,"="&amp;'Implied Productivity Ratios'!$C88)</f>
        <v>48.05826435222977</v>
      </c>
      <c r="AN88">
        <f>SUMIFS('MoodysData(Raw)'!AQ$2:AQ$180,'MoodysData(Raw)'!$B$2:$B$180,"=GDP",'MoodysData(Raw)'!$D$2:$D$180,"="&amp;'Implied Productivity Ratios'!$C88)/SUMIFS('MoodysData(Raw)'!AQ$2:AQ$180,'MoodysData(Raw)'!$B$2:$B$180,"=EMP",'MoodysData(Raw)'!$D$2:$D$180,"="&amp;'Implied Productivity Ratios'!$C88)</f>
        <v>47.422609139534366</v>
      </c>
      <c r="AO88">
        <f>SUMIFS('MoodysData(Raw)'!AR$2:AR$180,'MoodysData(Raw)'!$B$2:$B$180,"=GDP",'MoodysData(Raw)'!$D$2:$D$180,"="&amp;'Implied Productivity Ratios'!$C88)/SUMIFS('MoodysData(Raw)'!AR$2:AR$180,'MoodysData(Raw)'!$B$2:$B$180,"=EMP",'MoodysData(Raw)'!$D$2:$D$180,"="&amp;'Implied Productivity Ratios'!$C88)</f>
        <v>46.831179514418906</v>
      </c>
      <c r="AP88">
        <f>SUMIFS('MoodysData(Raw)'!AS$2:AS$180,'MoodysData(Raw)'!$B$2:$B$180,"=GDP",'MoodysData(Raw)'!$D$2:$D$180,"="&amp;'Implied Productivity Ratios'!$C88)/SUMIFS('MoodysData(Raw)'!AS$2:AS$180,'MoodysData(Raw)'!$B$2:$B$180,"=EMP",'MoodysData(Raw)'!$D$2:$D$180,"="&amp;'Implied Productivity Ratios'!$C88)</f>
        <v>46.265584973068776</v>
      </c>
      <c r="AQ88">
        <f>SUMIFS('MoodysData(Raw)'!AT$2:AT$180,'MoodysData(Raw)'!$B$2:$B$180,"=GDP",'MoodysData(Raw)'!$D$2:$D$180,"="&amp;'Implied Productivity Ratios'!$C88)/SUMIFS('MoodysData(Raw)'!AT$2:AT$180,'MoodysData(Raw)'!$B$2:$B$180,"=EMP",'MoodysData(Raw)'!$D$2:$D$180,"="&amp;'Implied Productivity Ratios'!$C88)</f>
        <v>45.71521183755705</v>
      </c>
      <c r="AR88">
        <f>SUMIFS('MoodysData(Raw)'!AU$2:AU$180,'MoodysData(Raw)'!$B$2:$B$180,"=GDP",'MoodysData(Raw)'!$D$2:$D$180,"="&amp;'Implied Productivity Ratios'!$C88)/SUMIFS('MoodysData(Raw)'!AU$2:AU$180,'MoodysData(Raw)'!$B$2:$B$180,"=EMP",'MoodysData(Raw)'!$D$2:$D$180,"="&amp;'Implied Productivity Ratios'!$C88)</f>
        <v>45.184907951065163</v>
      </c>
      <c r="AS88">
        <f>SUMIFS('MoodysData(Raw)'!AV$2:AV$180,'MoodysData(Raw)'!$B$2:$B$180,"=GDP",'MoodysData(Raw)'!$D$2:$D$180,"="&amp;'Implied Productivity Ratios'!$C88)/SUMIFS('MoodysData(Raw)'!AV$2:AV$180,'MoodysData(Raw)'!$B$2:$B$180,"=EMP",'MoodysData(Raw)'!$D$2:$D$180,"="&amp;'Implied Productivity Ratios'!$C88)</f>
        <v>44.693395955880661</v>
      </c>
      <c r="AT88">
        <f>SUMIFS('MoodysData(Raw)'!AW$2:AW$180,'MoodysData(Raw)'!$B$2:$B$180,"=GDP",'MoodysData(Raw)'!$D$2:$D$180,"="&amp;'Implied Productivity Ratios'!$C88)/SUMIFS('MoodysData(Raw)'!AW$2:AW$180,'MoodysData(Raw)'!$B$2:$B$180,"=EMP",'MoodysData(Raw)'!$D$2:$D$180,"="&amp;'Implied Productivity Ratios'!$C88)</f>
        <v>44.225551269493586</v>
      </c>
      <c r="AU88">
        <f>SUMIFS('MoodysData(Raw)'!AX$2:AX$180,'MoodysData(Raw)'!$B$2:$B$180,"=GDP",'MoodysData(Raw)'!$D$2:$D$180,"="&amp;'Implied Productivity Ratios'!$C88)/SUMIFS('MoodysData(Raw)'!AX$2:AX$180,'MoodysData(Raw)'!$B$2:$B$180,"=EMP",'MoodysData(Raw)'!$D$2:$D$180,"="&amp;'Implied Productivity Ratios'!$C88)</f>
        <v>43.820327137778847</v>
      </c>
      <c r="AV88">
        <f>SUMIFS('MoodysData(Raw)'!AY$2:AY$180,'MoodysData(Raw)'!$B$2:$B$180,"=GDP",'MoodysData(Raw)'!$D$2:$D$180,"="&amp;'Implied Productivity Ratios'!$C88)/SUMIFS('MoodysData(Raw)'!AY$2:AY$180,'MoodysData(Raw)'!$B$2:$B$180,"=EMP",'MoodysData(Raw)'!$D$2:$D$180,"="&amp;'Implied Productivity Ratios'!$C88)</f>
        <v>43.469873941605393</v>
      </c>
      <c r="AW88">
        <f>SUMIFS('MoodysData(Raw)'!AZ$2:AZ$180,'MoodysData(Raw)'!$B$2:$B$180,"=GDP",'MoodysData(Raw)'!$D$2:$D$180,"="&amp;'Implied Productivity Ratios'!$C88)/SUMIFS('MoodysData(Raw)'!AZ$2:AZ$180,'MoodysData(Raw)'!$B$2:$B$180,"=EMP",'MoodysData(Raw)'!$D$2:$D$180,"="&amp;'Implied Productivity Ratios'!$C88)</f>
        <v>43.137231443631016</v>
      </c>
      <c r="AX88">
        <f>SUMIFS('MoodysData(Raw)'!BA$2:BA$180,'MoodysData(Raw)'!$B$2:$B$180,"=GDP",'MoodysData(Raw)'!$D$2:$D$180,"="&amp;'Implied Productivity Ratios'!$C88)/SUMIFS('MoodysData(Raw)'!BA$2:BA$180,'MoodysData(Raw)'!$B$2:$B$180,"=EMP",'MoodysData(Raw)'!$D$2:$D$180,"="&amp;'Implied Productivity Ratios'!$C88)</f>
        <v>42.817472815596453</v>
      </c>
      <c r="AY88">
        <f>SUMIFS('MoodysData(Raw)'!BB$2:BB$180,'MoodysData(Raw)'!$B$2:$B$180,"=GDP",'MoodysData(Raw)'!$D$2:$D$180,"="&amp;'Implied Productivity Ratios'!$C88)/SUMIFS('MoodysData(Raw)'!BB$2:BB$180,'MoodysData(Raw)'!$B$2:$B$180,"=EMP",'MoodysData(Raw)'!$D$2:$D$180,"="&amp;'Implied Productivity Ratios'!$C88)</f>
        <v>42.534879541959548</v>
      </c>
      <c r="AZ88">
        <f>SUMIFS('MoodysData(Raw)'!BC$2:BC$180,'MoodysData(Raw)'!$B$2:$B$180,"=GDP",'MoodysData(Raw)'!$D$2:$D$180,"="&amp;'Implied Productivity Ratios'!$C88)/SUMIFS('MoodysData(Raw)'!BC$2:BC$180,'MoodysData(Raw)'!$B$2:$B$180,"=EMP",'MoodysData(Raw)'!$D$2:$D$180,"="&amp;'Implied Productivity Ratios'!$C88)</f>
        <v>42.313094366066409</v>
      </c>
      <c r="BA88">
        <f>SUMIFS('MoodysData(Raw)'!BD$2:BD$180,'MoodysData(Raw)'!$B$2:$B$180,"=GDP",'MoodysData(Raw)'!$D$2:$D$180,"="&amp;'Implied Productivity Ratios'!$C88)/SUMIFS('MoodysData(Raw)'!BD$2:BD$180,'MoodysData(Raw)'!$B$2:$B$180,"=EMP",'MoodysData(Raw)'!$D$2:$D$180,"="&amp;'Implied Productivity Ratios'!$C88)</f>
        <v>42.141597474958168</v>
      </c>
      <c r="BB88">
        <f>SUMIFS('MoodysData(Raw)'!BE$2:BE$180,'MoodysData(Raw)'!$B$2:$B$180,"=GDP",'MoodysData(Raw)'!$D$2:$D$180,"="&amp;'Implied Productivity Ratios'!$C88)/SUMIFS('MoodysData(Raw)'!BE$2:BE$180,'MoodysData(Raw)'!$B$2:$B$180,"=EMP",'MoodysData(Raw)'!$D$2:$D$180,"="&amp;'Implied Productivity Ratios'!$C88)</f>
        <v>42.02337477632733</v>
      </c>
      <c r="BC88">
        <f>SUMIFS('MoodysData(Raw)'!BF$2:BF$180,'MoodysData(Raw)'!$B$2:$B$180,"=GDP",'MoodysData(Raw)'!$D$2:$D$180,"="&amp;'Implied Productivity Ratios'!$C88)/SUMIFS('MoodysData(Raw)'!BF$2:BF$180,'MoodysData(Raw)'!$B$2:$B$180,"=EMP",'MoodysData(Raw)'!$D$2:$D$180,"="&amp;'Implied Productivity Ratios'!$C88)</f>
        <v>41.951881215828017</v>
      </c>
      <c r="BD88" s="5">
        <f t="shared" ref="BD88:BH88" si="82">BC88+($BC88-$AX88)/5</f>
        <v>41.77876289587433</v>
      </c>
      <c r="BE88" s="5">
        <f t="shared" si="82"/>
        <v>41.605644575920643</v>
      </c>
      <c r="BF88" s="5">
        <f t="shared" si="82"/>
        <v>41.432526255966955</v>
      </c>
      <c r="BG88" s="5">
        <f t="shared" si="82"/>
        <v>41.259407936013268</v>
      </c>
      <c r="BH88" s="5">
        <f t="shared" si="82"/>
        <v>41.086289616059581</v>
      </c>
    </row>
    <row r="89" spans="3:60">
      <c r="C89">
        <v>813</v>
      </c>
      <c r="D89" t="s">
        <v>460</v>
      </c>
      <c r="E89">
        <f>SUMIFS('MoodysData(Raw)'!H$2:H$180,'MoodysData(Raw)'!$B$2:$B$180,"=GDP",'MoodysData(Raw)'!$D$2:$D$180,"="&amp;'Implied Productivity Ratios'!$C89)/SUMIFS('MoodysData(Raw)'!H$2:H$180,'MoodysData(Raw)'!$B$2:$B$180,"=EMP",'MoodysData(Raw)'!$D$2:$D$180,"="&amp;'Implied Productivity Ratios'!$C89)</f>
        <v>58.237166289493196</v>
      </c>
      <c r="F89">
        <f>SUMIFS('MoodysData(Raw)'!I$2:I$180,'MoodysData(Raw)'!$B$2:$B$180,"=GDP",'MoodysData(Raw)'!$D$2:$D$180,"="&amp;'Implied Productivity Ratios'!$C89)/SUMIFS('MoodysData(Raw)'!I$2:I$180,'MoodysData(Raw)'!$B$2:$B$180,"=EMP",'MoodysData(Raw)'!$D$2:$D$180,"="&amp;'Implied Productivity Ratios'!$C89)</f>
        <v>58.619194227122208</v>
      </c>
      <c r="G89">
        <f>SUMIFS('MoodysData(Raw)'!J$2:J$180,'MoodysData(Raw)'!$B$2:$B$180,"=GDP",'MoodysData(Raw)'!$D$2:$D$180,"="&amp;'Implied Productivity Ratios'!$C89)/SUMIFS('MoodysData(Raw)'!J$2:J$180,'MoodysData(Raw)'!$B$2:$B$180,"=EMP",'MoodysData(Raw)'!$D$2:$D$180,"="&amp;'Implied Productivity Ratios'!$C89)</f>
        <v>59.582155517134986</v>
      </c>
      <c r="H89">
        <f>SUMIFS('MoodysData(Raw)'!K$2:K$180,'MoodysData(Raw)'!$B$2:$B$180,"=GDP",'MoodysData(Raw)'!$D$2:$D$180,"="&amp;'Implied Productivity Ratios'!$C89)/SUMIFS('MoodysData(Raw)'!K$2:K$180,'MoodysData(Raw)'!$B$2:$B$180,"=EMP",'MoodysData(Raw)'!$D$2:$D$180,"="&amp;'Implied Productivity Ratios'!$C89)</f>
        <v>62.212544679735721</v>
      </c>
      <c r="I89">
        <f>SUMIFS('MoodysData(Raw)'!L$2:L$180,'MoodysData(Raw)'!$B$2:$B$180,"=GDP",'MoodysData(Raw)'!$D$2:$D$180,"="&amp;'Implied Productivity Ratios'!$C89)/SUMIFS('MoodysData(Raw)'!L$2:L$180,'MoodysData(Raw)'!$B$2:$B$180,"=EMP",'MoodysData(Raw)'!$D$2:$D$180,"="&amp;'Implied Productivity Ratios'!$C89)</f>
        <v>62.738152224109335</v>
      </c>
      <c r="J89">
        <f>SUMIFS('MoodysData(Raw)'!M$2:M$180,'MoodysData(Raw)'!$B$2:$B$180,"=GDP",'MoodysData(Raw)'!$D$2:$D$180,"="&amp;'Implied Productivity Ratios'!$C89)/SUMIFS('MoodysData(Raw)'!M$2:M$180,'MoodysData(Raw)'!$B$2:$B$180,"=EMP",'MoodysData(Raw)'!$D$2:$D$180,"="&amp;'Implied Productivity Ratios'!$C89)</f>
        <v>60.99002649055533</v>
      </c>
      <c r="K89">
        <f>SUMIFS('MoodysData(Raw)'!N$2:N$180,'MoodysData(Raw)'!$B$2:$B$180,"=GDP",'MoodysData(Raw)'!$D$2:$D$180,"="&amp;'Implied Productivity Ratios'!$C89)/SUMIFS('MoodysData(Raw)'!N$2:N$180,'MoodysData(Raw)'!$B$2:$B$180,"=EMP",'MoodysData(Raw)'!$D$2:$D$180,"="&amp;'Implied Productivity Ratios'!$C89)</f>
        <v>61.024989989917927</v>
      </c>
      <c r="L89">
        <f>SUMIFS('MoodysData(Raw)'!O$2:O$180,'MoodysData(Raw)'!$B$2:$B$180,"=GDP",'MoodysData(Raw)'!$D$2:$D$180,"="&amp;'Implied Productivity Ratios'!$C89)/SUMIFS('MoodysData(Raw)'!O$2:O$180,'MoodysData(Raw)'!$B$2:$B$180,"=EMP",'MoodysData(Raw)'!$D$2:$D$180,"="&amp;'Implied Productivity Ratios'!$C89)</f>
        <v>61.531958161513714</v>
      </c>
      <c r="M89">
        <f>SUMIFS('MoodysData(Raw)'!P$2:P$180,'MoodysData(Raw)'!$B$2:$B$180,"=GDP",'MoodysData(Raw)'!$D$2:$D$180,"="&amp;'Implied Productivity Ratios'!$C89)/SUMIFS('MoodysData(Raw)'!P$2:P$180,'MoodysData(Raw)'!$B$2:$B$180,"=EMP",'MoodysData(Raw)'!$D$2:$D$180,"="&amp;'Implied Productivity Ratios'!$C89)</f>
        <v>61.298871104341849</v>
      </c>
      <c r="N89">
        <f>SUMIFS('MoodysData(Raw)'!Q$2:Q$180,'MoodysData(Raw)'!$B$2:$B$180,"=GDP",'MoodysData(Raw)'!$D$2:$D$180,"="&amp;'Implied Productivity Ratios'!$C89)/SUMIFS('MoodysData(Raw)'!Q$2:Q$180,'MoodysData(Raw)'!$B$2:$B$180,"=EMP",'MoodysData(Raw)'!$D$2:$D$180,"="&amp;'Implied Productivity Ratios'!$C89)</f>
        <v>62.192231408197152</v>
      </c>
      <c r="O89">
        <f>SUMIFS('MoodysData(Raw)'!R$2:R$180,'MoodysData(Raw)'!$B$2:$B$180,"=GDP",'MoodysData(Raw)'!$D$2:$D$180,"="&amp;'Implied Productivity Ratios'!$C89)/SUMIFS('MoodysData(Raw)'!R$2:R$180,'MoodysData(Raw)'!$B$2:$B$180,"=EMP",'MoodysData(Raw)'!$D$2:$D$180,"="&amp;'Implied Productivity Ratios'!$C89)</f>
        <v>62.945709208698979</v>
      </c>
      <c r="P89">
        <f>SUMIFS('MoodysData(Raw)'!S$2:S$180,'MoodysData(Raw)'!$B$2:$B$180,"=GDP",'MoodysData(Raw)'!$D$2:$D$180,"="&amp;'Implied Productivity Ratios'!$C89)/SUMIFS('MoodysData(Raw)'!S$2:S$180,'MoodysData(Raw)'!$B$2:$B$180,"=EMP",'MoodysData(Raw)'!$D$2:$D$180,"="&amp;'Implied Productivity Ratios'!$C89)</f>
        <v>62.514810635381018</v>
      </c>
      <c r="Q89">
        <f>SUMIFS('MoodysData(Raw)'!T$2:T$180,'MoodysData(Raw)'!$B$2:$B$180,"=GDP",'MoodysData(Raw)'!$D$2:$D$180,"="&amp;'Implied Productivity Ratios'!$C89)/SUMIFS('MoodysData(Raw)'!T$2:T$180,'MoodysData(Raw)'!$B$2:$B$180,"=EMP",'MoodysData(Raw)'!$D$2:$D$180,"="&amp;'Implied Productivity Ratios'!$C89)</f>
        <v>63.540786913839753</v>
      </c>
      <c r="R89">
        <f>SUMIFS('MoodysData(Raw)'!U$2:U$180,'MoodysData(Raw)'!$B$2:$B$180,"=GDP",'MoodysData(Raw)'!$D$2:$D$180,"="&amp;'Implied Productivity Ratios'!$C89)/SUMIFS('MoodysData(Raw)'!U$2:U$180,'MoodysData(Raw)'!$B$2:$B$180,"=EMP",'MoodysData(Raw)'!$D$2:$D$180,"="&amp;'Implied Productivity Ratios'!$C89)</f>
        <v>64.914746843728992</v>
      </c>
      <c r="S89">
        <f>SUMIFS('MoodysData(Raw)'!V$2:V$180,'MoodysData(Raw)'!$B$2:$B$180,"=GDP",'MoodysData(Raw)'!$D$2:$D$180,"="&amp;'Implied Productivity Ratios'!$C89)/SUMIFS('MoodysData(Raw)'!V$2:V$180,'MoodysData(Raw)'!$B$2:$B$180,"=EMP",'MoodysData(Raw)'!$D$2:$D$180,"="&amp;'Implied Productivity Ratios'!$C89)</f>
        <v>65.440968614511561</v>
      </c>
      <c r="T89">
        <f>SUMIFS('MoodysData(Raw)'!W$2:W$180,'MoodysData(Raw)'!$B$2:$B$180,"=GDP",'MoodysData(Raw)'!$D$2:$D$180,"="&amp;'Implied Productivity Ratios'!$C89)/SUMIFS('MoodysData(Raw)'!W$2:W$180,'MoodysData(Raw)'!$B$2:$B$180,"=EMP",'MoodysData(Raw)'!$D$2:$D$180,"="&amp;'Implied Productivity Ratios'!$C89)</f>
        <v>72.468186103223616</v>
      </c>
      <c r="U89">
        <f>SUMIFS('MoodysData(Raw)'!X$2:X$180,'MoodysData(Raw)'!$B$2:$B$180,"=GDP",'MoodysData(Raw)'!$D$2:$D$180,"="&amp;'Implied Productivity Ratios'!$C89)/SUMIFS('MoodysData(Raw)'!X$2:X$180,'MoodysData(Raw)'!$B$2:$B$180,"=EMP",'MoodysData(Raw)'!$D$2:$D$180,"="&amp;'Implied Productivity Ratios'!$C89)</f>
        <v>69.946847236779846</v>
      </c>
      <c r="V89">
        <f>SUMIFS('MoodysData(Raw)'!Y$2:Y$180,'MoodysData(Raw)'!$B$2:$B$180,"=GDP",'MoodysData(Raw)'!$D$2:$D$180,"="&amp;'Implied Productivity Ratios'!$C89)/SUMIFS('MoodysData(Raw)'!Y$2:Y$180,'MoodysData(Raw)'!$B$2:$B$180,"=EMP",'MoodysData(Raw)'!$D$2:$D$180,"="&amp;'Implied Productivity Ratios'!$C89)</f>
        <v>70.063260323644471</v>
      </c>
      <c r="W89">
        <f>SUMIFS('MoodysData(Raw)'!Z$2:Z$180,'MoodysData(Raw)'!$B$2:$B$180,"=GDP",'MoodysData(Raw)'!$D$2:$D$180,"="&amp;'Implied Productivity Ratios'!$C89)/SUMIFS('MoodysData(Raw)'!Z$2:Z$180,'MoodysData(Raw)'!$B$2:$B$180,"=EMP",'MoodysData(Raw)'!$D$2:$D$180,"="&amp;'Implied Productivity Ratios'!$C89)</f>
        <v>66.381730019476592</v>
      </c>
      <c r="X89">
        <f>SUMIFS('MoodysData(Raw)'!AA$2:AA$180,'MoodysData(Raw)'!$B$2:$B$180,"=GDP",'MoodysData(Raw)'!$D$2:$D$180,"="&amp;'Implied Productivity Ratios'!$C89)/SUMIFS('MoodysData(Raw)'!AA$2:AA$180,'MoodysData(Raw)'!$B$2:$B$180,"=EMP",'MoodysData(Raw)'!$D$2:$D$180,"="&amp;'Implied Productivity Ratios'!$C89)</f>
        <v>65.10655177468746</v>
      </c>
      <c r="Y89">
        <f>SUMIFS('MoodysData(Raw)'!AB$2:AB$180,'MoodysData(Raw)'!$B$2:$B$180,"=GDP",'MoodysData(Raw)'!$D$2:$D$180,"="&amp;'Implied Productivity Ratios'!$C89)/SUMIFS('MoodysData(Raw)'!AB$2:AB$180,'MoodysData(Raw)'!$B$2:$B$180,"=EMP",'MoodysData(Raw)'!$D$2:$D$180,"="&amp;'Implied Productivity Ratios'!$C89)</f>
        <v>65.519126654796693</v>
      </c>
      <c r="Z89">
        <f>SUMIFS('MoodysData(Raw)'!AC$2:AC$180,'MoodysData(Raw)'!$B$2:$B$180,"=GDP",'MoodysData(Raw)'!$D$2:$D$180,"="&amp;'Implied Productivity Ratios'!$C89)/SUMIFS('MoodysData(Raw)'!AC$2:AC$180,'MoodysData(Raw)'!$B$2:$B$180,"=EMP",'MoodysData(Raw)'!$D$2:$D$180,"="&amp;'Implied Productivity Ratios'!$C89)</f>
        <v>66.092899682259983</v>
      </c>
      <c r="AA89">
        <f>SUMIFS('MoodysData(Raw)'!AD$2:AD$180,'MoodysData(Raw)'!$B$2:$B$180,"=GDP",'MoodysData(Raw)'!$D$2:$D$180,"="&amp;'Implied Productivity Ratios'!$C89)/SUMIFS('MoodysData(Raw)'!AD$2:AD$180,'MoodysData(Raw)'!$B$2:$B$180,"=EMP",'MoodysData(Raw)'!$D$2:$D$180,"="&amp;'Implied Productivity Ratios'!$C89)</f>
        <v>66.78348832383719</v>
      </c>
      <c r="AB89">
        <f>SUMIFS('MoodysData(Raw)'!AE$2:AE$180,'MoodysData(Raw)'!$B$2:$B$180,"=GDP",'MoodysData(Raw)'!$D$2:$D$180,"="&amp;'Implied Productivity Ratios'!$C89)/SUMIFS('MoodysData(Raw)'!AE$2:AE$180,'MoodysData(Raw)'!$B$2:$B$180,"=EMP",'MoodysData(Raw)'!$D$2:$D$180,"="&amp;'Implied Productivity Ratios'!$C89)</f>
        <v>67.682302846003608</v>
      </c>
      <c r="AC89">
        <f>SUMIFS('MoodysData(Raw)'!AF$2:AF$180,'MoodysData(Raw)'!$B$2:$B$180,"=GDP",'MoodysData(Raw)'!$D$2:$D$180,"="&amp;'Implied Productivity Ratios'!$C89)/SUMIFS('MoodysData(Raw)'!AF$2:AF$180,'MoodysData(Raw)'!$B$2:$B$180,"=EMP",'MoodysData(Raw)'!$D$2:$D$180,"="&amp;'Implied Productivity Ratios'!$C89)</f>
        <v>68.651553776112934</v>
      </c>
      <c r="AD89">
        <f>SUMIFS('MoodysData(Raw)'!AG$2:AG$180,'MoodysData(Raw)'!$B$2:$B$180,"=GDP",'MoodysData(Raw)'!$D$2:$D$180,"="&amp;'Implied Productivity Ratios'!$C89)/SUMIFS('MoodysData(Raw)'!AG$2:AG$180,'MoodysData(Raw)'!$B$2:$B$180,"=EMP",'MoodysData(Raw)'!$D$2:$D$180,"="&amp;'Implied Productivity Ratios'!$C89)</f>
        <v>69.702696428881083</v>
      </c>
      <c r="AE89">
        <f>SUMIFS('MoodysData(Raw)'!AH$2:AH$180,'MoodysData(Raw)'!$B$2:$B$180,"=GDP",'MoodysData(Raw)'!$D$2:$D$180,"="&amp;'Implied Productivity Ratios'!$C89)/SUMIFS('MoodysData(Raw)'!AH$2:AH$180,'MoodysData(Raw)'!$B$2:$B$180,"=EMP",'MoodysData(Raw)'!$D$2:$D$180,"="&amp;'Implied Productivity Ratios'!$C89)</f>
        <v>70.724668585720735</v>
      </c>
      <c r="AF89">
        <f>SUMIFS('MoodysData(Raw)'!AI$2:AI$180,'MoodysData(Raw)'!$B$2:$B$180,"=GDP",'MoodysData(Raw)'!$D$2:$D$180,"="&amp;'Implied Productivity Ratios'!$C89)/SUMIFS('MoodysData(Raw)'!AI$2:AI$180,'MoodysData(Raw)'!$B$2:$B$180,"=EMP",'MoodysData(Raw)'!$D$2:$D$180,"="&amp;'Implied Productivity Ratios'!$C89)</f>
        <v>71.857603282626101</v>
      </c>
      <c r="AG89">
        <f>SUMIFS('MoodysData(Raw)'!AJ$2:AJ$180,'MoodysData(Raw)'!$B$2:$B$180,"=GDP",'MoodysData(Raw)'!$D$2:$D$180,"="&amp;'Implied Productivity Ratios'!$C89)/SUMIFS('MoodysData(Raw)'!AJ$2:AJ$180,'MoodysData(Raw)'!$B$2:$B$180,"=EMP",'MoodysData(Raw)'!$D$2:$D$180,"="&amp;'Implied Productivity Ratios'!$C89)</f>
        <v>73.09140183304622</v>
      </c>
      <c r="AH89">
        <f>SUMIFS('MoodysData(Raw)'!AK$2:AK$180,'MoodysData(Raw)'!$B$2:$B$180,"=GDP",'MoodysData(Raw)'!$D$2:$D$180,"="&amp;'Implied Productivity Ratios'!$C89)/SUMIFS('MoodysData(Raw)'!AK$2:AK$180,'MoodysData(Raw)'!$B$2:$B$180,"=EMP",'MoodysData(Raw)'!$D$2:$D$180,"="&amp;'Implied Productivity Ratios'!$C89)</f>
        <v>74.152903569525847</v>
      </c>
      <c r="AI89">
        <f>SUMIFS('MoodysData(Raw)'!AL$2:AL$180,'MoodysData(Raw)'!$B$2:$B$180,"=GDP",'MoodysData(Raw)'!$D$2:$D$180,"="&amp;'Implied Productivity Ratios'!$C89)/SUMIFS('MoodysData(Raw)'!AL$2:AL$180,'MoodysData(Raw)'!$B$2:$B$180,"=EMP",'MoodysData(Raw)'!$D$2:$D$180,"="&amp;'Implied Productivity Ratios'!$C89)</f>
        <v>75.053330060854989</v>
      </c>
      <c r="AJ89">
        <f>SUMIFS('MoodysData(Raw)'!AM$2:AM$180,'MoodysData(Raw)'!$B$2:$B$180,"=GDP",'MoodysData(Raw)'!$D$2:$D$180,"="&amp;'Implied Productivity Ratios'!$C89)/SUMIFS('MoodysData(Raw)'!AM$2:AM$180,'MoodysData(Raw)'!$B$2:$B$180,"=EMP",'MoodysData(Raw)'!$D$2:$D$180,"="&amp;'Implied Productivity Ratios'!$C89)</f>
        <v>75.969865216756943</v>
      </c>
      <c r="AK89">
        <f>SUMIFS('MoodysData(Raw)'!AN$2:AN$180,'MoodysData(Raw)'!$B$2:$B$180,"=GDP",'MoodysData(Raw)'!$D$2:$D$180,"="&amp;'Implied Productivity Ratios'!$C89)/SUMIFS('MoodysData(Raw)'!AN$2:AN$180,'MoodysData(Raw)'!$B$2:$B$180,"=EMP",'MoodysData(Raw)'!$D$2:$D$180,"="&amp;'Implied Productivity Ratios'!$C89)</f>
        <v>76.781252928905857</v>
      </c>
      <c r="AL89">
        <f>SUMIFS('MoodysData(Raw)'!AO$2:AO$180,'MoodysData(Raw)'!$B$2:$B$180,"=GDP",'MoodysData(Raw)'!$D$2:$D$180,"="&amp;'Implied Productivity Ratios'!$C89)/SUMIFS('MoodysData(Raw)'!AO$2:AO$180,'MoodysData(Raw)'!$B$2:$B$180,"=EMP",'MoodysData(Raw)'!$D$2:$D$180,"="&amp;'Implied Productivity Ratios'!$C89)</f>
        <v>77.463085923562389</v>
      </c>
      <c r="AM89">
        <f>SUMIFS('MoodysData(Raw)'!AP$2:AP$180,'MoodysData(Raw)'!$B$2:$B$180,"=GDP",'MoodysData(Raw)'!$D$2:$D$180,"="&amp;'Implied Productivity Ratios'!$C89)/SUMIFS('MoodysData(Raw)'!AP$2:AP$180,'MoodysData(Raw)'!$B$2:$B$180,"=EMP",'MoodysData(Raw)'!$D$2:$D$180,"="&amp;'Implied Productivity Ratios'!$C89)</f>
        <v>78.095239134110358</v>
      </c>
      <c r="AN89">
        <f>SUMIFS('MoodysData(Raw)'!AQ$2:AQ$180,'MoodysData(Raw)'!$B$2:$B$180,"=GDP",'MoodysData(Raw)'!$D$2:$D$180,"="&amp;'Implied Productivity Ratios'!$C89)/SUMIFS('MoodysData(Raw)'!AQ$2:AQ$180,'MoodysData(Raw)'!$B$2:$B$180,"=EMP",'MoodysData(Raw)'!$D$2:$D$180,"="&amp;'Implied Productivity Ratios'!$C89)</f>
        <v>78.718528768615258</v>
      </c>
      <c r="AO89">
        <f>SUMIFS('MoodysData(Raw)'!AR$2:AR$180,'MoodysData(Raw)'!$B$2:$B$180,"=GDP",'MoodysData(Raw)'!$D$2:$D$180,"="&amp;'Implied Productivity Ratios'!$C89)/SUMIFS('MoodysData(Raw)'!AR$2:AR$180,'MoodysData(Raw)'!$B$2:$B$180,"=EMP",'MoodysData(Raw)'!$D$2:$D$180,"="&amp;'Implied Productivity Ratios'!$C89)</f>
        <v>79.300190753935041</v>
      </c>
      <c r="AP89">
        <f>SUMIFS('MoodysData(Raw)'!AS$2:AS$180,'MoodysData(Raw)'!$B$2:$B$180,"=GDP",'MoodysData(Raw)'!$D$2:$D$180,"="&amp;'Implied Productivity Ratios'!$C89)/SUMIFS('MoodysData(Raw)'!AS$2:AS$180,'MoodysData(Raw)'!$B$2:$B$180,"=EMP",'MoodysData(Raw)'!$D$2:$D$180,"="&amp;'Implied Productivity Ratios'!$C89)</f>
        <v>79.809160023384692</v>
      </c>
      <c r="AQ89">
        <f>SUMIFS('MoodysData(Raw)'!AT$2:AT$180,'MoodysData(Raw)'!$B$2:$B$180,"=GDP",'MoodysData(Raw)'!$D$2:$D$180,"="&amp;'Implied Productivity Ratios'!$C89)/SUMIFS('MoodysData(Raw)'!AT$2:AT$180,'MoodysData(Raw)'!$B$2:$B$180,"=EMP",'MoodysData(Raw)'!$D$2:$D$180,"="&amp;'Implied Productivity Ratios'!$C89)</f>
        <v>80.223856081178866</v>
      </c>
      <c r="AR89">
        <f>SUMIFS('MoodysData(Raw)'!AU$2:AU$180,'MoodysData(Raw)'!$B$2:$B$180,"=GDP",'MoodysData(Raw)'!$D$2:$D$180,"="&amp;'Implied Productivity Ratios'!$C89)/SUMIFS('MoodysData(Raw)'!AU$2:AU$180,'MoodysData(Raw)'!$B$2:$B$180,"=EMP",'MoodysData(Raw)'!$D$2:$D$180,"="&amp;'Implied Productivity Ratios'!$C89)</f>
        <v>80.554161080236497</v>
      </c>
      <c r="AS89">
        <f>SUMIFS('MoodysData(Raw)'!AV$2:AV$180,'MoodysData(Raw)'!$B$2:$B$180,"=GDP",'MoodysData(Raw)'!$D$2:$D$180,"="&amp;'Implied Productivity Ratios'!$C89)/SUMIFS('MoodysData(Raw)'!AV$2:AV$180,'MoodysData(Raw)'!$B$2:$B$180,"=EMP",'MoodysData(Raw)'!$D$2:$D$180,"="&amp;'Implied Productivity Ratios'!$C89)</f>
        <v>80.83488300763544</v>
      </c>
      <c r="AT89">
        <f>SUMIFS('MoodysData(Raw)'!AW$2:AW$180,'MoodysData(Raw)'!$B$2:$B$180,"=GDP",'MoodysData(Raw)'!$D$2:$D$180,"="&amp;'Implied Productivity Ratios'!$C89)/SUMIFS('MoodysData(Raw)'!AW$2:AW$180,'MoodysData(Raw)'!$B$2:$B$180,"=EMP",'MoodysData(Raw)'!$D$2:$D$180,"="&amp;'Implied Productivity Ratios'!$C89)</f>
        <v>81.039540630781275</v>
      </c>
      <c r="AU89">
        <f>SUMIFS('MoodysData(Raw)'!AX$2:AX$180,'MoodysData(Raw)'!$B$2:$B$180,"=GDP",'MoodysData(Raw)'!$D$2:$D$180,"="&amp;'Implied Productivity Ratios'!$C89)/SUMIFS('MoodysData(Raw)'!AX$2:AX$180,'MoodysData(Raw)'!$B$2:$B$180,"=EMP",'MoodysData(Raw)'!$D$2:$D$180,"="&amp;'Implied Productivity Ratios'!$C89)</f>
        <v>81.241254435131381</v>
      </c>
      <c r="AV89">
        <f>SUMIFS('MoodysData(Raw)'!AY$2:AY$180,'MoodysData(Raw)'!$B$2:$B$180,"=GDP",'MoodysData(Raw)'!$D$2:$D$180,"="&amp;'Implied Productivity Ratios'!$C89)/SUMIFS('MoodysData(Raw)'!AY$2:AY$180,'MoodysData(Raw)'!$B$2:$B$180,"=EMP",'MoodysData(Raw)'!$D$2:$D$180,"="&amp;'Implied Productivity Ratios'!$C89)</f>
        <v>81.428558495747026</v>
      </c>
      <c r="AW89">
        <f>SUMIFS('MoodysData(Raw)'!AZ$2:AZ$180,'MoodysData(Raw)'!$B$2:$B$180,"=GDP",'MoodysData(Raw)'!$D$2:$D$180,"="&amp;'Implied Productivity Ratios'!$C89)/SUMIFS('MoodysData(Raw)'!AZ$2:AZ$180,'MoodysData(Raw)'!$B$2:$B$180,"=EMP",'MoodysData(Raw)'!$D$2:$D$180,"="&amp;'Implied Productivity Ratios'!$C89)</f>
        <v>81.533793657517251</v>
      </c>
      <c r="AX89">
        <f>SUMIFS('MoodysData(Raw)'!BA$2:BA$180,'MoodysData(Raw)'!$B$2:$B$180,"=GDP",'MoodysData(Raw)'!$D$2:$D$180,"="&amp;'Implied Productivity Ratios'!$C89)/SUMIFS('MoodysData(Raw)'!BA$2:BA$180,'MoodysData(Raw)'!$B$2:$B$180,"=EMP",'MoodysData(Raw)'!$D$2:$D$180,"="&amp;'Implied Productivity Ratios'!$C89)</f>
        <v>81.547812872648649</v>
      </c>
      <c r="AY89">
        <f>SUMIFS('MoodysData(Raw)'!BB$2:BB$180,'MoodysData(Raw)'!$B$2:$B$180,"=GDP",'MoodysData(Raw)'!$D$2:$D$180,"="&amp;'Implied Productivity Ratios'!$C89)/SUMIFS('MoodysData(Raw)'!BB$2:BB$180,'MoodysData(Raw)'!$B$2:$B$180,"=EMP",'MoodysData(Raw)'!$D$2:$D$180,"="&amp;'Implied Productivity Ratios'!$C89)</f>
        <v>81.517333602764978</v>
      </c>
      <c r="AZ89">
        <f>SUMIFS('MoodysData(Raw)'!BC$2:BC$180,'MoodysData(Raw)'!$B$2:$B$180,"=GDP",'MoodysData(Raw)'!$D$2:$D$180,"="&amp;'Implied Productivity Ratios'!$C89)/SUMIFS('MoodysData(Raw)'!BC$2:BC$180,'MoodysData(Raw)'!$B$2:$B$180,"=EMP",'MoodysData(Raw)'!$D$2:$D$180,"="&amp;'Implied Productivity Ratios'!$C89)</f>
        <v>81.489822819035126</v>
      </c>
      <c r="BA89">
        <f>SUMIFS('MoodysData(Raw)'!BD$2:BD$180,'MoodysData(Raw)'!$B$2:$B$180,"=GDP",'MoodysData(Raw)'!$D$2:$D$180,"="&amp;'Implied Productivity Ratios'!$C89)/SUMIFS('MoodysData(Raw)'!BD$2:BD$180,'MoodysData(Raw)'!$B$2:$B$180,"=EMP",'MoodysData(Raw)'!$D$2:$D$180,"="&amp;'Implied Productivity Ratios'!$C89)</f>
        <v>81.448021997138213</v>
      </c>
      <c r="BB89">
        <f>SUMIFS('MoodysData(Raw)'!BE$2:BE$180,'MoodysData(Raw)'!$B$2:$B$180,"=GDP",'MoodysData(Raw)'!$D$2:$D$180,"="&amp;'Implied Productivity Ratios'!$C89)/SUMIFS('MoodysData(Raw)'!BE$2:BE$180,'MoodysData(Raw)'!$B$2:$B$180,"=EMP",'MoodysData(Raw)'!$D$2:$D$180,"="&amp;'Implied Productivity Ratios'!$C89)</f>
        <v>81.398185928305281</v>
      </c>
      <c r="BC89">
        <f>SUMIFS('MoodysData(Raw)'!BF$2:BF$180,'MoodysData(Raw)'!$B$2:$B$180,"=GDP",'MoodysData(Raw)'!$D$2:$D$180,"="&amp;'Implied Productivity Ratios'!$C89)/SUMIFS('MoodysData(Raw)'!BF$2:BF$180,'MoodysData(Raw)'!$B$2:$B$180,"=EMP",'MoodysData(Raw)'!$D$2:$D$180,"="&amp;'Implied Productivity Ratios'!$C89)</f>
        <v>81.328001539348961</v>
      </c>
      <c r="BD89" s="5">
        <f t="shared" ref="BD89:BH89" si="83">BC89+($BC89-$AX89)/5</f>
        <v>81.284039272689029</v>
      </c>
      <c r="BE89" s="5">
        <f t="shared" si="83"/>
        <v>81.240077006029097</v>
      </c>
      <c r="BF89" s="5">
        <f t="shared" si="83"/>
        <v>81.196114739369165</v>
      </c>
      <c r="BG89" s="5">
        <f t="shared" si="83"/>
        <v>81.152152472709233</v>
      </c>
      <c r="BH89" s="5">
        <f t="shared" si="83"/>
        <v>81.108190206049301</v>
      </c>
    </row>
    <row r="90" spans="3:60">
      <c r="C90" t="s">
        <v>293</v>
      </c>
      <c r="D90" t="s">
        <v>29</v>
      </c>
      <c r="E90">
        <f>SUMIFS('MoodysData(Raw)'!H$2:H$180,'MoodysData(Raw)'!$B$2:$B$180,"=GDP",'MoodysData(Raw)'!$D$2:$D$180,"="&amp;'Implied Productivity Ratios'!$C90)/SUMIFS('MoodysData(Raw)'!H$2:H$180,'MoodysData(Raw)'!$B$2:$B$180,"=EMP",'MoodysData(Raw)'!$D$2:$D$180,"="&amp;'Implied Productivity Ratios'!$C90)</f>
        <v>61.929396888802771</v>
      </c>
      <c r="F90">
        <f>SUMIFS('MoodysData(Raw)'!I$2:I$180,'MoodysData(Raw)'!$B$2:$B$180,"=GDP",'MoodysData(Raw)'!$D$2:$D$180,"="&amp;'Implied Productivity Ratios'!$C90)/SUMIFS('MoodysData(Raw)'!I$2:I$180,'MoodysData(Raw)'!$B$2:$B$180,"=EMP",'MoodysData(Raw)'!$D$2:$D$180,"="&amp;'Implied Productivity Ratios'!$C90)</f>
        <v>72.809747906640879</v>
      </c>
      <c r="G90">
        <f>SUMIFS('MoodysData(Raw)'!J$2:J$180,'MoodysData(Raw)'!$B$2:$B$180,"=GDP",'MoodysData(Raw)'!$D$2:$D$180,"="&amp;'Implied Productivity Ratios'!$C90)/SUMIFS('MoodysData(Raw)'!J$2:J$180,'MoodysData(Raw)'!$B$2:$B$180,"=EMP",'MoodysData(Raw)'!$D$2:$D$180,"="&amp;'Implied Productivity Ratios'!$C90)</f>
        <v>68.663941949673543</v>
      </c>
      <c r="H90">
        <f>SUMIFS('MoodysData(Raw)'!K$2:K$180,'MoodysData(Raw)'!$B$2:$B$180,"=GDP",'MoodysData(Raw)'!$D$2:$D$180,"="&amp;'Implied Productivity Ratios'!$C90)/SUMIFS('MoodysData(Raw)'!K$2:K$180,'MoodysData(Raw)'!$B$2:$B$180,"=EMP",'MoodysData(Raw)'!$D$2:$D$180,"="&amp;'Implied Productivity Ratios'!$C90)</f>
        <v>69.556588003080833</v>
      </c>
      <c r="I90">
        <f>SUMIFS('MoodysData(Raw)'!L$2:L$180,'MoodysData(Raw)'!$B$2:$B$180,"=GDP",'MoodysData(Raw)'!$D$2:$D$180,"="&amp;'Implied Productivity Ratios'!$C90)/SUMIFS('MoodysData(Raw)'!L$2:L$180,'MoodysData(Raw)'!$B$2:$B$180,"=EMP",'MoodysData(Raw)'!$D$2:$D$180,"="&amp;'Implied Productivity Ratios'!$C90)</f>
        <v>71.983976292118697</v>
      </c>
      <c r="J90">
        <f>SUMIFS('MoodysData(Raw)'!M$2:M$180,'MoodysData(Raw)'!$B$2:$B$180,"=GDP",'MoodysData(Raw)'!$D$2:$D$180,"="&amp;'Implied Productivity Ratios'!$C90)/SUMIFS('MoodysData(Raw)'!M$2:M$180,'MoodysData(Raw)'!$B$2:$B$180,"=EMP",'MoodysData(Raw)'!$D$2:$D$180,"="&amp;'Implied Productivity Ratios'!$C90)</f>
        <v>69.192364166581399</v>
      </c>
      <c r="K90">
        <f>SUMIFS('MoodysData(Raw)'!N$2:N$180,'MoodysData(Raw)'!$B$2:$B$180,"=GDP",'MoodysData(Raw)'!$D$2:$D$180,"="&amp;'Implied Productivity Ratios'!$C90)/SUMIFS('MoodysData(Raw)'!N$2:N$180,'MoodysData(Raw)'!$B$2:$B$180,"=EMP",'MoodysData(Raw)'!$D$2:$D$180,"="&amp;'Implied Productivity Ratios'!$C90)</f>
        <v>68.110608362341296</v>
      </c>
      <c r="L90">
        <f>SUMIFS('MoodysData(Raw)'!O$2:O$180,'MoodysData(Raw)'!$B$2:$B$180,"=GDP",'MoodysData(Raw)'!$D$2:$D$180,"="&amp;'Implied Productivity Ratios'!$C90)/SUMIFS('MoodysData(Raw)'!O$2:O$180,'MoodysData(Raw)'!$B$2:$B$180,"=EMP",'MoodysData(Raw)'!$D$2:$D$180,"="&amp;'Implied Productivity Ratios'!$C90)</f>
        <v>70.997614430123392</v>
      </c>
      <c r="M90">
        <f>SUMIFS('MoodysData(Raw)'!P$2:P$180,'MoodysData(Raw)'!$B$2:$B$180,"=GDP",'MoodysData(Raw)'!$D$2:$D$180,"="&amp;'Implied Productivity Ratios'!$C90)/SUMIFS('MoodysData(Raw)'!P$2:P$180,'MoodysData(Raw)'!$B$2:$B$180,"=EMP",'MoodysData(Raw)'!$D$2:$D$180,"="&amp;'Implied Productivity Ratios'!$C90)</f>
        <v>67.649628017127966</v>
      </c>
      <c r="N90">
        <f>SUMIFS('MoodysData(Raw)'!Q$2:Q$180,'MoodysData(Raw)'!$B$2:$B$180,"=GDP",'MoodysData(Raw)'!$D$2:$D$180,"="&amp;'Implied Productivity Ratios'!$C90)/SUMIFS('MoodysData(Raw)'!Q$2:Q$180,'MoodysData(Raw)'!$B$2:$B$180,"=EMP",'MoodysData(Raw)'!$D$2:$D$180,"="&amp;'Implied Productivity Ratios'!$C90)</f>
        <v>68.137774634893347</v>
      </c>
      <c r="O90">
        <f>SUMIFS('MoodysData(Raw)'!R$2:R$180,'MoodysData(Raw)'!$B$2:$B$180,"=GDP",'MoodysData(Raw)'!$D$2:$D$180,"="&amp;'Implied Productivity Ratios'!$C90)/SUMIFS('MoodysData(Raw)'!R$2:R$180,'MoodysData(Raw)'!$B$2:$B$180,"=EMP",'MoodysData(Raw)'!$D$2:$D$180,"="&amp;'Implied Productivity Ratios'!$C90)</f>
        <v>72.026625868902045</v>
      </c>
      <c r="P90">
        <f>SUMIFS('MoodysData(Raw)'!S$2:S$180,'MoodysData(Raw)'!$B$2:$B$180,"=GDP",'MoodysData(Raw)'!$D$2:$D$180,"="&amp;'Implied Productivity Ratios'!$C90)/SUMIFS('MoodysData(Raw)'!S$2:S$180,'MoodysData(Raw)'!$B$2:$B$180,"=EMP",'MoodysData(Raw)'!$D$2:$D$180,"="&amp;'Implied Productivity Ratios'!$C90)</f>
        <v>73.245172218055487</v>
      </c>
      <c r="Q90">
        <f>SUMIFS('MoodysData(Raw)'!T$2:T$180,'MoodysData(Raw)'!$B$2:$B$180,"=GDP",'MoodysData(Raw)'!$D$2:$D$180,"="&amp;'Implied Productivity Ratios'!$C90)/SUMIFS('MoodysData(Raw)'!T$2:T$180,'MoodysData(Raw)'!$B$2:$B$180,"=EMP",'MoodysData(Raw)'!$D$2:$D$180,"="&amp;'Implied Productivity Ratios'!$C90)</f>
        <v>74.376150300669295</v>
      </c>
      <c r="R90">
        <f>SUMIFS('MoodysData(Raw)'!U$2:U$180,'MoodysData(Raw)'!$B$2:$B$180,"=GDP",'MoodysData(Raw)'!$D$2:$D$180,"="&amp;'Implied Productivity Ratios'!$C90)/SUMIFS('MoodysData(Raw)'!U$2:U$180,'MoodysData(Raw)'!$B$2:$B$180,"=EMP",'MoodysData(Raw)'!$D$2:$D$180,"="&amp;'Implied Productivity Ratios'!$C90)</f>
        <v>76.924412836775872</v>
      </c>
      <c r="S90">
        <f>SUMIFS('MoodysData(Raw)'!V$2:V$180,'MoodysData(Raw)'!$B$2:$B$180,"=GDP",'MoodysData(Raw)'!$D$2:$D$180,"="&amp;'Implied Productivity Ratios'!$C90)/SUMIFS('MoodysData(Raw)'!V$2:V$180,'MoodysData(Raw)'!$B$2:$B$180,"=EMP",'MoodysData(Raw)'!$D$2:$D$180,"="&amp;'Implied Productivity Ratios'!$C90)</f>
        <v>78.435651514277737</v>
      </c>
      <c r="T90">
        <f>SUMIFS('MoodysData(Raw)'!W$2:W$180,'MoodysData(Raw)'!$B$2:$B$180,"=GDP",'MoodysData(Raw)'!$D$2:$D$180,"="&amp;'Implied Productivity Ratios'!$C90)/SUMIFS('MoodysData(Raw)'!W$2:W$180,'MoodysData(Raw)'!$B$2:$B$180,"=EMP",'MoodysData(Raw)'!$D$2:$D$180,"="&amp;'Implied Productivity Ratios'!$C90)</f>
        <v>85.925109331959888</v>
      </c>
      <c r="U90">
        <f>SUMIFS('MoodysData(Raw)'!X$2:X$180,'MoodysData(Raw)'!$B$2:$B$180,"=GDP",'MoodysData(Raw)'!$D$2:$D$180,"="&amp;'Implied Productivity Ratios'!$C90)/SUMIFS('MoodysData(Raw)'!X$2:X$180,'MoodysData(Raw)'!$B$2:$B$180,"=EMP",'MoodysData(Raw)'!$D$2:$D$180,"="&amp;'Implied Productivity Ratios'!$C90)</f>
        <v>83.519552729883742</v>
      </c>
      <c r="V90">
        <f>SUMIFS('MoodysData(Raw)'!Y$2:Y$180,'MoodysData(Raw)'!$B$2:$B$180,"=GDP",'MoodysData(Raw)'!$D$2:$D$180,"="&amp;'Implied Productivity Ratios'!$C90)/SUMIFS('MoodysData(Raw)'!Y$2:Y$180,'MoodysData(Raw)'!$B$2:$B$180,"=EMP",'MoodysData(Raw)'!$D$2:$D$180,"="&amp;'Implied Productivity Ratios'!$C90)</f>
        <v>81.789244364260568</v>
      </c>
      <c r="W90">
        <f>SUMIFS('MoodysData(Raw)'!Z$2:Z$180,'MoodysData(Raw)'!$B$2:$B$180,"=GDP",'MoodysData(Raw)'!$D$2:$D$180,"="&amp;'Implied Productivity Ratios'!$C90)/SUMIFS('MoodysData(Raw)'!Z$2:Z$180,'MoodysData(Raw)'!$B$2:$B$180,"=EMP",'MoodysData(Raw)'!$D$2:$D$180,"="&amp;'Implied Productivity Ratios'!$C90)</f>
        <v>83.173134199601009</v>
      </c>
      <c r="X90">
        <f>SUMIFS('MoodysData(Raw)'!AA$2:AA$180,'MoodysData(Raw)'!$B$2:$B$180,"=GDP",'MoodysData(Raw)'!$D$2:$D$180,"="&amp;'Implied Productivity Ratios'!$C90)/SUMIFS('MoodysData(Raw)'!AA$2:AA$180,'MoodysData(Raw)'!$B$2:$B$180,"=EMP",'MoodysData(Raw)'!$D$2:$D$180,"="&amp;'Implied Productivity Ratios'!$C90)</f>
        <v>77.750928212552154</v>
      </c>
      <c r="Y90">
        <f>SUMIFS('MoodysData(Raw)'!AB$2:AB$180,'MoodysData(Raw)'!$B$2:$B$180,"=GDP",'MoodysData(Raw)'!$D$2:$D$180,"="&amp;'Implied Productivity Ratios'!$C90)/SUMIFS('MoodysData(Raw)'!AB$2:AB$180,'MoodysData(Raw)'!$B$2:$B$180,"=EMP",'MoodysData(Raw)'!$D$2:$D$180,"="&amp;'Implied Productivity Ratios'!$C90)</f>
        <v>73.506027499670807</v>
      </c>
      <c r="Z90">
        <f>SUMIFS('MoodysData(Raw)'!AC$2:AC$180,'MoodysData(Raw)'!$B$2:$B$180,"=GDP",'MoodysData(Raw)'!$D$2:$D$180,"="&amp;'Implied Productivity Ratios'!$C90)/SUMIFS('MoodysData(Raw)'!AC$2:AC$180,'MoodysData(Raw)'!$B$2:$B$180,"=EMP",'MoodysData(Raw)'!$D$2:$D$180,"="&amp;'Implied Productivity Ratios'!$C90)</f>
        <v>72.062384833639726</v>
      </c>
      <c r="AA90">
        <f>SUMIFS('MoodysData(Raw)'!AD$2:AD$180,'MoodysData(Raw)'!$B$2:$B$180,"=GDP",'MoodysData(Raw)'!$D$2:$D$180,"="&amp;'Implied Productivity Ratios'!$C90)/SUMIFS('MoodysData(Raw)'!AD$2:AD$180,'MoodysData(Raw)'!$B$2:$B$180,"=EMP",'MoodysData(Raw)'!$D$2:$D$180,"="&amp;'Implied Productivity Ratios'!$C90)</f>
        <v>72.354051035495104</v>
      </c>
      <c r="AB90">
        <f>SUMIFS('MoodysData(Raw)'!AE$2:AE$180,'MoodysData(Raw)'!$B$2:$B$180,"=GDP",'MoodysData(Raw)'!$D$2:$D$180,"="&amp;'Implied Productivity Ratios'!$C90)/SUMIFS('MoodysData(Raw)'!AE$2:AE$180,'MoodysData(Raw)'!$B$2:$B$180,"=EMP",'MoodysData(Raw)'!$D$2:$D$180,"="&amp;'Implied Productivity Ratios'!$C90)</f>
        <v>74.187697926243743</v>
      </c>
      <c r="AC90">
        <f>SUMIFS('MoodysData(Raw)'!AF$2:AF$180,'MoodysData(Raw)'!$B$2:$B$180,"=GDP",'MoodysData(Raw)'!$D$2:$D$180,"="&amp;'Implied Productivity Ratios'!$C90)/SUMIFS('MoodysData(Raw)'!AF$2:AF$180,'MoodysData(Raw)'!$B$2:$B$180,"=EMP",'MoodysData(Raw)'!$D$2:$D$180,"="&amp;'Implied Productivity Ratios'!$C90)</f>
        <v>76.848581664515407</v>
      </c>
      <c r="AD90">
        <f>SUMIFS('MoodysData(Raw)'!AG$2:AG$180,'MoodysData(Raw)'!$B$2:$B$180,"=GDP",'MoodysData(Raw)'!$D$2:$D$180,"="&amp;'Implied Productivity Ratios'!$C90)/SUMIFS('MoodysData(Raw)'!AG$2:AG$180,'MoodysData(Raw)'!$B$2:$B$180,"=EMP",'MoodysData(Raw)'!$D$2:$D$180,"="&amp;'Implied Productivity Ratios'!$C90)</f>
        <v>79.811291987239628</v>
      </c>
      <c r="AE90">
        <f>SUMIFS('MoodysData(Raw)'!AH$2:AH$180,'MoodysData(Raw)'!$B$2:$B$180,"=GDP",'MoodysData(Raw)'!$D$2:$D$180,"="&amp;'Implied Productivity Ratios'!$C90)/SUMIFS('MoodysData(Raw)'!AH$2:AH$180,'MoodysData(Raw)'!$B$2:$B$180,"=EMP",'MoodysData(Raw)'!$D$2:$D$180,"="&amp;'Implied Productivity Ratios'!$C90)</f>
        <v>82.574270129481974</v>
      </c>
      <c r="AF90">
        <f>SUMIFS('MoodysData(Raw)'!AI$2:AI$180,'MoodysData(Raw)'!$B$2:$B$180,"=GDP",'MoodysData(Raw)'!$D$2:$D$180,"="&amp;'Implied Productivity Ratios'!$C90)/SUMIFS('MoodysData(Raw)'!AI$2:AI$180,'MoodysData(Raw)'!$B$2:$B$180,"=EMP",'MoodysData(Raw)'!$D$2:$D$180,"="&amp;'Implied Productivity Ratios'!$C90)</f>
        <v>85.05409103542641</v>
      </c>
      <c r="AG90">
        <f>SUMIFS('MoodysData(Raw)'!AJ$2:AJ$180,'MoodysData(Raw)'!$B$2:$B$180,"=GDP",'MoodysData(Raw)'!$D$2:$D$180,"="&amp;'Implied Productivity Ratios'!$C90)/SUMIFS('MoodysData(Raw)'!AJ$2:AJ$180,'MoodysData(Raw)'!$B$2:$B$180,"=EMP",'MoodysData(Raw)'!$D$2:$D$180,"="&amp;'Implied Productivity Ratios'!$C90)</f>
        <v>87.366290633717938</v>
      </c>
      <c r="AH90">
        <f>SUMIFS('MoodysData(Raw)'!AK$2:AK$180,'MoodysData(Raw)'!$B$2:$B$180,"=GDP",'MoodysData(Raw)'!$D$2:$D$180,"="&amp;'Implied Productivity Ratios'!$C90)/SUMIFS('MoodysData(Raw)'!AK$2:AK$180,'MoodysData(Raw)'!$B$2:$B$180,"=EMP",'MoodysData(Raw)'!$D$2:$D$180,"="&amp;'Implied Productivity Ratios'!$C90)</f>
        <v>89.673317980847983</v>
      </c>
      <c r="AI90">
        <f>SUMIFS('MoodysData(Raw)'!AL$2:AL$180,'MoodysData(Raw)'!$B$2:$B$180,"=GDP",'MoodysData(Raw)'!$D$2:$D$180,"="&amp;'Implied Productivity Ratios'!$C90)/SUMIFS('MoodysData(Raw)'!AL$2:AL$180,'MoodysData(Raw)'!$B$2:$B$180,"=EMP",'MoodysData(Raw)'!$D$2:$D$180,"="&amp;'Implied Productivity Ratios'!$C90)</f>
        <v>91.804341197790976</v>
      </c>
      <c r="AJ90">
        <f>SUMIFS('MoodysData(Raw)'!AM$2:AM$180,'MoodysData(Raw)'!$B$2:$B$180,"=GDP",'MoodysData(Raw)'!$D$2:$D$180,"="&amp;'Implied Productivity Ratios'!$C90)/SUMIFS('MoodysData(Raw)'!AM$2:AM$180,'MoodysData(Raw)'!$B$2:$B$180,"=EMP",'MoodysData(Raw)'!$D$2:$D$180,"="&amp;'Implied Productivity Ratios'!$C90)</f>
        <v>93.875897010216832</v>
      </c>
      <c r="AK90">
        <f>SUMIFS('MoodysData(Raw)'!AN$2:AN$180,'MoodysData(Raw)'!$B$2:$B$180,"=GDP",'MoodysData(Raw)'!$D$2:$D$180,"="&amp;'Implied Productivity Ratios'!$C90)/SUMIFS('MoodysData(Raw)'!AN$2:AN$180,'MoodysData(Raw)'!$B$2:$B$180,"=EMP",'MoodysData(Raw)'!$D$2:$D$180,"="&amp;'Implied Productivity Ratios'!$C90)</f>
        <v>95.864759615488168</v>
      </c>
      <c r="AL90">
        <f>SUMIFS('MoodysData(Raw)'!AO$2:AO$180,'MoodysData(Raw)'!$B$2:$B$180,"=GDP",'MoodysData(Raw)'!$D$2:$D$180,"="&amp;'Implied Productivity Ratios'!$C90)/SUMIFS('MoodysData(Raw)'!AO$2:AO$180,'MoodysData(Raw)'!$B$2:$B$180,"=EMP",'MoodysData(Raw)'!$D$2:$D$180,"="&amp;'Implied Productivity Ratios'!$C90)</f>
        <v>97.693282160478248</v>
      </c>
      <c r="AM90">
        <f>SUMIFS('MoodysData(Raw)'!AP$2:AP$180,'MoodysData(Raw)'!$B$2:$B$180,"=GDP",'MoodysData(Raw)'!$D$2:$D$180,"="&amp;'Implied Productivity Ratios'!$C90)/SUMIFS('MoodysData(Raw)'!AP$2:AP$180,'MoodysData(Raw)'!$B$2:$B$180,"=EMP",'MoodysData(Raw)'!$D$2:$D$180,"="&amp;'Implied Productivity Ratios'!$C90)</f>
        <v>99.455436154032299</v>
      </c>
      <c r="AN90">
        <f>SUMIFS('MoodysData(Raw)'!AQ$2:AQ$180,'MoodysData(Raw)'!$B$2:$B$180,"=GDP",'MoodysData(Raw)'!$D$2:$D$180,"="&amp;'Implied Productivity Ratios'!$C90)/SUMIFS('MoodysData(Raw)'!AQ$2:AQ$180,'MoodysData(Raw)'!$B$2:$B$180,"=EMP",'MoodysData(Raw)'!$D$2:$D$180,"="&amp;'Implied Productivity Ratios'!$C90)</f>
        <v>100.98329960389532</v>
      </c>
      <c r="AO90">
        <f>SUMIFS('MoodysData(Raw)'!AR$2:AR$180,'MoodysData(Raw)'!$B$2:$B$180,"=GDP",'MoodysData(Raw)'!$D$2:$D$180,"="&amp;'Implied Productivity Ratios'!$C90)/SUMIFS('MoodysData(Raw)'!AR$2:AR$180,'MoodysData(Raw)'!$B$2:$B$180,"=EMP",'MoodysData(Raw)'!$D$2:$D$180,"="&amp;'Implied Productivity Ratios'!$C90)</f>
        <v>102.24656793743257</v>
      </c>
      <c r="AP90">
        <f>SUMIFS('MoodysData(Raw)'!AS$2:AS$180,'MoodysData(Raw)'!$B$2:$B$180,"=GDP",'MoodysData(Raw)'!$D$2:$D$180,"="&amp;'Implied Productivity Ratios'!$C90)/SUMIFS('MoodysData(Raw)'!AS$2:AS$180,'MoodysData(Raw)'!$B$2:$B$180,"=EMP",'MoodysData(Raw)'!$D$2:$D$180,"="&amp;'Implied Productivity Ratios'!$C90)</f>
        <v>103.20135630728269</v>
      </c>
      <c r="AQ90">
        <f>SUMIFS('MoodysData(Raw)'!AT$2:AT$180,'MoodysData(Raw)'!$B$2:$B$180,"=GDP",'MoodysData(Raw)'!$D$2:$D$180,"="&amp;'Implied Productivity Ratios'!$C90)/SUMIFS('MoodysData(Raw)'!AT$2:AT$180,'MoodysData(Raw)'!$B$2:$B$180,"=EMP",'MoodysData(Raw)'!$D$2:$D$180,"="&amp;'Implied Productivity Ratios'!$C90)</f>
        <v>103.77298266896624</v>
      </c>
      <c r="AR90">
        <f>SUMIFS('MoodysData(Raw)'!AU$2:AU$180,'MoodysData(Raw)'!$B$2:$B$180,"=GDP",'MoodysData(Raw)'!$D$2:$D$180,"="&amp;'Implied Productivity Ratios'!$C90)/SUMIFS('MoodysData(Raw)'!AU$2:AU$180,'MoodysData(Raw)'!$B$2:$B$180,"=EMP",'MoodysData(Raw)'!$D$2:$D$180,"="&amp;'Implied Productivity Ratios'!$C90)</f>
        <v>103.93122274505748</v>
      </c>
      <c r="AS90">
        <f>SUMIFS('MoodysData(Raw)'!AV$2:AV$180,'MoodysData(Raw)'!$B$2:$B$180,"=GDP",'MoodysData(Raw)'!$D$2:$D$180,"="&amp;'Implied Productivity Ratios'!$C90)/SUMIFS('MoodysData(Raw)'!AV$2:AV$180,'MoodysData(Raw)'!$B$2:$B$180,"=EMP",'MoodysData(Raw)'!$D$2:$D$180,"="&amp;'Implied Productivity Ratios'!$C90)</f>
        <v>104.04284018630095</v>
      </c>
      <c r="AT90">
        <f>SUMIFS('MoodysData(Raw)'!AW$2:AW$180,'MoodysData(Raw)'!$B$2:$B$180,"=GDP",'MoodysData(Raw)'!$D$2:$D$180,"="&amp;'Implied Productivity Ratios'!$C90)/SUMIFS('MoodysData(Raw)'!AW$2:AW$180,'MoodysData(Raw)'!$B$2:$B$180,"=EMP",'MoodysData(Raw)'!$D$2:$D$180,"="&amp;'Implied Productivity Ratios'!$C90)</f>
        <v>104.28390628957004</v>
      </c>
      <c r="AU90">
        <f>SUMIFS('MoodysData(Raw)'!AX$2:AX$180,'MoodysData(Raw)'!$B$2:$B$180,"=GDP",'MoodysData(Raw)'!$D$2:$D$180,"="&amp;'Implied Productivity Ratios'!$C90)/SUMIFS('MoodysData(Raw)'!AX$2:AX$180,'MoodysData(Raw)'!$B$2:$B$180,"=EMP",'MoodysData(Raw)'!$D$2:$D$180,"="&amp;'Implied Productivity Ratios'!$C90)</f>
        <v>104.68180191991705</v>
      </c>
      <c r="AV90">
        <f>SUMIFS('MoodysData(Raw)'!AY$2:AY$180,'MoodysData(Raw)'!$B$2:$B$180,"=GDP",'MoodysData(Raw)'!$D$2:$D$180,"="&amp;'Implied Productivity Ratios'!$C90)/SUMIFS('MoodysData(Raw)'!AY$2:AY$180,'MoodysData(Raw)'!$B$2:$B$180,"=EMP",'MoodysData(Raw)'!$D$2:$D$180,"="&amp;'Implied Productivity Ratios'!$C90)</f>
        <v>105.19490173435128</v>
      </c>
      <c r="AW90">
        <f>SUMIFS('MoodysData(Raw)'!AZ$2:AZ$180,'MoodysData(Raw)'!$B$2:$B$180,"=GDP",'MoodysData(Raw)'!$D$2:$D$180,"="&amp;'Implied Productivity Ratios'!$C90)/SUMIFS('MoodysData(Raw)'!AZ$2:AZ$180,'MoodysData(Raw)'!$B$2:$B$180,"=EMP",'MoodysData(Raw)'!$D$2:$D$180,"="&amp;'Implied Productivity Ratios'!$C90)</f>
        <v>105.75550493870119</v>
      </c>
      <c r="AX90">
        <f>SUMIFS('MoodysData(Raw)'!BA$2:BA$180,'MoodysData(Raw)'!$B$2:$B$180,"=GDP",'MoodysData(Raw)'!$D$2:$D$180,"="&amp;'Implied Productivity Ratios'!$C90)/SUMIFS('MoodysData(Raw)'!BA$2:BA$180,'MoodysData(Raw)'!$B$2:$B$180,"=EMP",'MoodysData(Raw)'!$D$2:$D$180,"="&amp;'Implied Productivity Ratios'!$C90)</f>
        <v>106.36986137896497</v>
      </c>
      <c r="AY90">
        <f>SUMIFS('MoodysData(Raw)'!BB$2:BB$180,'MoodysData(Raw)'!$B$2:$B$180,"=GDP",'MoodysData(Raw)'!$D$2:$D$180,"="&amp;'Implied Productivity Ratios'!$C90)/SUMIFS('MoodysData(Raw)'!BB$2:BB$180,'MoodysData(Raw)'!$B$2:$B$180,"=EMP",'MoodysData(Raw)'!$D$2:$D$180,"="&amp;'Implied Productivity Ratios'!$C90)</f>
        <v>107.01142573907789</v>
      </c>
      <c r="AZ90">
        <f>SUMIFS('MoodysData(Raw)'!BC$2:BC$180,'MoodysData(Raw)'!$B$2:$B$180,"=GDP",'MoodysData(Raw)'!$D$2:$D$180,"="&amp;'Implied Productivity Ratios'!$C90)/SUMIFS('MoodysData(Raw)'!BC$2:BC$180,'MoodysData(Raw)'!$B$2:$B$180,"=EMP",'MoodysData(Raw)'!$D$2:$D$180,"="&amp;'Implied Productivity Ratios'!$C90)</f>
        <v>107.7784363737531</v>
      </c>
      <c r="BA90">
        <f>SUMIFS('MoodysData(Raw)'!BD$2:BD$180,'MoodysData(Raw)'!$B$2:$B$180,"=GDP",'MoodysData(Raw)'!$D$2:$D$180,"="&amp;'Implied Productivity Ratios'!$C90)/SUMIFS('MoodysData(Raw)'!BD$2:BD$180,'MoodysData(Raw)'!$B$2:$B$180,"=EMP",'MoodysData(Raw)'!$D$2:$D$180,"="&amp;'Implied Productivity Ratios'!$C90)</f>
        <v>108.69971479765476</v>
      </c>
      <c r="BB90">
        <f>SUMIFS('MoodysData(Raw)'!BE$2:BE$180,'MoodysData(Raw)'!$B$2:$B$180,"=GDP",'MoodysData(Raw)'!$D$2:$D$180,"="&amp;'Implied Productivity Ratios'!$C90)/SUMIFS('MoodysData(Raw)'!BE$2:BE$180,'MoodysData(Raw)'!$B$2:$B$180,"=EMP",'MoodysData(Raw)'!$D$2:$D$180,"="&amp;'Implied Productivity Ratios'!$C90)</f>
        <v>109.75392795432987</v>
      </c>
      <c r="BC90">
        <f>SUMIFS('MoodysData(Raw)'!BF$2:BF$180,'MoodysData(Raw)'!$B$2:$B$180,"=GDP",'MoodysData(Raw)'!$D$2:$D$180,"="&amp;'Implied Productivity Ratios'!$C90)/SUMIFS('MoodysData(Raw)'!BF$2:BF$180,'MoodysData(Raw)'!$B$2:$B$180,"=EMP",'MoodysData(Raw)'!$D$2:$D$180,"="&amp;'Implied Productivity Ratios'!$C90)</f>
        <v>110.98594322305591</v>
      </c>
      <c r="BD90" s="5">
        <f t="shared" ref="BD90:BH90" si="84">BC90+($BC90-$AX90)/5</f>
        <v>111.9091595918741</v>
      </c>
      <c r="BE90" s="5">
        <f t="shared" si="84"/>
        <v>112.83237596069229</v>
      </c>
      <c r="BF90" s="5">
        <f t="shared" si="84"/>
        <v>113.75559232951048</v>
      </c>
      <c r="BG90" s="5">
        <f t="shared" si="84"/>
        <v>114.67880869832867</v>
      </c>
      <c r="BH90" s="5">
        <f t="shared" si="84"/>
        <v>115.60202506714685</v>
      </c>
    </row>
    <row r="91" spans="3:60">
      <c r="C91" t="s">
        <v>294</v>
      </c>
      <c r="D91" t="s">
        <v>30</v>
      </c>
      <c r="E91">
        <f>SUMIFS('MoodysData(Raw)'!H$2:H$180,'MoodysData(Raw)'!$B$2:$B$180,"=GDP",'MoodysData(Raw)'!$D$2:$D$180,"="&amp;'Implied Productivity Ratios'!$C91)/SUMIFS('MoodysData(Raw)'!H$2:H$180,'MoodysData(Raw)'!$B$2:$B$180,"=EMP",'MoodysData(Raw)'!$D$2:$D$180,"="&amp;'Implied Productivity Ratios'!$C91)</f>
        <v>47.606668544055125</v>
      </c>
      <c r="F91">
        <f>SUMIFS('MoodysData(Raw)'!I$2:I$180,'MoodysData(Raw)'!$B$2:$B$180,"=GDP",'MoodysData(Raw)'!$D$2:$D$180,"="&amp;'Implied Productivity Ratios'!$C91)/SUMIFS('MoodysData(Raw)'!I$2:I$180,'MoodysData(Raw)'!$B$2:$B$180,"=EMP",'MoodysData(Raw)'!$D$2:$D$180,"="&amp;'Implied Productivity Ratios'!$C91)</f>
        <v>47.936083877309265</v>
      </c>
      <c r="G91">
        <f>SUMIFS('MoodysData(Raw)'!J$2:J$180,'MoodysData(Raw)'!$B$2:$B$180,"=GDP",'MoodysData(Raw)'!$D$2:$D$180,"="&amp;'Implied Productivity Ratios'!$C91)/SUMIFS('MoodysData(Raw)'!J$2:J$180,'MoodysData(Raw)'!$B$2:$B$180,"=EMP",'MoodysData(Raw)'!$D$2:$D$180,"="&amp;'Implied Productivity Ratios'!$C91)</f>
        <v>41.394915809488637</v>
      </c>
      <c r="H91">
        <f>SUMIFS('MoodysData(Raw)'!K$2:K$180,'MoodysData(Raw)'!$B$2:$B$180,"=GDP",'MoodysData(Raw)'!$D$2:$D$180,"="&amp;'Implied Productivity Ratios'!$C91)/SUMIFS('MoodysData(Raw)'!K$2:K$180,'MoodysData(Raw)'!$B$2:$B$180,"=EMP",'MoodysData(Raw)'!$D$2:$D$180,"="&amp;'Implied Productivity Ratios'!$C91)</f>
        <v>41.86972650774856</v>
      </c>
      <c r="I91">
        <f>SUMIFS('MoodysData(Raw)'!L$2:L$180,'MoodysData(Raw)'!$B$2:$B$180,"=GDP",'MoodysData(Raw)'!$D$2:$D$180,"="&amp;'Implied Productivity Ratios'!$C91)/SUMIFS('MoodysData(Raw)'!L$2:L$180,'MoodysData(Raw)'!$B$2:$B$180,"=EMP",'MoodysData(Raw)'!$D$2:$D$180,"="&amp;'Implied Productivity Ratios'!$C91)</f>
        <v>48.32920089300346</v>
      </c>
      <c r="J91">
        <f>SUMIFS('MoodysData(Raw)'!M$2:M$180,'MoodysData(Raw)'!$B$2:$B$180,"=GDP",'MoodysData(Raw)'!$D$2:$D$180,"="&amp;'Implied Productivity Ratios'!$C91)/SUMIFS('MoodysData(Raw)'!M$2:M$180,'MoodysData(Raw)'!$B$2:$B$180,"=EMP",'MoodysData(Raw)'!$D$2:$D$180,"="&amp;'Implied Productivity Ratios'!$C91)</f>
        <v>46.781594238800842</v>
      </c>
      <c r="K91">
        <f>SUMIFS('MoodysData(Raw)'!N$2:N$180,'MoodysData(Raw)'!$B$2:$B$180,"=GDP",'MoodysData(Raw)'!$D$2:$D$180,"="&amp;'Implied Productivity Ratios'!$C91)/SUMIFS('MoodysData(Raw)'!N$2:N$180,'MoodysData(Raw)'!$B$2:$B$180,"=EMP",'MoodysData(Raw)'!$D$2:$D$180,"="&amp;'Implied Productivity Ratios'!$C91)</f>
        <v>44.697778650153509</v>
      </c>
      <c r="L91">
        <f>SUMIFS('MoodysData(Raw)'!O$2:O$180,'MoodysData(Raw)'!$B$2:$B$180,"=GDP",'MoodysData(Raw)'!$D$2:$D$180,"="&amp;'Implied Productivity Ratios'!$C91)/SUMIFS('MoodysData(Raw)'!O$2:O$180,'MoodysData(Raw)'!$B$2:$B$180,"=EMP",'MoodysData(Raw)'!$D$2:$D$180,"="&amp;'Implied Productivity Ratios'!$C91)</f>
        <v>42.844768789289503</v>
      </c>
      <c r="M91">
        <f>SUMIFS('MoodysData(Raw)'!P$2:P$180,'MoodysData(Raw)'!$B$2:$B$180,"=GDP",'MoodysData(Raw)'!$D$2:$D$180,"="&amp;'Implied Productivity Ratios'!$C91)/SUMIFS('MoodysData(Raw)'!P$2:P$180,'MoodysData(Raw)'!$B$2:$B$180,"=EMP",'MoodysData(Raw)'!$D$2:$D$180,"="&amp;'Implied Productivity Ratios'!$C91)</f>
        <v>47.767628191813586</v>
      </c>
      <c r="N91">
        <f>SUMIFS('MoodysData(Raw)'!Q$2:Q$180,'MoodysData(Raw)'!$B$2:$B$180,"=GDP",'MoodysData(Raw)'!$D$2:$D$180,"="&amp;'Implied Productivity Ratios'!$C91)/SUMIFS('MoodysData(Raw)'!Q$2:Q$180,'MoodysData(Raw)'!$B$2:$B$180,"=EMP",'MoodysData(Raw)'!$D$2:$D$180,"="&amp;'Implied Productivity Ratios'!$C91)</f>
        <v>46.993844881965558</v>
      </c>
      <c r="O91">
        <f>SUMIFS('MoodysData(Raw)'!R$2:R$180,'MoodysData(Raw)'!$B$2:$B$180,"=GDP",'MoodysData(Raw)'!$D$2:$D$180,"="&amp;'Implied Productivity Ratios'!$C91)/SUMIFS('MoodysData(Raw)'!R$2:R$180,'MoodysData(Raw)'!$B$2:$B$180,"=EMP",'MoodysData(Raw)'!$D$2:$D$180,"="&amp;'Implied Productivity Ratios'!$C91)</f>
        <v>50.859320804424307</v>
      </c>
      <c r="P91">
        <f>SUMIFS('MoodysData(Raw)'!S$2:S$180,'MoodysData(Raw)'!$B$2:$B$180,"=GDP",'MoodysData(Raw)'!$D$2:$D$180,"="&amp;'Implied Productivity Ratios'!$C91)/SUMIFS('MoodysData(Raw)'!S$2:S$180,'MoodysData(Raw)'!$B$2:$B$180,"=EMP",'MoodysData(Raw)'!$D$2:$D$180,"="&amp;'Implied Productivity Ratios'!$C91)</f>
        <v>54.417319963812737</v>
      </c>
      <c r="Q91">
        <f>SUMIFS('MoodysData(Raw)'!T$2:T$180,'MoodysData(Raw)'!$B$2:$B$180,"=GDP",'MoodysData(Raw)'!$D$2:$D$180,"="&amp;'Implied Productivity Ratios'!$C91)/SUMIFS('MoodysData(Raw)'!T$2:T$180,'MoodysData(Raw)'!$B$2:$B$180,"=EMP",'MoodysData(Raw)'!$D$2:$D$180,"="&amp;'Implied Productivity Ratios'!$C91)</f>
        <v>52.910629829517397</v>
      </c>
      <c r="R91">
        <f>SUMIFS('MoodysData(Raw)'!U$2:U$180,'MoodysData(Raw)'!$B$2:$B$180,"=GDP",'MoodysData(Raw)'!$D$2:$D$180,"="&amp;'Implied Productivity Ratios'!$C91)/SUMIFS('MoodysData(Raw)'!U$2:U$180,'MoodysData(Raw)'!$B$2:$B$180,"=EMP",'MoodysData(Raw)'!$D$2:$D$180,"="&amp;'Implied Productivity Ratios'!$C91)</f>
        <v>55.078331131729051</v>
      </c>
      <c r="S91">
        <f>SUMIFS('MoodysData(Raw)'!V$2:V$180,'MoodysData(Raw)'!$B$2:$B$180,"=GDP",'MoodysData(Raw)'!$D$2:$D$180,"="&amp;'Implied Productivity Ratios'!$C91)/SUMIFS('MoodysData(Raw)'!V$2:V$180,'MoodysData(Raw)'!$B$2:$B$180,"=EMP",'MoodysData(Raw)'!$D$2:$D$180,"="&amp;'Implied Productivity Ratios'!$C91)</f>
        <v>50.808003665801124</v>
      </c>
      <c r="T91">
        <f>SUMIFS('MoodysData(Raw)'!W$2:W$180,'MoodysData(Raw)'!$B$2:$B$180,"=GDP",'MoodysData(Raw)'!$D$2:$D$180,"="&amp;'Implied Productivity Ratios'!$C91)/SUMIFS('MoodysData(Raw)'!W$2:W$180,'MoodysData(Raw)'!$B$2:$B$180,"=EMP",'MoodysData(Raw)'!$D$2:$D$180,"="&amp;'Implied Productivity Ratios'!$C91)</f>
        <v>50.993907644547917</v>
      </c>
      <c r="U91">
        <f>SUMIFS('MoodysData(Raw)'!X$2:X$180,'MoodysData(Raw)'!$B$2:$B$180,"=GDP",'MoodysData(Raw)'!$D$2:$D$180,"="&amp;'Implied Productivity Ratios'!$C91)/SUMIFS('MoodysData(Raw)'!X$2:X$180,'MoodysData(Raw)'!$B$2:$B$180,"=EMP",'MoodysData(Raw)'!$D$2:$D$180,"="&amp;'Implied Productivity Ratios'!$C91)</f>
        <v>55.555175543088552</v>
      </c>
      <c r="V91">
        <f>SUMIFS('MoodysData(Raw)'!Y$2:Y$180,'MoodysData(Raw)'!$B$2:$B$180,"=GDP",'MoodysData(Raw)'!$D$2:$D$180,"="&amp;'Implied Productivity Ratios'!$C91)/SUMIFS('MoodysData(Raw)'!Y$2:Y$180,'MoodysData(Raw)'!$B$2:$B$180,"=EMP",'MoodysData(Raw)'!$D$2:$D$180,"="&amp;'Implied Productivity Ratios'!$C91)</f>
        <v>55.481128223986843</v>
      </c>
      <c r="W91">
        <f>SUMIFS('MoodysData(Raw)'!Z$2:Z$180,'MoodysData(Raw)'!$B$2:$B$180,"=GDP",'MoodysData(Raw)'!$D$2:$D$180,"="&amp;'Implied Productivity Ratios'!$C91)/SUMIFS('MoodysData(Raw)'!Z$2:Z$180,'MoodysData(Raw)'!$B$2:$B$180,"=EMP",'MoodysData(Raw)'!$D$2:$D$180,"="&amp;'Implied Productivity Ratios'!$C91)</f>
        <v>57.14573984197186</v>
      </c>
      <c r="X91">
        <f>SUMIFS('MoodysData(Raw)'!AA$2:AA$180,'MoodysData(Raw)'!$B$2:$B$180,"=GDP",'MoodysData(Raw)'!$D$2:$D$180,"="&amp;'Implied Productivity Ratios'!$C91)/SUMIFS('MoodysData(Raw)'!AA$2:AA$180,'MoodysData(Raw)'!$B$2:$B$180,"=EMP",'MoodysData(Raw)'!$D$2:$D$180,"="&amp;'Implied Productivity Ratios'!$C91)</f>
        <v>59.464094186866298</v>
      </c>
      <c r="Y91">
        <f>SUMIFS('MoodysData(Raw)'!AB$2:AB$180,'MoodysData(Raw)'!$B$2:$B$180,"=GDP",'MoodysData(Raw)'!$D$2:$D$180,"="&amp;'Implied Productivity Ratios'!$C91)/SUMIFS('MoodysData(Raw)'!AB$2:AB$180,'MoodysData(Raw)'!$B$2:$B$180,"=EMP",'MoodysData(Raw)'!$D$2:$D$180,"="&amp;'Implied Productivity Ratios'!$C91)</f>
        <v>57.99585557083229</v>
      </c>
      <c r="Z91">
        <f>SUMIFS('MoodysData(Raw)'!AC$2:AC$180,'MoodysData(Raw)'!$B$2:$B$180,"=GDP",'MoodysData(Raw)'!$D$2:$D$180,"="&amp;'Implied Productivity Ratios'!$C91)/SUMIFS('MoodysData(Raw)'!AC$2:AC$180,'MoodysData(Raw)'!$B$2:$B$180,"=EMP",'MoodysData(Raw)'!$D$2:$D$180,"="&amp;'Implied Productivity Ratios'!$C91)</f>
        <v>57.459425567719855</v>
      </c>
      <c r="AA91">
        <f>SUMIFS('MoodysData(Raw)'!AD$2:AD$180,'MoodysData(Raw)'!$B$2:$B$180,"=GDP",'MoodysData(Raw)'!$D$2:$D$180,"="&amp;'Implied Productivity Ratios'!$C91)/SUMIFS('MoodysData(Raw)'!AD$2:AD$180,'MoodysData(Raw)'!$B$2:$B$180,"=EMP",'MoodysData(Raw)'!$D$2:$D$180,"="&amp;'Implied Productivity Ratios'!$C91)</f>
        <v>57.864172070358372</v>
      </c>
      <c r="AB91">
        <f>SUMIFS('MoodysData(Raw)'!AE$2:AE$180,'MoodysData(Raw)'!$B$2:$B$180,"=GDP",'MoodysData(Raw)'!$D$2:$D$180,"="&amp;'Implied Productivity Ratios'!$C91)/SUMIFS('MoodysData(Raw)'!AE$2:AE$180,'MoodysData(Raw)'!$B$2:$B$180,"=EMP",'MoodysData(Raw)'!$D$2:$D$180,"="&amp;'Implied Productivity Ratios'!$C91)</f>
        <v>59.288797440346237</v>
      </c>
      <c r="AC91">
        <f>SUMIFS('MoodysData(Raw)'!AF$2:AF$180,'MoodysData(Raw)'!$B$2:$B$180,"=GDP",'MoodysData(Raw)'!$D$2:$D$180,"="&amp;'Implied Productivity Ratios'!$C91)/SUMIFS('MoodysData(Raw)'!AF$2:AF$180,'MoodysData(Raw)'!$B$2:$B$180,"=EMP",'MoodysData(Raw)'!$D$2:$D$180,"="&amp;'Implied Productivity Ratios'!$C91)</f>
        <v>61.127356742859689</v>
      </c>
      <c r="AD91">
        <f>SUMIFS('MoodysData(Raw)'!AG$2:AG$180,'MoodysData(Raw)'!$B$2:$B$180,"=GDP",'MoodysData(Raw)'!$D$2:$D$180,"="&amp;'Implied Productivity Ratios'!$C91)/SUMIFS('MoodysData(Raw)'!AG$2:AG$180,'MoodysData(Raw)'!$B$2:$B$180,"=EMP",'MoodysData(Raw)'!$D$2:$D$180,"="&amp;'Implied Productivity Ratios'!$C91)</f>
        <v>62.875976592003575</v>
      </c>
      <c r="AE91">
        <f>SUMIFS('MoodysData(Raw)'!AH$2:AH$180,'MoodysData(Raw)'!$B$2:$B$180,"=GDP",'MoodysData(Raw)'!$D$2:$D$180,"="&amp;'Implied Productivity Ratios'!$C91)/SUMIFS('MoodysData(Raw)'!AH$2:AH$180,'MoodysData(Raw)'!$B$2:$B$180,"=EMP",'MoodysData(Raw)'!$D$2:$D$180,"="&amp;'Implied Productivity Ratios'!$C91)</f>
        <v>64.48555106217205</v>
      </c>
      <c r="AF91">
        <f>SUMIFS('MoodysData(Raw)'!AI$2:AI$180,'MoodysData(Raw)'!$B$2:$B$180,"=GDP",'MoodysData(Raw)'!$D$2:$D$180,"="&amp;'Implied Productivity Ratios'!$C91)/SUMIFS('MoodysData(Raw)'!AI$2:AI$180,'MoodysData(Raw)'!$B$2:$B$180,"=EMP",'MoodysData(Raw)'!$D$2:$D$180,"="&amp;'Implied Productivity Ratios'!$C91)</f>
        <v>66.059937775288191</v>
      </c>
      <c r="AG91">
        <f>SUMIFS('MoodysData(Raw)'!AJ$2:AJ$180,'MoodysData(Raw)'!$B$2:$B$180,"=GDP",'MoodysData(Raw)'!$D$2:$D$180,"="&amp;'Implied Productivity Ratios'!$C91)/SUMIFS('MoodysData(Raw)'!AJ$2:AJ$180,'MoodysData(Raw)'!$B$2:$B$180,"=EMP",'MoodysData(Raw)'!$D$2:$D$180,"="&amp;'Implied Productivity Ratios'!$C91)</f>
        <v>67.883822812390491</v>
      </c>
      <c r="AH91">
        <f>SUMIFS('MoodysData(Raw)'!AK$2:AK$180,'MoodysData(Raw)'!$B$2:$B$180,"=GDP",'MoodysData(Raw)'!$D$2:$D$180,"="&amp;'Implied Productivity Ratios'!$C91)/SUMIFS('MoodysData(Raw)'!AK$2:AK$180,'MoodysData(Raw)'!$B$2:$B$180,"=EMP",'MoodysData(Raw)'!$D$2:$D$180,"="&amp;'Implied Productivity Ratios'!$C91)</f>
        <v>69.913801044845087</v>
      </c>
      <c r="AI91">
        <f>SUMIFS('MoodysData(Raw)'!AL$2:AL$180,'MoodysData(Raw)'!$B$2:$B$180,"=GDP",'MoodysData(Raw)'!$D$2:$D$180,"="&amp;'Implied Productivity Ratios'!$C91)/SUMIFS('MoodysData(Raw)'!AL$2:AL$180,'MoodysData(Raw)'!$B$2:$B$180,"=EMP",'MoodysData(Raw)'!$D$2:$D$180,"="&amp;'Implied Productivity Ratios'!$C91)</f>
        <v>71.794746673153014</v>
      </c>
      <c r="AJ91">
        <f>SUMIFS('MoodysData(Raw)'!AM$2:AM$180,'MoodysData(Raw)'!$B$2:$B$180,"=GDP",'MoodysData(Raw)'!$D$2:$D$180,"="&amp;'Implied Productivity Ratios'!$C91)/SUMIFS('MoodysData(Raw)'!AM$2:AM$180,'MoodysData(Raw)'!$B$2:$B$180,"=EMP",'MoodysData(Raw)'!$D$2:$D$180,"="&amp;'Implied Productivity Ratios'!$C91)</f>
        <v>73.497471575726351</v>
      </c>
      <c r="AK91">
        <f>SUMIFS('MoodysData(Raw)'!AN$2:AN$180,'MoodysData(Raw)'!$B$2:$B$180,"=GDP",'MoodysData(Raw)'!$D$2:$D$180,"="&amp;'Implied Productivity Ratios'!$C91)/SUMIFS('MoodysData(Raw)'!AN$2:AN$180,'MoodysData(Raw)'!$B$2:$B$180,"=EMP",'MoodysData(Raw)'!$D$2:$D$180,"="&amp;'Implied Productivity Ratios'!$C91)</f>
        <v>75.166647553502003</v>
      </c>
      <c r="AL91">
        <f>SUMIFS('MoodysData(Raw)'!AO$2:AO$180,'MoodysData(Raw)'!$B$2:$B$180,"=GDP",'MoodysData(Raw)'!$D$2:$D$180,"="&amp;'Implied Productivity Ratios'!$C91)/SUMIFS('MoodysData(Raw)'!AO$2:AO$180,'MoodysData(Raw)'!$B$2:$B$180,"=EMP",'MoodysData(Raw)'!$D$2:$D$180,"="&amp;'Implied Productivity Ratios'!$C91)</f>
        <v>76.804818939716569</v>
      </c>
      <c r="AM91">
        <f>SUMIFS('MoodysData(Raw)'!AP$2:AP$180,'MoodysData(Raw)'!$B$2:$B$180,"=GDP",'MoodysData(Raw)'!$D$2:$D$180,"="&amp;'Implied Productivity Ratios'!$C91)/SUMIFS('MoodysData(Raw)'!AP$2:AP$180,'MoodysData(Raw)'!$B$2:$B$180,"=EMP",'MoodysData(Raw)'!$D$2:$D$180,"="&amp;'Implied Productivity Ratios'!$C91)</f>
        <v>78.454044920703026</v>
      </c>
      <c r="AN91">
        <f>SUMIFS('MoodysData(Raw)'!AQ$2:AQ$180,'MoodysData(Raw)'!$B$2:$B$180,"=GDP",'MoodysData(Raw)'!$D$2:$D$180,"="&amp;'Implied Productivity Ratios'!$C91)/SUMIFS('MoodysData(Raw)'!AQ$2:AQ$180,'MoodysData(Raw)'!$B$2:$B$180,"=EMP",'MoodysData(Raw)'!$D$2:$D$180,"="&amp;'Implied Productivity Ratios'!$C91)</f>
        <v>80.141635436895484</v>
      </c>
      <c r="AO91">
        <f>SUMIFS('MoodysData(Raw)'!AR$2:AR$180,'MoodysData(Raw)'!$B$2:$B$180,"=GDP",'MoodysData(Raw)'!$D$2:$D$180,"="&amp;'Implied Productivity Ratios'!$C91)/SUMIFS('MoodysData(Raw)'!AR$2:AR$180,'MoodysData(Raw)'!$B$2:$B$180,"=EMP",'MoodysData(Raw)'!$D$2:$D$180,"="&amp;'Implied Productivity Ratios'!$C91)</f>
        <v>81.866330862589351</v>
      </c>
      <c r="AP91">
        <f>SUMIFS('MoodysData(Raw)'!AS$2:AS$180,'MoodysData(Raw)'!$B$2:$B$180,"=GDP",'MoodysData(Raw)'!$D$2:$D$180,"="&amp;'Implied Productivity Ratios'!$C91)/SUMIFS('MoodysData(Raw)'!AS$2:AS$180,'MoodysData(Raw)'!$B$2:$B$180,"=EMP",'MoodysData(Raw)'!$D$2:$D$180,"="&amp;'Implied Productivity Ratios'!$C91)</f>
        <v>83.64049705714784</v>
      </c>
      <c r="AQ91">
        <f>SUMIFS('MoodysData(Raw)'!AT$2:AT$180,'MoodysData(Raw)'!$B$2:$B$180,"=GDP",'MoodysData(Raw)'!$D$2:$D$180,"="&amp;'Implied Productivity Ratios'!$C91)/SUMIFS('MoodysData(Raw)'!AT$2:AT$180,'MoodysData(Raw)'!$B$2:$B$180,"=EMP",'MoodysData(Raw)'!$D$2:$D$180,"="&amp;'Implied Productivity Ratios'!$C91)</f>
        <v>85.470085558177615</v>
      </c>
      <c r="AR91">
        <f>SUMIFS('MoodysData(Raw)'!AU$2:AU$180,'MoodysData(Raw)'!$B$2:$B$180,"=GDP",'MoodysData(Raw)'!$D$2:$D$180,"="&amp;'Implied Productivity Ratios'!$C91)/SUMIFS('MoodysData(Raw)'!AU$2:AU$180,'MoodysData(Raw)'!$B$2:$B$180,"=EMP",'MoodysData(Raw)'!$D$2:$D$180,"="&amp;'Implied Productivity Ratios'!$C91)</f>
        <v>87.343643462375766</v>
      </c>
      <c r="AS91">
        <f>SUMIFS('MoodysData(Raw)'!AV$2:AV$180,'MoodysData(Raw)'!$B$2:$B$180,"=GDP",'MoodysData(Raw)'!$D$2:$D$180,"="&amp;'Implied Productivity Ratios'!$C91)/SUMIFS('MoodysData(Raw)'!AV$2:AV$180,'MoodysData(Raw)'!$B$2:$B$180,"=EMP",'MoodysData(Raw)'!$D$2:$D$180,"="&amp;'Implied Productivity Ratios'!$C91)</f>
        <v>89.247969862268263</v>
      </c>
      <c r="AT91">
        <f>SUMIFS('MoodysData(Raw)'!AW$2:AW$180,'MoodysData(Raw)'!$B$2:$B$180,"=GDP",'MoodysData(Raw)'!$D$2:$D$180,"="&amp;'Implied Productivity Ratios'!$C91)/SUMIFS('MoodysData(Raw)'!AW$2:AW$180,'MoodysData(Raw)'!$B$2:$B$180,"=EMP",'MoodysData(Raw)'!$D$2:$D$180,"="&amp;'Implied Productivity Ratios'!$C91)</f>
        <v>91.17511903152797</v>
      </c>
      <c r="AU91">
        <f>SUMIFS('MoodysData(Raw)'!AX$2:AX$180,'MoodysData(Raw)'!$B$2:$B$180,"=GDP",'MoodysData(Raw)'!$D$2:$D$180,"="&amp;'Implied Productivity Ratios'!$C91)/SUMIFS('MoodysData(Raw)'!AX$2:AX$180,'MoodysData(Raw)'!$B$2:$B$180,"=EMP",'MoodysData(Raw)'!$D$2:$D$180,"="&amp;'Implied Productivity Ratios'!$C91)</f>
        <v>93.130668891217766</v>
      </c>
      <c r="AV91">
        <f>SUMIFS('MoodysData(Raw)'!AY$2:AY$180,'MoodysData(Raw)'!$B$2:$B$180,"=GDP",'MoodysData(Raw)'!$D$2:$D$180,"="&amp;'Implied Productivity Ratios'!$C91)/SUMIFS('MoodysData(Raw)'!AY$2:AY$180,'MoodysData(Raw)'!$B$2:$B$180,"=EMP",'MoodysData(Raw)'!$D$2:$D$180,"="&amp;'Implied Productivity Ratios'!$C91)</f>
        <v>95.175796387878876</v>
      </c>
      <c r="AW91">
        <f>SUMIFS('MoodysData(Raw)'!AZ$2:AZ$180,'MoodysData(Raw)'!$B$2:$B$180,"=GDP",'MoodysData(Raw)'!$D$2:$D$180,"="&amp;'Implied Productivity Ratios'!$C91)/SUMIFS('MoodysData(Raw)'!AZ$2:AZ$180,'MoodysData(Raw)'!$B$2:$B$180,"=EMP",'MoodysData(Raw)'!$D$2:$D$180,"="&amp;'Implied Productivity Ratios'!$C91)</f>
        <v>97.311771131778286</v>
      </c>
      <c r="AX91">
        <f>SUMIFS('MoodysData(Raw)'!BA$2:BA$180,'MoodysData(Raw)'!$B$2:$B$180,"=GDP",'MoodysData(Raw)'!$D$2:$D$180,"="&amp;'Implied Productivity Ratios'!$C91)/SUMIFS('MoodysData(Raw)'!BA$2:BA$180,'MoodysData(Raw)'!$B$2:$B$180,"=EMP",'MoodysData(Raw)'!$D$2:$D$180,"="&amp;'Implied Productivity Ratios'!$C91)</f>
        <v>99.514912745699178</v>
      </c>
      <c r="AY91">
        <f>SUMIFS('MoodysData(Raw)'!BB$2:BB$180,'MoodysData(Raw)'!$B$2:$B$180,"=GDP",'MoodysData(Raw)'!$D$2:$D$180,"="&amp;'Implied Productivity Ratios'!$C91)/SUMIFS('MoodysData(Raw)'!BB$2:BB$180,'MoodysData(Raw)'!$B$2:$B$180,"=EMP",'MoodysData(Raw)'!$D$2:$D$180,"="&amp;'Implied Productivity Ratios'!$C91)</f>
        <v>101.75561081870043</v>
      </c>
      <c r="AZ91">
        <f>SUMIFS('MoodysData(Raw)'!BC$2:BC$180,'MoodysData(Raw)'!$B$2:$B$180,"=GDP",'MoodysData(Raw)'!$D$2:$D$180,"="&amp;'Implied Productivity Ratios'!$C91)/SUMIFS('MoodysData(Raw)'!BC$2:BC$180,'MoodysData(Raw)'!$B$2:$B$180,"=EMP",'MoodysData(Raw)'!$D$2:$D$180,"="&amp;'Implied Productivity Ratios'!$C91)</f>
        <v>104.01339734340962</v>
      </c>
      <c r="BA91">
        <f>SUMIFS('MoodysData(Raw)'!BD$2:BD$180,'MoodysData(Raw)'!$B$2:$B$180,"=GDP",'MoodysData(Raw)'!$D$2:$D$180,"="&amp;'Implied Productivity Ratios'!$C91)/SUMIFS('MoodysData(Raw)'!BD$2:BD$180,'MoodysData(Raw)'!$B$2:$B$180,"=EMP",'MoodysData(Raw)'!$D$2:$D$180,"="&amp;'Implied Productivity Ratios'!$C91)</f>
        <v>106.26524509856335</v>
      </c>
      <c r="BB91">
        <f>SUMIFS('MoodysData(Raw)'!BE$2:BE$180,'MoodysData(Raw)'!$B$2:$B$180,"=GDP",'MoodysData(Raw)'!$D$2:$D$180,"="&amp;'Implied Productivity Ratios'!$C91)/SUMIFS('MoodysData(Raw)'!BE$2:BE$180,'MoodysData(Raw)'!$B$2:$B$180,"=EMP",'MoodysData(Raw)'!$D$2:$D$180,"="&amp;'Implied Productivity Ratios'!$C91)</f>
        <v>108.49923242336089</v>
      </c>
      <c r="BC91">
        <f>SUMIFS('MoodysData(Raw)'!BF$2:BF$180,'MoodysData(Raw)'!$B$2:$B$180,"=GDP",'MoodysData(Raw)'!$D$2:$D$180,"="&amp;'Implied Productivity Ratios'!$C91)/SUMIFS('MoodysData(Raw)'!BF$2:BF$180,'MoodysData(Raw)'!$B$2:$B$180,"=EMP",'MoodysData(Raw)'!$D$2:$D$180,"="&amp;'Implied Productivity Ratios'!$C91)</f>
        <v>110.7520047409582</v>
      </c>
      <c r="BD91" s="5">
        <f t="shared" ref="BD91:BH91" si="85">BC91+($BC91-$AX91)/5</f>
        <v>112.99942314001001</v>
      </c>
      <c r="BE91" s="5">
        <f t="shared" si="85"/>
        <v>115.24684153906182</v>
      </c>
      <c r="BF91" s="5">
        <f t="shared" si="85"/>
        <v>117.49425993811363</v>
      </c>
      <c r="BG91" s="5">
        <f t="shared" si="85"/>
        <v>119.74167833716544</v>
      </c>
      <c r="BH91" s="5">
        <f t="shared" si="85"/>
        <v>121.98909673621725</v>
      </c>
    </row>
    <row r="92" spans="3:60">
      <c r="C92">
        <v>92</v>
      </c>
      <c r="D92" t="s">
        <v>31</v>
      </c>
      <c r="E92">
        <f>SUMIFS('MoodysData(Raw)'!H$2:H$180,'MoodysData(Raw)'!$B$2:$B$180,"=GDP",'MoodysData(Raw)'!$D$2:$D$180,"="&amp;'Implied Productivity Ratios'!$C92)/SUMIFS('MoodysData(Raw)'!H$2:H$180,'MoodysData(Raw)'!$B$2:$B$180,"=EMP",'MoodysData(Raw)'!$D$2:$D$180,"="&amp;'Implied Productivity Ratios'!$C92)</f>
        <v>103.16384919291487</v>
      </c>
      <c r="F92">
        <f>SUMIFS('MoodysData(Raw)'!I$2:I$180,'MoodysData(Raw)'!$B$2:$B$180,"=GDP",'MoodysData(Raw)'!$D$2:$D$180,"="&amp;'Implied Productivity Ratios'!$C92)/SUMIFS('MoodysData(Raw)'!I$2:I$180,'MoodysData(Raw)'!$B$2:$B$180,"=EMP",'MoodysData(Raw)'!$D$2:$D$180,"="&amp;'Implied Productivity Ratios'!$C92)</f>
        <v>102.9227454683823</v>
      </c>
      <c r="G92">
        <f>SUMIFS('MoodysData(Raw)'!J$2:J$180,'MoodysData(Raw)'!$B$2:$B$180,"=GDP",'MoodysData(Raw)'!$D$2:$D$180,"="&amp;'Implied Productivity Ratios'!$C92)/SUMIFS('MoodysData(Raw)'!J$2:J$180,'MoodysData(Raw)'!$B$2:$B$180,"=EMP",'MoodysData(Raw)'!$D$2:$D$180,"="&amp;'Implied Productivity Ratios'!$C92)</f>
        <v>102.85258509233086</v>
      </c>
      <c r="H92">
        <f>SUMIFS('MoodysData(Raw)'!K$2:K$180,'MoodysData(Raw)'!$B$2:$B$180,"=GDP",'MoodysData(Raw)'!$D$2:$D$180,"="&amp;'Implied Productivity Ratios'!$C92)/SUMIFS('MoodysData(Raw)'!K$2:K$180,'MoodysData(Raw)'!$B$2:$B$180,"=EMP",'MoodysData(Raw)'!$D$2:$D$180,"="&amp;'Implied Productivity Ratios'!$C92)</f>
        <v>103.41291364236895</v>
      </c>
      <c r="I92">
        <f>SUMIFS('MoodysData(Raw)'!L$2:L$180,'MoodysData(Raw)'!$B$2:$B$180,"=GDP",'MoodysData(Raw)'!$D$2:$D$180,"="&amp;'Implied Productivity Ratios'!$C92)/SUMIFS('MoodysData(Raw)'!L$2:L$180,'MoodysData(Raw)'!$B$2:$B$180,"=EMP",'MoodysData(Raw)'!$D$2:$D$180,"="&amp;'Implied Productivity Ratios'!$C92)</f>
        <v>102.88553082481899</v>
      </c>
      <c r="J92">
        <f>SUMIFS('MoodysData(Raw)'!M$2:M$180,'MoodysData(Raw)'!$B$2:$B$180,"=GDP",'MoodysData(Raw)'!$D$2:$D$180,"="&amp;'Implied Productivity Ratios'!$C92)/SUMIFS('MoodysData(Raw)'!M$2:M$180,'MoodysData(Raw)'!$B$2:$B$180,"=EMP",'MoodysData(Raw)'!$D$2:$D$180,"="&amp;'Implied Productivity Ratios'!$C92)</f>
        <v>103.38516265816541</v>
      </c>
      <c r="K92">
        <f>SUMIFS('MoodysData(Raw)'!N$2:N$180,'MoodysData(Raw)'!$B$2:$B$180,"=GDP",'MoodysData(Raw)'!$D$2:$D$180,"="&amp;'Implied Productivity Ratios'!$C92)/SUMIFS('MoodysData(Raw)'!N$2:N$180,'MoodysData(Raw)'!$B$2:$B$180,"=EMP",'MoodysData(Raw)'!$D$2:$D$180,"="&amp;'Implied Productivity Ratios'!$C92)</f>
        <v>104.14419759508127</v>
      </c>
      <c r="L92">
        <f>SUMIFS('MoodysData(Raw)'!O$2:O$180,'MoodysData(Raw)'!$B$2:$B$180,"=GDP",'MoodysData(Raw)'!$D$2:$D$180,"="&amp;'Implied Productivity Ratios'!$C92)/SUMIFS('MoodysData(Raw)'!O$2:O$180,'MoodysData(Raw)'!$B$2:$B$180,"=EMP",'MoodysData(Raw)'!$D$2:$D$180,"="&amp;'Implied Productivity Ratios'!$C92)</f>
        <v>103.68018135482164</v>
      </c>
      <c r="M92">
        <f>SUMIFS('MoodysData(Raw)'!P$2:P$180,'MoodysData(Raw)'!$B$2:$B$180,"=GDP",'MoodysData(Raw)'!$D$2:$D$180,"="&amp;'Implied Productivity Ratios'!$C92)/SUMIFS('MoodysData(Raw)'!P$2:P$180,'MoodysData(Raw)'!$B$2:$B$180,"=EMP",'MoodysData(Raw)'!$D$2:$D$180,"="&amp;'Implied Productivity Ratios'!$C92)</f>
        <v>103.4305370653955</v>
      </c>
      <c r="N92">
        <f>SUMIFS('MoodysData(Raw)'!Q$2:Q$180,'MoodysData(Raw)'!$B$2:$B$180,"=GDP",'MoodysData(Raw)'!$D$2:$D$180,"="&amp;'Implied Productivity Ratios'!$C92)/SUMIFS('MoodysData(Raw)'!Q$2:Q$180,'MoodysData(Raw)'!$B$2:$B$180,"=EMP",'MoodysData(Raw)'!$D$2:$D$180,"="&amp;'Implied Productivity Ratios'!$C92)</f>
        <v>103.21315739123685</v>
      </c>
      <c r="O92">
        <f>SUMIFS('MoodysData(Raw)'!R$2:R$180,'MoodysData(Raw)'!$B$2:$B$180,"=GDP",'MoodysData(Raw)'!$D$2:$D$180,"="&amp;'Implied Productivity Ratios'!$C92)/SUMIFS('MoodysData(Raw)'!R$2:R$180,'MoodysData(Raw)'!$B$2:$B$180,"=EMP",'MoodysData(Raw)'!$D$2:$D$180,"="&amp;'Implied Productivity Ratios'!$C92)</f>
        <v>102.62792803314687</v>
      </c>
      <c r="P92">
        <f>SUMIFS('MoodysData(Raw)'!S$2:S$180,'MoodysData(Raw)'!$B$2:$B$180,"=GDP",'MoodysData(Raw)'!$D$2:$D$180,"="&amp;'Implied Productivity Ratios'!$C92)/SUMIFS('MoodysData(Raw)'!S$2:S$180,'MoodysData(Raw)'!$B$2:$B$180,"=EMP",'MoodysData(Raw)'!$D$2:$D$180,"="&amp;'Implied Productivity Ratios'!$C92)</f>
        <v>103.03451773059264</v>
      </c>
      <c r="Q92">
        <f>SUMIFS('MoodysData(Raw)'!T$2:T$180,'MoodysData(Raw)'!$B$2:$B$180,"=GDP",'MoodysData(Raw)'!$D$2:$D$180,"="&amp;'Implied Productivity Ratios'!$C92)/SUMIFS('MoodysData(Raw)'!T$2:T$180,'MoodysData(Raw)'!$B$2:$B$180,"=EMP",'MoodysData(Raw)'!$D$2:$D$180,"="&amp;'Implied Productivity Ratios'!$C92)</f>
        <v>103.63428053116418</v>
      </c>
      <c r="R92">
        <f>SUMIFS('MoodysData(Raw)'!U$2:U$180,'MoodysData(Raw)'!$B$2:$B$180,"=GDP",'MoodysData(Raw)'!$D$2:$D$180,"="&amp;'Implied Productivity Ratios'!$C92)/SUMIFS('MoodysData(Raw)'!U$2:U$180,'MoodysData(Raw)'!$B$2:$B$180,"=EMP",'MoodysData(Raw)'!$D$2:$D$180,"="&amp;'Implied Productivity Ratios'!$C92)</f>
        <v>103.79402865587183</v>
      </c>
      <c r="S92">
        <f>SUMIFS('MoodysData(Raw)'!V$2:V$180,'MoodysData(Raw)'!$B$2:$B$180,"=GDP",'MoodysData(Raw)'!$D$2:$D$180,"="&amp;'Implied Productivity Ratios'!$C92)/SUMIFS('MoodysData(Raw)'!V$2:V$180,'MoodysData(Raw)'!$B$2:$B$180,"=EMP",'MoodysData(Raw)'!$D$2:$D$180,"="&amp;'Implied Productivity Ratios'!$C92)</f>
        <v>103.7506123396662</v>
      </c>
      <c r="T92">
        <f>SUMIFS('MoodysData(Raw)'!W$2:W$180,'MoodysData(Raw)'!$B$2:$B$180,"=GDP",'MoodysData(Raw)'!$D$2:$D$180,"="&amp;'Implied Productivity Ratios'!$C92)/SUMIFS('MoodysData(Raw)'!W$2:W$180,'MoodysData(Raw)'!$B$2:$B$180,"=EMP",'MoodysData(Raw)'!$D$2:$D$180,"="&amp;'Implied Productivity Ratios'!$C92)</f>
        <v>105.4708407750062</v>
      </c>
      <c r="U92">
        <f>SUMIFS('MoodysData(Raw)'!X$2:X$180,'MoodysData(Raw)'!$B$2:$B$180,"=GDP",'MoodysData(Raw)'!$D$2:$D$180,"="&amp;'Implied Productivity Ratios'!$C92)/SUMIFS('MoodysData(Raw)'!X$2:X$180,'MoodysData(Raw)'!$B$2:$B$180,"=EMP",'MoodysData(Raw)'!$D$2:$D$180,"="&amp;'Implied Productivity Ratios'!$C92)</f>
        <v>106.98176920617236</v>
      </c>
      <c r="V92">
        <f>SUMIFS('MoodysData(Raw)'!Y$2:Y$180,'MoodysData(Raw)'!$B$2:$B$180,"=GDP",'MoodysData(Raw)'!$D$2:$D$180,"="&amp;'Implied Productivity Ratios'!$C92)/SUMIFS('MoodysData(Raw)'!Y$2:Y$180,'MoodysData(Raw)'!$B$2:$B$180,"=EMP",'MoodysData(Raw)'!$D$2:$D$180,"="&amp;'Implied Productivity Ratios'!$C92)</f>
        <v>107.1708293346081</v>
      </c>
      <c r="W92">
        <f>SUMIFS('MoodysData(Raw)'!Z$2:Z$180,'MoodysData(Raw)'!$B$2:$B$180,"=GDP",'MoodysData(Raw)'!$D$2:$D$180,"="&amp;'Implied Productivity Ratios'!$C92)/SUMIFS('MoodysData(Raw)'!Z$2:Z$180,'MoodysData(Raw)'!$B$2:$B$180,"=EMP",'MoodysData(Raw)'!$D$2:$D$180,"="&amp;'Implied Productivity Ratios'!$C92)</f>
        <v>107.11073240529393</v>
      </c>
      <c r="X92">
        <f>SUMIFS('MoodysData(Raw)'!AA$2:AA$180,'MoodysData(Raw)'!$B$2:$B$180,"=GDP",'MoodysData(Raw)'!$D$2:$D$180,"="&amp;'Implied Productivity Ratios'!$C92)/SUMIFS('MoodysData(Raw)'!AA$2:AA$180,'MoodysData(Raw)'!$B$2:$B$180,"=EMP",'MoodysData(Raw)'!$D$2:$D$180,"="&amp;'Implied Productivity Ratios'!$C92)</f>
        <v>106.71530204050831</v>
      </c>
      <c r="Y92">
        <f>SUMIFS('MoodysData(Raw)'!AB$2:AB$180,'MoodysData(Raw)'!$B$2:$B$180,"=GDP",'MoodysData(Raw)'!$D$2:$D$180,"="&amp;'Implied Productivity Ratios'!$C92)/SUMIFS('MoodysData(Raw)'!AB$2:AB$180,'MoodysData(Raw)'!$B$2:$B$180,"=EMP",'MoodysData(Raw)'!$D$2:$D$180,"="&amp;'Implied Productivity Ratios'!$C92)</f>
        <v>106.71123652658288</v>
      </c>
      <c r="Z92">
        <f>SUMIFS('MoodysData(Raw)'!AC$2:AC$180,'MoodysData(Raw)'!$B$2:$B$180,"=GDP",'MoodysData(Raw)'!$D$2:$D$180,"="&amp;'Implied Productivity Ratios'!$C92)/SUMIFS('MoodysData(Raw)'!AC$2:AC$180,'MoodysData(Raw)'!$B$2:$B$180,"=EMP",'MoodysData(Raw)'!$D$2:$D$180,"="&amp;'Implied Productivity Ratios'!$C92)</f>
        <v>107.03866288455329</v>
      </c>
      <c r="AA92">
        <f>SUMIFS('MoodysData(Raw)'!AD$2:AD$180,'MoodysData(Raw)'!$B$2:$B$180,"=GDP",'MoodysData(Raw)'!$D$2:$D$180,"="&amp;'Implied Productivity Ratios'!$C92)/SUMIFS('MoodysData(Raw)'!AD$2:AD$180,'MoodysData(Raw)'!$B$2:$B$180,"=EMP",'MoodysData(Raw)'!$D$2:$D$180,"="&amp;'Implied Productivity Ratios'!$C92)</f>
        <v>107.10319704395108</v>
      </c>
      <c r="AB92">
        <f>SUMIFS('MoodysData(Raw)'!AE$2:AE$180,'MoodysData(Raw)'!$B$2:$B$180,"=GDP",'MoodysData(Raw)'!$D$2:$D$180,"="&amp;'Implied Productivity Ratios'!$C92)/SUMIFS('MoodysData(Raw)'!AE$2:AE$180,'MoodysData(Raw)'!$B$2:$B$180,"=EMP",'MoodysData(Raw)'!$D$2:$D$180,"="&amp;'Implied Productivity Ratios'!$C92)</f>
        <v>107.22918278598402</v>
      </c>
      <c r="AC92">
        <f>SUMIFS('MoodysData(Raw)'!AF$2:AF$180,'MoodysData(Raw)'!$B$2:$B$180,"=GDP",'MoodysData(Raw)'!$D$2:$D$180,"="&amp;'Implied Productivity Ratios'!$C92)/SUMIFS('MoodysData(Raw)'!AF$2:AF$180,'MoodysData(Raw)'!$B$2:$B$180,"=EMP",'MoodysData(Raw)'!$D$2:$D$180,"="&amp;'Implied Productivity Ratios'!$C92)</f>
        <v>107.31816429612041</v>
      </c>
      <c r="AD92">
        <f>SUMIFS('MoodysData(Raw)'!AG$2:AG$180,'MoodysData(Raw)'!$B$2:$B$180,"=GDP",'MoodysData(Raw)'!$D$2:$D$180,"="&amp;'Implied Productivity Ratios'!$C92)/SUMIFS('MoodysData(Raw)'!AG$2:AG$180,'MoodysData(Raw)'!$B$2:$B$180,"=EMP",'MoodysData(Raw)'!$D$2:$D$180,"="&amp;'Implied Productivity Ratios'!$C92)</f>
        <v>107.59360892421357</v>
      </c>
      <c r="AE92">
        <f>SUMIFS('MoodysData(Raw)'!AH$2:AH$180,'MoodysData(Raw)'!$B$2:$B$180,"=GDP",'MoodysData(Raw)'!$D$2:$D$180,"="&amp;'Implied Productivity Ratios'!$C92)/SUMIFS('MoodysData(Raw)'!AH$2:AH$180,'MoodysData(Raw)'!$B$2:$B$180,"=EMP",'MoodysData(Raw)'!$D$2:$D$180,"="&amp;'Implied Productivity Ratios'!$C92)</f>
        <v>108.05754278553667</v>
      </c>
      <c r="AF92">
        <f>SUMIFS('MoodysData(Raw)'!AI$2:AI$180,'MoodysData(Raw)'!$B$2:$B$180,"=GDP",'MoodysData(Raw)'!$D$2:$D$180,"="&amp;'Implied Productivity Ratios'!$C92)/SUMIFS('MoodysData(Raw)'!AI$2:AI$180,'MoodysData(Raw)'!$B$2:$B$180,"=EMP",'MoodysData(Raw)'!$D$2:$D$180,"="&amp;'Implied Productivity Ratios'!$C92)</f>
        <v>108.57944613779847</v>
      </c>
      <c r="AG92">
        <f>SUMIFS('MoodysData(Raw)'!AJ$2:AJ$180,'MoodysData(Raw)'!$B$2:$B$180,"=GDP",'MoodysData(Raw)'!$D$2:$D$180,"="&amp;'Implied Productivity Ratios'!$C92)/SUMIFS('MoodysData(Raw)'!AJ$2:AJ$180,'MoodysData(Raw)'!$B$2:$B$180,"=EMP",'MoodysData(Raw)'!$D$2:$D$180,"="&amp;'Implied Productivity Ratios'!$C92)</f>
        <v>109.14344336401747</v>
      </c>
      <c r="AH92">
        <f>SUMIFS('MoodysData(Raw)'!AK$2:AK$180,'MoodysData(Raw)'!$B$2:$B$180,"=GDP",'MoodysData(Raw)'!$D$2:$D$180,"="&amp;'Implied Productivity Ratios'!$C92)/SUMIFS('MoodysData(Raw)'!AK$2:AK$180,'MoodysData(Raw)'!$B$2:$B$180,"=EMP",'MoodysData(Raw)'!$D$2:$D$180,"="&amp;'Implied Productivity Ratios'!$C92)</f>
        <v>109.73185409884495</v>
      </c>
      <c r="AI92">
        <f>SUMIFS('MoodysData(Raw)'!AL$2:AL$180,'MoodysData(Raw)'!$B$2:$B$180,"=GDP",'MoodysData(Raw)'!$D$2:$D$180,"="&amp;'Implied Productivity Ratios'!$C92)/SUMIFS('MoodysData(Raw)'!AL$2:AL$180,'MoodysData(Raw)'!$B$2:$B$180,"=EMP",'MoodysData(Raw)'!$D$2:$D$180,"="&amp;'Implied Productivity Ratios'!$C92)</f>
        <v>110.33565797579294</v>
      </c>
      <c r="AJ92">
        <f>SUMIFS('MoodysData(Raw)'!AM$2:AM$180,'MoodysData(Raw)'!$B$2:$B$180,"=GDP",'MoodysData(Raw)'!$D$2:$D$180,"="&amp;'Implied Productivity Ratios'!$C92)/SUMIFS('MoodysData(Raw)'!AM$2:AM$180,'MoodysData(Raw)'!$B$2:$B$180,"=EMP",'MoodysData(Raw)'!$D$2:$D$180,"="&amp;'Implied Productivity Ratios'!$C92)</f>
        <v>110.9335950349458</v>
      </c>
      <c r="AK92">
        <f>SUMIFS('MoodysData(Raw)'!AN$2:AN$180,'MoodysData(Raw)'!$B$2:$B$180,"=GDP",'MoodysData(Raw)'!$D$2:$D$180,"="&amp;'Implied Productivity Ratios'!$C92)/SUMIFS('MoodysData(Raw)'!AN$2:AN$180,'MoodysData(Raw)'!$B$2:$B$180,"=EMP",'MoodysData(Raw)'!$D$2:$D$180,"="&amp;'Implied Productivity Ratios'!$C92)</f>
        <v>111.490771799103</v>
      </c>
      <c r="AL92">
        <f>SUMIFS('MoodysData(Raw)'!AO$2:AO$180,'MoodysData(Raw)'!$B$2:$B$180,"=GDP",'MoodysData(Raw)'!$D$2:$D$180,"="&amp;'Implied Productivity Ratios'!$C92)/SUMIFS('MoodysData(Raw)'!AO$2:AO$180,'MoodysData(Raw)'!$B$2:$B$180,"=EMP",'MoodysData(Raw)'!$D$2:$D$180,"="&amp;'Implied Productivity Ratios'!$C92)</f>
        <v>111.94730458077636</v>
      </c>
      <c r="AM92">
        <f>SUMIFS('MoodysData(Raw)'!AP$2:AP$180,'MoodysData(Raw)'!$B$2:$B$180,"=GDP",'MoodysData(Raw)'!$D$2:$D$180,"="&amp;'Implied Productivity Ratios'!$C92)/SUMIFS('MoodysData(Raw)'!AP$2:AP$180,'MoodysData(Raw)'!$B$2:$B$180,"=EMP",'MoodysData(Raw)'!$D$2:$D$180,"="&amp;'Implied Productivity Ratios'!$C92)</f>
        <v>112.33096660464599</v>
      </c>
      <c r="AN92">
        <f>SUMIFS('MoodysData(Raw)'!AQ$2:AQ$180,'MoodysData(Raw)'!$B$2:$B$180,"=GDP",'MoodysData(Raw)'!$D$2:$D$180,"="&amp;'Implied Productivity Ratios'!$C92)/SUMIFS('MoodysData(Raw)'!AQ$2:AQ$180,'MoodysData(Raw)'!$B$2:$B$180,"=EMP",'MoodysData(Raw)'!$D$2:$D$180,"="&amp;'Implied Productivity Ratios'!$C92)</f>
        <v>112.65797875099526</v>
      </c>
      <c r="AO92">
        <f>SUMIFS('MoodysData(Raw)'!AR$2:AR$180,'MoodysData(Raw)'!$B$2:$B$180,"=GDP",'MoodysData(Raw)'!$D$2:$D$180,"="&amp;'Implied Productivity Ratios'!$C92)/SUMIFS('MoodysData(Raw)'!AR$2:AR$180,'MoodysData(Raw)'!$B$2:$B$180,"=EMP",'MoodysData(Raw)'!$D$2:$D$180,"="&amp;'Implied Productivity Ratios'!$C92)</f>
        <v>112.99943668664693</v>
      </c>
      <c r="AP92">
        <f>SUMIFS('MoodysData(Raw)'!AS$2:AS$180,'MoodysData(Raw)'!$B$2:$B$180,"=GDP",'MoodysData(Raw)'!$D$2:$D$180,"="&amp;'Implied Productivity Ratios'!$C92)/SUMIFS('MoodysData(Raw)'!AS$2:AS$180,'MoodysData(Raw)'!$B$2:$B$180,"=EMP",'MoodysData(Raw)'!$D$2:$D$180,"="&amp;'Implied Productivity Ratios'!$C92)</f>
        <v>113.4051920449853</v>
      </c>
      <c r="AQ92">
        <f>SUMIFS('MoodysData(Raw)'!AT$2:AT$180,'MoodysData(Raw)'!$B$2:$B$180,"=GDP",'MoodysData(Raw)'!$D$2:$D$180,"="&amp;'Implied Productivity Ratios'!$C92)/SUMIFS('MoodysData(Raw)'!AT$2:AT$180,'MoodysData(Raw)'!$B$2:$B$180,"=EMP",'MoodysData(Raw)'!$D$2:$D$180,"="&amp;'Implied Productivity Ratios'!$C92)</f>
        <v>113.87122301140435</v>
      </c>
      <c r="AR92">
        <f>SUMIFS('MoodysData(Raw)'!AU$2:AU$180,'MoodysData(Raw)'!$B$2:$B$180,"=GDP",'MoodysData(Raw)'!$D$2:$D$180,"="&amp;'Implied Productivity Ratios'!$C92)/SUMIFS('MoodysData(Raw)'!AU$2:AU$180,'MoodysData(Raw)'!$B$2:$B$180,"=EMP",'MoodysData(Raw)'!$D$2:$D$180,"="&amp;'Implied Productivity Ratios'!$C92)</f>
        <v>114.39936896808894</v>
      </c>
      <c r="AS92">
        <f>SUMIFS('MoodysData(Raw)'!AV$2:AV$180,'MoodysData(Raw)'!$B$2:$B$180,"=GDP",'MoodysData(Raw)'!$D$2:$D$180,"="&amp;'Implied Productivity Ratios'!$C92)/SUMIFS('MoodysData(Raw)'!AV$2:AV$180,'MoodysData(Raw)'!$B$2:$B$180,"=EMP",'MoodysData(Raw)'!$D$2:$D$180,"="&amp;'Implied Productivity Ratios'!$C92)</f>
        <v>114.94988832820623</v>
      </c>
      <c r="AT92">
        <f>SUMIFS('MoodysData(Raw)'!AW$2:AW$180,'MoodysData(Raw)'!$B$2:$B$180,"=GDP",'MoodysData(Raw)'!$D$2:$D$180,"="&amp;'Implied Productivity Ratios'!$C92)/SUMIFS('MoodysData(Raw)'!AW$2:AW$180,'MoodysData(Raw)'!$B$2:$B$180,"=EMP",'MoodysData(Raw)'!$D$2:$D$180,"="&amp;'Implied Productivity Ratios'!$C92)</f>
        <v>115.52230507929615</v>
      </c>
      <c r="AU92">
        <f>SUMIFS('MoodysData(Raw)'!AX$2:AX$180,'MoodysData(Raw)'!$B$2:$B$180,"=GDP",'MoodysData(Raw)'!$D$2:$D$180,"="&amp;'Implied Productivity Ratios'!$C92)/SUMIFS('MoodysData(Raw)'!AX$2:AX$180,'MoodysData(Raw)'!$B$2:$B$180,"=EMP",'MoodysData(Raw)'!$D$2:$D$180,"="&amp;'Implied Productivity Ratios'!$C92)</f>
        <v>116.12239637524361</v>
      </c>
      <c r="AV92">
        <f>SUMIFS('MoodysData(Raw)'!AY$2:AY$180,'MoodysData(Raw)'!$B$2:$B$180,"=GDP",'MoodysData(Raw)'!$D$2:$D$180,"="&amp;'Implied Productivity Ratios'!$C92)/SUMIFS('MoodysData(Raw)'!AY$2:AY$180,'MoodysData(Raw)'!$B$2:$B$180,"=EMP",'MoodysData(Raw)'!$D$2:$D$180,"="&amp;'Implied Productivity Ratios'!$C92)</f>
        <v>116.76357858776242</v>
      </c>
      <c r="AW92">
        <f>SUMIFS('MoodysData(Raw)'!AZ$2:AZ$180,'MoodysData(Raw)'!$B$2:$B$180,"=GDP",'MoodysData(Raw)'!$D$2:$D$180,"="&amp;'Implied Productivity Ratios'!$C92)/SUMIFS('MoodysData(Raw)'!AZ$2:AZ$180,'MoodysData(Raw)'!$B$2:$B$180,"=EMP",'MoodysData(Raw)'!$D$2:$D$180,"="&amp;'Implied Productivity Ratios'!$C92)</f>
        <v>117.43751183886597</v>
      </c>
      <c r="AX92">
        <f>SUMIFS('MoodysData(Raw)'!BA$2:BA$180,'MoodysData(Raw)'!$B$2:$B$180,"=GDP",'MoodysData(Raw)'!$D$2:$D$180,"="&amp;'Implied Productivity Ratios'!$C92)/SUMIFS('MoodysData(Raw)'!BA$2:BA$180,'MoodysData(Raw)'!$B$2:$B$180,"=EMP",'MoodysData(Raw)'!$D$2:$D$180,"="&amp;'Implied Productivity Ratios'!$C92)</f>
        <v>118.12174471962787</v>
      </c>
      <c r="AY92">
        <f>SUMIFS('MoodysData(Raw)'!BB$2:BB$180,'MoodysData(Raw)'!$B$2:$B$180,"=GDP",'MoodysData(Raw)'!$D$2:$D$180,"="&amp;'Implied Productivity Ratios'!$C92)/SUMIFS('MoodysData(Raw)'!BB$2:BB$180,'MoodysData(Raw)'!$B$2:$B$180,"=EMP",'MoodysData(Raw)'!$D$2:$D$180,"="&amp;'Implied Productivity Ratios'!$C92)</f>
        <v>118.79788470770862</v>
      </c>
      <c r="AZ92">
        <f>SUMIFS('MoodysData(Raw)'!BC$2:BC$180,'MoodysData(Raw)'!$B$2:$B$180,"=GDP",'MoodysData(Raw)'!$D$2:$D$180,"="&amp;'Implied Productivity Ratios'!$C92)/SUMIFS('MoodysData(Raw)'!BC$2:BC$180,'MoodysData(Raw)'!$B$2:$B$180,"=EMP",'MoodysData(Raw)'!$D$2:$D$180,"="&amp;'Implied Productivity Ratios'!$C92)</f>
        <v>119.47682116622491</v>
      </c>
      <c r="BA92">
        <f>SUMIFS('MoodysData(Raw)'!BD$2:BD$180,'MoodysData(Raw)'!$B$2:$B$180,"=GDP",'MoodysData(Raw)'!$D$2:$D$180,"="&amp;'Implied Productivity Ratios'!$C92)/SUMIFS('MoodysData(Raw)'!BD$2:BD$180,'MoodysData(Raw)'!$B$2:$B$180,"=EMP",'MoodysData(Raw)'!$D$2:$D$180,"="&amp;'Implied Productivity Ratios'!$C92)</f>
        <v>120.15258089692882</v>
      </c>
      <c r="BB92">
        <f>SUMIFS('MoodysData(Raw)'!BE$2:BE$180,'MoodysData(Raw)'!$B$2:$B$180,"=GDP",'MoodysData(Raw)'!$D$2:$D$180,"="&amp;'Implied Productivity Ratios'!$C92)/SUMIFS('MoodysData(Raw)'!BE$2:BE$180,'MoodysData(Raw)'!$B$2:$B$180,"=EMP",'MoodysData(Raw)'!$D$2:$D$180,"="&amp;'Implied Productivity Ratios'!$C92)</f>
        <v>120.8383752115826</v>
      </c>
      <c r="BC92">
        <f>SUMIFS('MoodysData(Raw)'!BF$2:BF$180,'MoodysData(Raw)'!$B$2:$B$180,"=GDP",'MoodysData(Raw)'!$D$2:$D$180,"="&amp;'Implied Productivity Ratios'!$C92)/SUMIFS('MoodysData(Raw)'!BF$2:BF$180,'MoodysData(Raw)'!$B$2:$B$180,"=EMP",'MoodysData(Raw)'!$D$2:$D$180,"="&amp;'Implied Productivity Ratios'!$C92)</f>
        <v>121.54419714725411</v>
      </c>
      <c r="BD92" s="5">
        <f t="shared" ref="BD92:BH92" si="86">BC92+($BC92-$AX92)/5</f>
        <v>122.22868763277935</v>
      </c>
      <c r="BE92" s="5">
        <f t="shared" si="86"/>
        <v>122.9131781183046</v>
      </c>
      <c r="BF92" s="5">
        <f t="shared" si="86"/>
        <v>123.59766860382985</v>
      </c>
      <c r="BG92" s="5">
        <f t="shared" si="86"/>
        <v>124.28215908935509</v>
      </c>
      <c r="BH92" s="5">
        <f t="shared" si="86"/>
        <v>124.96664957488034</v>
      </c>
    </row>
    <row r="93" spans="3:60">
      <c r="C93">
        <v>814</v>
      </c>
      <c r="D93" t="s">
        <v>32</v>
      </c>
      <c r="E93">
        <f>SUMIFS('MoodysData(Raw)'!H$2:H$180,'MoodysData(Raw)'!$B$2:$B$180,"=GDP",'MoodysData(Raw)'!$D$2:$D$180,"="&amp;'Implied Productivity Ratios'!$C93)/SUMIFS('MoodysData(Raw)'!H$2:H$180,'MoodysData(Raw)'!$B$2:$B$180,"=EMP",'MoodysData(Raw)'!$D$2:$D$180,"="&amp;'Implied Productivity Ratios'!$C93)</f>
        <v>105.02913026965439</v>
      </c>
      <c r="F93">
        <f>SUMIFS('MoodysData(Raw)'!I$2:I$180,'MoodysData(Raw)'!$B$2:$B$180,"=GDP",'MoodysData(Raw)'!$D$2:$D$180,"="&amp;'Implied Productivity Ratios'!$C93)/SUMIFS('MoodysData(Raw)'!I$2:I$180,'MoodysData(Raw)'!$B$2:$B$180,"=EMP",'MoodysData(Raw)'!$D$2:$D$180,"="&amp;'Implied Productivity Ratios'!$C93)</f>
        <v>110.42620440449042</v>
      </c>
      <c r="G93">
        <f>SUMIFS('MoodysData(Raw)'!J$2:J$180,'MoodysData(Raw)'!$B$2:$B$180,"=GDP",'MoodysData(Raw)'!$D$2:$D$180,"="&amp;'Implied Productivity Ratios'!$C93)/SUMIFS('MoodysData(Raw)'!J$2:J$180,'MoodysData(Raw)'!$B$2:$B$180,"=EMP",'MoodysData(Raw)'!$D$2:$D$180,"="&amp;'Implied Productivity Ratios'!$C93)</f>
        <v>113.60020186700275</v>
      </c>
      <c r="H93">
        <f>SUMIFS('MoodysData(Raw)'!K$2:K$180,'MoodysData(Raw)'!$B$2:$B$180,"=GDP",'MoodysData(Raw)'!$D$2:$D$180,"="&amp;'Implied Productivity Ratios'!$C93)/SUMIFS('MoodysData(Raw)'!K$2:K$180,'MoodysData(Raw)'!$B$2:$B$180,"=EMP",'MoodysData(Raw)'!$D$2:$D$180,"="&amp;'Implied Productivity Ratios'!$C93)</f>
        <v>111.86889377999312</v>
      </c>
      <c r="I93">
        <f>SUMIFS('MoodysData(Raw)'!L$2:L$180,'MoodysData(Raw)'!$B$2:$B$180,"=GDP",'MoodysData(Raw)'!$D$2:$D$180,"="&amp;'Implied Productivity Ratios'!$C93)/SUMIFS('MoodysData(Raw)'!L$2:L$180,'MoodysData(Raw)'!$B$2:$B$180,"=EMP",'MoodysData(Raw)'!$D$2:$D$180,"="&amp;'Implied Productivity Ratios'!$C93)</f>
        <v>98.46392193785843</v>
      </c>
      <c r="J93">
        <f>SUMIFS('MoodysData(Raw)'!M$2:M$180,'MoodysData(Raw)'!$B$2:$B$180,"=GDP",'MoodysData(Raw)'!$D$2:$D$180,"="&amp;'Implied Productivity Ratios'!$C93)/SUMIFS('MoodysData(Raw)'!M$2:M$180,'MoodysData(Raw)'!$B$2:$B$180,"=EMP",'MoodysData(Raw)'!$D$2:$D$180,"="&amp;'Implied Productivity Ratios'!$C93)</f>
        <v>82.795637193074015</v>
      </c>
      <c r="K93">
        <f>SUMIFS('MoodysData(Raw)'!N$2:N$180,'MoodysData(Raw)'!$B$2:$B$180,"=GDP",'MoodysData(Raw)'!$D$2:$D$180,"="&amp;'Implied Productivity Ratios'!$C93)/SUMIFS('MoodysData(Raw)'!N$2:N$180,'MoodysData(Raw)'!$B$2:$B$180,"=EMP",'MoodysData(Raw)'!$D$2:$D$180,"="&amp;'Implied Productivity Ratios'!$C93)</f>
        <v>85.207306599722529</v>
      </c>
      <c r="L93">
        <f>SUMIFS('MoodysData(Raw)'!O$2:O$180,'MoodysData(Raw)'!$B$2:$B$180,"=GDP",'MoodysData(Raw)'!$D$2:$D$180,"="&amp;'Implied Productivity Ratios'!$C93)/SUMIFS('MoodysData(Raw)'!O$2:O$180,'MoodysData(Raw)'!$B$2:$B$180,"=EMP",'MoodysData(Raw)'!$D$2:$D$180,"="&amp;'Implied Productivity Ratios'!$C93)</f>
        <v>84.740307485130742</v>
      </c>
      <c r="M93">
        <f>SUMIFS('MoodysData(Raw)'!P$2:P$180,'MoodysData(Raw)'!$B$2:$B$180,"=GDP",'MoodysData(Raw)'!$D$2:$D$180,"="&amp;'Implied Productivity Ratios'!$C93)/SUMIFS('MoodysData(Raw)'!P$2:P$180,'MoodysData(Raw)'!$B$2:$B$180,"=EMP",'MoodysData(Raw)'!$D$2:$D$180,"="&amp;'Implied Productivity Ratios'!$C93)</f>
        <v>87.186572829494409</v>
      </c>
      <c r="N93">
        <f>SUMIFS('MoodysData(Raw)'!Q$2:Q$180,'MoodysData(Raw)'!$B$2:$B$180,"=GDP",'MoodysData(Raw)'!$D$2:$D$180,"="&amp;'Implied Productivity Ratios'!$C93)/SUMIFS('MoodysData(Raw)'!Q$2:Q$180,'MoodysData(Raw)'!$B$2:$B$180,"=EMP",'MoodysData(Raw)'!$D$2:$D$180,"="&amp;'Implied Productivity Ratios'!$C93)</f>
        <v>94.643712483886787</v>
      </c>
      <c r="O93">
        <f>SUMIFS('MoodysData(Raw)'!R$2:R$180,'MoodysData(Raw)'!$B$2:$B$180,"=GDP",'MoodysData(Raw)'!$D$2:$D$180,"="&amp;'Implied Productivity Ratios'!$C93)/SUMIFS('MoodysData(Raw)'!R$2:R$180,'MoodysData(Raw)'!$B$2:$B$180,"=EMP",'MoodysData(Raw)'!$D$2:$D$180,"="&amp;'Implied Productivity Ratios'!$C93)</f>
        <v>95.726754557716575</v>
      </c>
      <c r="P93">
        <f>SUMIFS('MoodysData(Raw)'!S$2:S$180,'MoodysData(Raw)'!$B$2:$B$180,"=GDP",'MoodysData(Raw)'!$D$2:$D$180,"="&amp;'Implied Productivity Ratios'!$C93)/SUMIFS('MoodysData(Raw)'!S$2:S$180,'MoodysData(Raw)'!$B$2:$B$180,"=EMP",'MoodysData(Raw)'!$D$2:$D$180,"="&amp;'Implied Productivity Ratios'!$C93)</f>
        <v>89.123700619177527</v>
      </c>
      <c r="Q93">
        <f>SUMIFS('MoodysData(Raw)'!T$2:T$180,'MoodysData(Raw)'!$B$2:$B$180,"=GDP",'MoodysData(Raw)'!$D$2:$D$180,"="&amp;'Implied Productivity Ratios'!$C93)/SUMIFS('MoodysData(Raw)'!T$2:T$180,'MoodysData(Raw)'!$B$2:$B$180,"=EMP",'MoodysData(Raw)'!$D$2:$D$180,"="&amp;'Implied Productivity Ratios'!$C93)</f>
        <v>80.911532132340213</v>
      </c>
      <c r="R93">
        <f>SUMIFS('MoodysData(Raw)'!U$2:U$180,'MoodysData(Raw)'!$B$2:$B$180,"=GDP",'MoodysData(Raw)'!$D$2:$D$180,"="&amp;'Implied Productivity Ratios'!$C93)/SUMIFS('MoodysData(Raw)'!U$2:U$180,'MoodysData(Raw)'!$B$2:$B$180,"=EMP",'MoodysData(Raw)'!$D$2:$D$180,"="&amp;'Implied Productivity Ratios'!$C93)</f>
        <v>91.054497967670201</v>
      </c>
      <c r="S93">
        <f>SUMIFS('MoodysData(Raw)'!V$2:V$180,'MoodysData(Raw)'!$B$2:$B$180,"=GDP",'MoodysData(Raw)'!$D$2:$D$180,"="&amp;'Implied Productivity Ratios'!$C93)/SUMIFS('MoodysData(Raw)'!V$2:V$180,'MoodysData(Raw)'!$B$2:$B$180,"=EMP",'MoodysData(Raw)'!$D$2:$D$180,"="&amp;'Implied Productivity Ratios'!$C93)</f>
        <v>91.504468436172971</v>
      </c>
      <c r="T93">
        <f>SUMIFS('MoodysData(Raw)'!W$2:W$180,'MoodysData(Raw)'!$B$2:$B$180,"=GDP",'MoodysData(Raw)'!$D$2:$D$180,"="&amp;'Implied Productivity Ratios'!$C93)/SUMIFS('MoodysData(Raw)'!W$2:W$180,'MoodysData(Raw)'!$B$2:$B$180,"=EMP",'MoodysData(Raw)'!$D$2:$D$180,"="&amp;'Implied Productivity Ratios'!$C93)</f>
        <v>95.268092761977329</v>
      </c>
      <c r="U93">
        <f>SUMIFS('MoodysData(Raw)'!X$2:X$180,'MoodysData(Raw)'!$B$2:$B$180,"=GDP",'MoodysData(Raw)'!$D$2:$D$180,"="&amp;'Implied Productivity Ratios'!$C93)/SUMIFS('MoodysData(Raw)'!X$2:X$180,'MoodysData(Raw)'!$B$2:$B$180,"=EMP",'MoodysData(Raw)'!$D$2:$D$180,"="&amp;'Implied Productivity Ratios'!$C93)</f>
        <v>86.099538180155477</v>
      </c>
      <c r="V93">
        <f>SUMIFS('MoodysData(Raw)'!Y$2:Y$180,'MoodysData(Raw)'!$B$2:$B$180,"=GDP",'MoodysData(Raw)'!$D$2:$D$180,"="&amp;'Implied Productivity Ratios'!$C93)/SUMIFS('MoodysData(Raw)'!Y$2:Y$180,'MoodysData(Raw)'!$B$2:$B$180,"=EMP",'MoodysData(Raw)'!$D$2:$D$180,"="&amp;'Implied Productivity Ratios'!$C93)</f>
        <v>95.257201028003081</v>
      </c>
      <c r="W93">
        <f>SUMIFS('MoodysData(Raw)'!Z$2:Z$180,'MoodysData(Raw)'!$B$2:$B$180,"=GDP",'MoodysData(Raw)'!$D$2:$D$180,"="&amp;'Implied Productivity Ratios'!$C93)/SUMIFS('MoodysData(Raw)'!Z$2:Z$180,'MoodysData(Raw)'!$B$2:$B$180,"=EMP",'MoodysData(Raw)'!$D$2:$D$180,"="&amp;'Implied Productivity Ratios'!$C93)</f>
        <v>93.738589070068912</v>
      </c>
      <c r="X93">
        <f>SUMIFS('MoodysData(Raw)'!AA$2:AA$180,'MoodysData(Raw)'!$B$2:$B$180,"=GDP",'MoodysData(Raw)'!$D$2:$D$180,"="&amp;'Implied Productivity Ratios'!$C93)/SUMIFS('MoodysData(Raw)'!AA$2:AA$180,'MoodysData(Raw)'!$B$2:$B$180,"=EMP",'MoodysData(Raw)'!$D$2:$D$180,"="&amp;'Implied Productivity Ratios'!$C93)</f>
        <v>92.14236496945405</v>
      </c>
      <c r="Y93">
        <f>SUMIFS('MoodysData(Raw)'!AB$2:AB$180,'MoodysData(Raw)'!$B$2:$B$180,"=GDP",'MoodysData(Raw)'!$D$2:$D$180,"="&amp;'Implied Productivity Ratios'!$C93)/SUMIFS('MoodysData(Raw)'!AB$2:AB$180,'MoodysData(Raw)'!$B$2:$B$180,"=EMP",'MoodysData(Raw)'!$D$2:$D$180,"="&amp;'Implied Productivity Ratios'!$C93)</f>
        <v>90.347716366834263</v>
      </c>
      <c r="Z93">
        <f>SUMIFS('MoodysData(Raw)'!AC$2:AC$180,'MoodysData(Raw)'!$B$2:$B$180,"=GDP",'MoodysData(Raw)'!$D$2:$D$180,"="&amp;'Implied Productivity Ratios'!$C93)/SUMIFS('MoodysData(Raw)'!AC$2:AC$180,'MoodysData(Raw)'!$B$2:$B$180,"=EMP",'MoodysData(Raw)'!$D$2:$D$180,"="&amp;'Implied Productivity Ratios'!$C93)</f>
        <v>89.297669777098832</v>
      </c>
      <c r="AA93">
        <f>SUMIFS('MoodysData(Raw)'!AD$2:AD$180,'MoodysData(Raw)'!$B$2:$B$180,"=GDP",'MoodysData(Raw)'!$D$2:$D$180,"="&amp;'Implied Productivity Ratios'!$C93)/SUMIFS('MoodysData(Raw)'!AD$2:AD$180,'MoodysData(Raw)'!$B$2:$B$180,"=EMP",'MoodysData(Raw)'!$D$2:$D$180,"="&amp;'Implied Productivity Ratios'!$C93)</f>
        <v>88.341919388132425</v>
      </c>
      <c r="AB93">
        <f>SUMIFS('MoodysData(Raw)'!AE$2:AE$180,'MoodysData(Raw)'!$B$2:$B$180,"=GDP",'MoodysData(Raw)'!$D$2:$D$180,"="&amp;'Implied Productivity Ratios'!$C93)/SUMIFS('MoodysData(Raw)'!AE$2:AE$180,'MoodysData(Raw)'!$B$2:$B$180,"=EMP",'MoodysData(Raw)'!$D$2:$D$180,"="&amp;'Implied Productivity Ratios'!$C93)</f>
        <v>87.50265203538514</v>
      </c>
      <c r="AC93">
        <f>SUMIFS('MoodysData(Raw)'!AF$2:AF$180,'MoodysData(Raw)'!$B$2:$B$180,"=GDP",'MoodysData(Raw)'!$D$2:$D$180,"="&amp;'Implied Productivity Ratios'!$C93)/SUMIFS('MoodysData(Raw)'!AF$2:AF$180,'MoodysData(Raw)'!$B$2:$B$180,"=EMP",'MoodysData(Raw)'!$D$2:$D$180,"="&amp;'Implied Productivity Ratios'!$C93)</f>
        <v>86.840730153954155</v>
      </c>
      <c r="AD93">
        <f>SUMIFS('MoodysData(Raw)'!AG$2:AG$180,'MoodysData(Raw)'!$B$2:$B$180,"=GDP",'MoodysData(Raw)'!$D$2:$D$180,"="&amp;'Implied Productivity Ratios'!$C93)/SUMIFS('MoodysData(Raw)'!AG$2:AG$180,'MoodysData(Raw)'!$B$2:$B$180,"=EMP",'MoodysData(Raw)'!$D$2:$D$180,"="&amp;'Implied Productivity Ratios'!$C93)</f>
        <v>86.272984511071854</v>
      </c>
      <c r="AE93">
        <f>SUMIFS('MoodysData(Raw)'!AH$2:AH$180,'MoodysData(Raw)'!$B$2:$B$180,"=GDP",'MoodysData(Raw)'!$D$2:$D$180,"="&amp;'Implied Productivity Ratios'!$C93)/SUMIFS('MoodysData(Raw)'!AH$2:AH$180,'MoodysData(Raw)'!$B$2:$B$180,"=EMP",'MoodysData(Raw)'!$D$2:$D$180,"="&amp;'Implied Productivity Ratios'!$C93)</f>
        <v>85.438369418459928</v>
      </c>
      <c r="AF93">
        <f>SUMIFS('MoodysData(Raw)'!AI$2:AI$180,'MoodysData(Raw)'!$B$2:$B$180,"=GDP",'MoodysData(Raw)'!$D$2:$D$180,"="&amp;'Implied Productivity Ratios'!$C93)/SUMIFS('MoodysData(Raw)'!AI$2:AI$180,'MoodysData(Raw)'!$B$2:$B$180,"=EMP",'MoodysData(Raw)'!$D$2:$D$180,"="&amp;'Implied Productivity Ratios'!$C93)</f>
        <v>84.583312171543923</v>
      </c>
      <c r="AG93">
        <f>SUMIFS('MoodysData(Raw)'!AJ$2:AJ$180,'MoodysData(Raw)'!$B$2:$B$180,"=GDP",'MoodysData(Raw)'!$D$2:$D$180,"="&amp;'Implied Productivity Ratios'!$C93)/SUMIFS('MoodysData(Raw)'!AJ$2:AJ$180,'MoodysData(Raw)'!$B$2:$B$180,"=EMP",'MoodysData(Raw)'!$D$2:$D$180,"="&amp;'Implied Productivity Ratios'!$C93)</f>
        <v>83.67035628974196</v>
      </c>
      <c r="AH93">
        <f>SUMIFS('MoodysData(Raw)'!AK$2:AK$180,'MoodysData(Raw)'!$B$2:$B$180,"=GDP",'MoodysData(Raw)'!$D$2:$D$180,"="&amp;'Implied Productivity Ratios'!$C93)/SUMIFS('MoodysData(Raw)'!AK$2:AK$180,'MoodysData(Raw)'!$B$2:$B$180,"=EMP",'MoodysData(Raw)'!$D$2:$D$180,"="&amp;'Implied Productivity Ratios'!$C93)</f>
        <v>82.385616300595586</v>
      </c>
      <c r="AI93">
        <f>SUMIFS('MoodysData(Raw)'!AL$2:AL$180,'MoodysData(Raw)'!$B$2:$B$180,"=GDP",'MoodysData(Raw)'!$D$2:$D$180,"="&amp;'Implied Productivity Ratios'!$C93)/SUMIFS('MoodysData(Raw)'!AL$2:AL$180,'MoodysData(Raw)'!$B$2:$B$180,"=EMP",'MoodysData(Raw)'!$D$2:$D$180,"="&amp;'Implied Productivity Ratios'!$C93)</f>
        <v>80.944414854209128</v>
      </c>
      <c r="AJ93">
        <f>SUMIFS('MoodysData(Raw)'!AM$2:AM$180,'MoodysData(Raw)'!$B$2:$B$180,"=GDP",'MoodysData(Raw)'!$D$2:$D$180,"="&amp;'Implied Productivity Ratios'!$C93)/SUMIFS('MoodysData(Raw)'!AM$2:AM$180,'MoodysData(Raw)'!$B$2:$B$180,"=EMP",'MoodysData(Raw)'!$D$2:$D$180,"="&amp;'Implied Productivity Ratios'!$C93)</f>
        <v>79.772202721264122</v>
      </c>
      <c r="AK93">
        <f>SUMIFS('MoodysData(Raw)'!AN$2:AN$180,'MoodysData(Raw)'!$B$2:$B$180,"=GDP",'MoodysData(Raw)'!$D$2:$D$180,"="&amp;'Implied Productivity Ratios'!$C93)/SUMIFS('MoodysData(Raw)'!AN$2:AN$180,'MoodysData(Raw)'!$B$2:$B$180,"=EMP",'MoodysData(Raw)'!$D$2:$D$180,"="&amp;'Implied Productivity Ratios'!$C93)</f>
        <v>78.636352841585932</v>
      </c>
      <c r="AL93">
        <f>SUMIFS('MoodysData(Raw)'!AO$2:AO$180,'MoodysData(Raw)'!$B$2:$B$180,"=GDP",'MoodysData(Raw)'!$D$2:$D$180,"="&amp;'Implied Productivity Ratios'!$C93)/SUMIFS('MoodysData(Raw)'!AO$2:AO$180,'MoodysData(Raw)'!$B$2:$B$180,"=EMP",'MoodysData(Raw)'!$D$2:$D$180,"="&amp;'Implied Productivity Ratios'!$C93)</f>
        <v>77.45129814079516</v>
      </c>
      <c r="AM93">
        <f>SUMIFS('MoodysData(Raw)'!AP$2:AP$180,'MoodysData(Raw)'!$B$2:$B$180,"=GDP",'MoodysData(Raw)'!$D$2:$D$180,"="&amp;'Implied Productivity Ratios'!$C93)/SUMIFS('MoodysData(Raw)'!AP$2:AP$180,'MoodysData(Raw)'!$B$2:$B$180,"=EMP",'MoodysData(Raw)'!$D$2:$D$180,"="&amp;'Implied Productivity Ratios'!$C93)</f>
        <v>76.343836589305894</v>
      </c>
      <c r="AN93">
        <f>SUMIFS('MoodysData(Raw)'!AQ$2:AQ$180,'MoodysData(Raw)'!$B$2:$B$180,"=GDP",'MoodysData(Raw)'!$D$2:$D$180,"="&amp;'Implied Productivity Ratios'!$C93)/SUMIFS('MoodysData(Raw)'!AQ$2:AQ$180,'MoodysData(Raw)'!$B$2:$B$180,"=EMP",'MoodysData(Raw)'!$D$2:$D$180,"="&amp;'Implied Productivity Ratios'!$C93)</f>
        <v>75.326595740840347</v>
      </c>
      <c r="AO93">
        <f>SUMIFS('MoodysData(Raw)'!AR$2:AR$180,'MoodysData(Raw)'!$B$2:$B$180,"=GDP",'MoodysData(Raw)'!$D$2:$D$180,"="&amp;'Implied Productivity Ratios'!$C93)/SUMIFS('MoodysData(Raw)'!AR$2:AR$180,'MoodysData(Raw)'!$B$2:$B$180,"=EMP",'MoodysData(Raw)'!$D$2:$D$180,"="&amp;'Implied Productivity Ratios'!$C93)</f>
        <v>74.365468508024932</v>
      </c>
      <c r="AP93">
        <f>SUMIFS('MoodysData(Raw)'!AS$2:AS$180,'MoodysData(Raw)'!$B$2:$B$180,"=GDP",'MoodysData(Raw)'!$D$2:$D$180,"="&amp;'Implied Productivity Ratios'!$C93)/SUMIFS('MoodysData(Raw)'!AS$2:AS$180,'MoodysData(Raw)'!$B$2:$B$180,"=EMP",'MoodysData(Raw)'!$D$2:$D$180,"="&amp;'Implied Productivity Ratios'!$C93)</f>
        <v>73.404443593847873</v>
      </c>
      <c r="AQ93">
        <f>SUMIFS('MoodysData(Raw)'!AT$2:AT$180,'MoodysData(Raw)'!$B$2:$B$180,"=GDP",'MoodysData(Raw)'!$D$2:$D$180,"="&amp;'Implied Productivity Ratios'!$C93)/SUMIFS('MoodysData(Raw)'!AT$2:AT$180,'MoodysData(Raw)'!$B$2:$B$180,"=EMP",'MoodysData(Raw)'!$D$2:$D$180,"="&amp;'Implied Productivity Ratios'!$C93)</f>
        <v>72.456299065931631</v>
      </c>
      <c r="AR93">
        <f>SUMIFS('MoodysData(Raw)'!AU$2:AU$180,'MoodysData(Raw)'!$B$2:$B$180,"=GDP",'MoodysData(Raw)'!$D$2:$D$180,"="&amp;'Implied Productivity Ratios'!$C93)/SUMIFS('MoodysData(Raw)'!AU$2:AU$180,'MoodysData(Raw)'!$B$2:$B$180,"=EMP",'MoodysData(Raw)'!$D$2:$D$180,"="&amp;'Implied Productivity Ratios'!$C93)</f>
        <v>71.516957092628473</v>
      </c>
      <c r="AS93">
        <f>SUMIFS('MoodysData(Raw)'!AV$2:AV$180,'MoodysData(Raw)'!$B$2:$B$180,"=GDP",'MoodysData(Raw)'!$D$2:$D$180,"="&amp;'Implied Productivity Ratios'!$C93)/SUMIFS('MoodysData(Raw)'!AV$2:AV$180,'MoodysData(Raw)'!$B$2:$B$180,"=EMP",'MoodysData(Raw)'!$D$2:$D$180,"="&amp;'Implied Productivity Ratios'!$C93)</f>
        <v>70.586960756154653</v>
      </c>
      <c r="AT93">
        <f>SUMIFS('MoodysData(Raw)'!AW$2:AW$180,'MoodysData(Raw)'!$B$2:$B$180,"=GDP",'MoodysData(Raw)'!$D$2:$D$180,"="&amp;'Implied Productivity Ratios'!$C93)/SUMIFS('MoodysData(Raw)'!AW$2:AW$180,'MoodysData(Raw)'!$B$2:$B$180,"=EMP",'MoodysData(Raw)'!$D$2:$D$180,"="&amp;'Implied Productivity Ratios'!$C93)</f>
        <v>69.642080583987124</v>
      </c>
      <c r="AU93">
        <f>SUMIFS('MoodysData(Raw)'!AX$2:AX$180,'MoodysData(Raw)'!$B$2:$B$180,"=GDP",'MoodysData(Raw)'!$D$2:$D$180,"="&amp;'Implied Productivity Ratios'!$C93)/SUMIFS('MoodysData(Raw)'!AX$2:AX$180,'MoodysData(Raw)'!$B$2:$B$180,"=EMP",'MoodysData(Raw)'!$D$2:$D$180,"="&amp;'Implied Productivity Ratios'!$C93)</f>
        <v>68.746384616122128</v>
      </c>
      <c r="AV93">
        <f>SUMIFS('MoodysData(Raw)'!AY$2:AY$180,'MoodysData(Raw)'!$B$2:$B$180,"=GDP",'MoodysData(Raw)'!$D$2:$D$180,"="&amp;'Implied Productivity Ratios'!$C93)/SUMIFS('MoodysData(Raw)'!AY$2:AY$180,'MoodysData(Raw)'!$B$2:$B$180,"=EMP",'MoodysData(Raw)'!$D$2:$D$180,"="&amp;'Implied Productivity Ratios'!$C93)</f>
        <v>67.866792063512037</v>
      </c>
      <c r="AW93">
        <f>SUMIFS('MoodysData(Raw)'!AZ$2:AZ$180,'MoodysData(Raw)'!$B$2:$B$180,"=GDP",'MoodysData(Raw)'!$D$2:$D$180,"="&amp;'Implied Productivity Ratios'!$C93)/SUMIFS('MoodysData(Raw)'!AZ$2:AZ$180,'MoodysData(Raw)'!$B$2:$B$180,"=EMP",'MoodysData(Raw)'!$D$2:$D$180,"="&amp;'Implied Productivity Ratios'!$C93)</f>
        <v>67.001009362924805</v>
      </c>
      <c r="AX93">
        <f>SUMIFS('MoodysData(Raw)'!BA$2:BA$180,'MoodysData(Raw)'!$B$2:$B$180,"=GDP",'MoodysData(Raw)'!$D$2:$D$180,"="&amp;'Implied Productivity Ratios'!$C93)/SUMIFS('MoodysData(Raw)'!BA$2:BA$180,'MoodysData(Raw)'!$B$2:$B$180,"=EMP",'MoodysData(Raw)'!$D$2:$D$180,"="&amp;'Implied Productivity Ratios'!$C93)</f>
        <v>66.133435330403458</v>
      </c>
      <c r="AY93">
        <f>SUMIFS('MoodysData(Raw)'!BB$2:BB$180,'MoodysData(Raw)'!$B$2:$B$180,"=GDP",'MoodysData(Raw)'!$D$2:$D$180,"="&amp;'Implied Productivity Ratios'!$C93)/SUMIFS('MoodysData(Raw)'!BB$2:BB$180,'MoodysData(Raw)'!$B$2:$B$180,"=EMP",'MoodysData(Raw)'!$D$2:$D$180,"="&amp;'Implied Productivity Ratios'!$C93)</f>
        <v>65.276211419382719</v>
      </c>
      <c r="AZ93">
        <f>SUMIFS('MoodysData(Raw)'!BC$2:BC$180,'MoodysData(Raw)'!$B$2:$B$180,"=GDP",'MoodysData(Raw)'!$D$2:$D$180,"="&amp;'Implied Productivity Ratios'!$C93)/SUMIFS('MoodysData(Raw)'!BC$2:BC$180,'MoodysData(Raw)'!$B$2:$B$180,"=EMP",'MoodysData(Raw)'!$D$2:$D$180,"="&amp;'Implied Productivity Ratios'!$C93)</f>
        <v>64.479706792175207</v>
      </c>
      <c r="BA93">
        <f>SUMIFS('MoodysData(Raw)'!BD$2:BD$180,'MoodysData(Raw)'!$B$2:$B$180,"=GDP",'MoodysData(Raw)'!$D$2:$D$180,"="&amp;'Implied Productivity Ratios'!$C93)/SUMIFS('MoodysData(Raw)'!BD$2:BD$180,'MoodysData(Raw)'!$B$2:$B$180,"=EMP",'MoodysData(Raw)'!$D$2:$D$180,"="&amp;'Implied Productivity Ratios'!$C93)</f>
        <v>63.725037355493228</v>
      </c>
      <c r="BB93">
        <f>SUMIFS('MoodysData(Raw)'!BE$2:BE$180,'MoodysData(Raw)'!$B$2:$B$180,"=GDP",'MoodysData(Raw)'!$D$2:$D$180,"="&amp;'Implied Productivity Ratios'!$C93)/SUMIFS('MoodysData(Raw)'!BE$2:BE$180,'MoodysData(Raw)'!$B$2:$B$180,"=EMP",'MoodysData(Raw)'!$D$2:$D$180,"="&amp;'Implied Productivity Ratios'!$C93)</f>
        <v>63.017409252546273</v>
      </c>
      <c r="BC93">
        <f>SUMIFS('MoodysData(Raw)'!BF$2:BF$180,'MoodysData(Raw)'!$B$2:$B$180,"=GDP",'MoodysData(Raw)'!$D$2:$D$180,"="&amp;'Implied Productivity Ratios'!$C93)/SUMIFS('MoodysData(Raw)'!BF$2:BF$180,'MoodysData(Raw)'!$B$2:$B$180,"=EMP",'MoodysData(Raw)'!$D$2:$D$180,"="&amp;'Implied Productivity Ratios'!$C93)</f>
        <v>62.376605778244937</v>
      </c>
      <c r="BD93" s="5">
        <f t="shared" ref="BD93:BH93" si="87">BC93+($BC93-$AX93)/5</f>
        <v>61.625239867813235</v>
      </c>
      <c r="BE93" s="5">
        <f t="shared" si="87"/>
        <v>60.873873957381534</v>
      </c>
      <c r="BF93" s="5">
        <f t="shared" si="87"/>
        <v>60.122508046949832</v>
      </c>
      <c r="BG93" s="5">
        <f t="shared" si="87"/>
        <v>59.371142136518131</v>
      </c>
      <c r="BH93" s="5">
        <f t="shared" si="87"/>
        <v>58.619776226086429</v>
      </c>
    </row>
  </sheetData>
  <sortState ref="B6:D92">
    <sortCondition ref="C6:C92"/>
    <sortCondition ref="B6:B92"/>
  </sortState>
  <mergeCells count="1">
    <mergeCell ref="BD4:B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G93"/>
  <sheetViews>
    <sheetView tabSelected="1" topLeftCell="A70" workbookViewId="0">
      <selection activeCell="C77" sqref="C77"/>
    </sheetView>
  </sheetViews>
  <sheetFormatPr defaultRowHeight="14.25"/>
  <cols>
    <col min="3" max="3" width="79.5" bestFit="1" customWidth="1"/>
    <col min="4" max="4" width="7.5" bestFit="1" customWidth="1"/>
  </cols>
  <sheetData>
    <row r="1" spans="2:59">
      <c r="E1" s="7" t="s">
        <v>303</v>
      </c>
      <c r="F1" s="7"/>
      <c r="G1" s="7"/>
      <c r="H1" s="7"/>
      <c r="I1" s="7"/>
      <c r="J1" s="7"/>
      <c r="K1" s="7"/>
      <c r="L1" s="7"/>
    </row>
    <row r="2" spans="2:59">
      <c r="E2" s="7"/>
      <c r="F2" s="7"/>
      <c r="G2" s="7"/>
      <c r="H2" s="7"/>
      <c r="I2" s="7"/>
      <c r="J2" s="7"/>
      <c r="K2" s="7"/>
      <c r="L2" s="7"/>
    </row>
    <row r="3" spans="2:59">
      <c r="E3" s="7"/>
      <c r="F3" s="7"/>
      <c r="G3" s="7"/>
      <c r="H3" s="7"/>
      <c r="I3" s="7"/>
      <c r="J3" s="7"/>
      <c r="K3" s="7"/>
      <c r="L3" s="7"/>
    </row>
    <row r="4" spans="2:59" ht="15">
      <c r="BC4" s="6" t="s">
        <v>557</v>
      </c>
      <c r="BD4" s="6"/>
      <c r="BE4" s="6"/>
      <c r="BF4" s="6"/>
      <c r="BG4" s="6"/>
    </row>
    <row r="5" spans="2:59" ht="15">
      <c r="B5" t="s">
        <v>306</v>
      </c>
      <c r="C5" t="s">
        <v>307</v>
      </c>
      <c r="D5">
        <v>2005</v>
      </c>
      <c r="E5">
        <v>2006</v>
      </c>
      <c r="F5">
        <v>2007</v>
      </c>
      <c r="G5">
        <v>2008</v>
      </c>
      <c r="H5">
        <v>2009</v>
      </c>
      <c r="I5">
        <v>2010</v>
      </c>
      <c r="J5">
        <v>2011</v>
      </c>
      <c r="K5">
        <v>2012</v>
      </c>
      <c r="L5">
        <v>2013</v>
      </c>
      <c r="M5">
        <v>2014</v>
      </c>
      <c r="N5">
        <v>2015</v>
      </c>
      <c r="O5">
        <v>2016</v>
      </c>
      <c r="P5">
        <v>2017</v>
      </c>
      <c r="Q5">
        <v>2018</v>
      </c>
      <c r="R5">
        <v>2019</v>
      </c>
      <c r="S5">
        <v>2020</v>
      </c>
      <c r="T5">
        <v>2021</v>
      </c>
      <c r="U5">
        <v>2022</v>
      </c>
      <c r="V5">
        <v>2023</v>
      </c>
      <c r="W5">
        <v>2024</v>
      </c>
      <c r="X5">
        <v>2025</v>
      </c>
      <c r="Y5">
        <v>2026</v>
      </c>
      <c r="Z5">
        <v>2027</v>
      </c>
      <c r="AA5">
        <v>2028</v>
      </c>
      <c r="AB5">
        <v>2029</v>
      </c>
      <c r="AC5">
        <v>2030</v>
      </c>
      <c r="AD5">
        <v>2031</v>
      </c>
      <c r="AE5">
        <v>2032</v>
      </c>
      <c r="AF5">
        <v>2033</v>
      </c>
      <c r="AG5">
        <v>2034</v>
      </c>
      <c r="AH5">
        <v>2035</v>
      </c>
      <c r="AI5">
        <v>2036</v>
      </c>
      <c r="AJ5">
        <v>2037</v>
      </c>
      <c r="AK5">
        <v>2038</v>
      </c>
      <c r="AL5">
        <v>2039</v>
      </c>
      <c r="AM5">
        <v>2040</v>
      </c>
      <c r="AN5">
        <v>2041</v>
      </c>
      <c r="AO5">
        <v>2042</v>
      </c>
      <c r="AP5">
        <v>2043</v>
      </c>
      <c r="AQ5">
        <v>2044</v>
      </c>
      <c r="AR5">
        <v>2045</v>
      </c>
      <c r="AS5">
        <v>2046</v>
      </c>
      <c r="AT5">
        <v>2047</v>
      </c>
      <c r="AU5">
        <v>2048</v>
      </c>
      <c r="AV5">
        <v>2049</v>
      </c>
      <c r="AW5">
        <v>2050</v>
      </c>
      <c r="AX5">
        <v>2051</v>
      </c>
      <c r="AY5">
        <v>2052</v>
      </c>
      <c r="AZ5">
        <v>2053</v>
      </c>
      <c r="BA5">
        <v>2054</v>
      </c>
      <c r="BB5">
        <v>2055</v>
      </c>
      <c r="BC5" s="4">
        <v>2056</v>
      </c>
      <c r="BD5" s="4">
        <v>2057</v>
      </c>
      <c r="BE5" s="4">
        <v>2058</v>
      </c>
      <c r="BF5" s="4">
        <v>2059</v>
      </c>
      <c r="BG5" s="4">
        <v>2060</v>
      </c>
    </row>
    <row r="6" spans="2:59">
      <c r="B6">
        <v>211</v>
      </c>
      <c r="C6" t="s">
        <v>310</v>
      </c>
      <c r="D6">
        <f>'Implied Productivity Ratios'!E6/'Implied Productivity Ratios'!$V6</f>
        <v>0.50907669614252016</v>
      </c>
      <c r="E6">
        <f>'Implied Productivity Ratios'!F6/'Implied Productivity Ratios'!$V6</f>
        <v>0.54143207654471559</v>
      </c>
      <c r="F6">
        <f>'Implied Productivity Ratios'!G6/'Implied Productivity Ratios'!$V6</f>
        <v>0.53883040956813022</v>
      </c>
      <c r="G6">
        <f>'Implied Productivity Ratios'!H6/'Implied Productivity Ratios'!$V6</f>
        <v>0.46582370355684355</v>
      </c>
      <c r="H6">
        <f>'Implied Productivity Ratios'!I6/'Implied Productivity Ratios'!$V6</f>
        <v>0.63525739184391117</v>
      </c>
      <c r="I6">
        <f>'Implied Productivity Ratios'!J6/'Implied Productivity Ratios'!$V6</f>
        <v>0.49339195942152142</v>
      </c>
      <c r="J6">
        <f>'Implied Productivity Ratios'!K6/'Implied Productivity Ratios'!$V6</f>
        <v>0.45858939214162731</v>
      </c>
      <c r="K6">
        <f>'Implied Productivity Ratios'!L6/'Implied Productivity Ratios'!$V6</f>
        <v>0.51948145110812716</v>
      </c>
      <c r="L6">
        <f>'Implied Productivity Ratios'!M6/'Implied Productivity Ratios'!$V6</f>
        <v>0.51480607327474937</v>
      </c>
      <c r="M6">
        <f>'Implied Productivity Ratios'!N6/'Implied Productivity Ratios'!$V6</f>
        <v>0.55534979314865929</v>
      </c>
      <c r="N6">
        <f>'Implied Productivity Ratios'!O6/'Implied Productivity Ratios'!$V6</f>
        <v>0.79120261390553703</v>
      </c>
      <c r="O6">
        <f>'Implied Productivity Ratios'!P6/'Implied Productivity Ratios'!$V6</f>
        <v>0.96683527853450058</v>
      </c>
      <c r="P6">
        <f>'Implied Productivity Ratios'!Q6/'Implied Productivity Ratios'!$V6</f>
        <v>0.95422174311477703</v>
      </c>
      <c r="Q6">
        <f>'Implied Productivity Ratios'!R6/'Implied Productivity Ratios'!$V6</f>
        <v>0.90947653371885551</v>
      </c>
      <c r="R6">
        <f>'Implied Productivity Ratios'!S6/'Implied Productivity Ratios'!$V6</f>
        <v>1.1624298928819825</v>
      </c>
      <c r="S6">
        <f>'Implied Productivity Ratios'!T6/'Implied Productivity Ratios'!$V6</f>
        <v>1.4246277141115007</v>
      </c>
      <c r="T6">
        <f>'Implied Productivity Ratios'!U6/'Implied Productivity Ratios'!$V6</f>
        <v>1.2332956985817387</v>
      </c>
      <c r="U6">
        <f>'Implied Productivity Ratios'!V6/'Implied Productivity Ratios'!$V6</f>
        <v>1</v>
      </c>
      <c r="V6">
        <f>'Implied Productivity Ratios'!W6/'Implied Productivity Ratios'!$V6</f>
        <v>1.4969656336113717</v>
      </c>
      <c r="W6">
        <f>'Implied Productivity Ratios'!X6/'Implied Productivity Ratios'!$V6</f>
        <v>1.4625645773014135</v>
      </c>
      <c r="X6">
        <f>'Implied Productivity Ratios'!Y6/'Implied Productivity Ratios'!$V6</f>
        <v>1.3856962415539986</v>
      </c>
      <c r="Y6">
        <f>'Implied Productivity Ratios'!Z6/'Implied Productivity Ratios'!$V6</f>
        <v>1.4556192889346367</v>
      </c>
      <c r="Z6">
        <f>'Implied Productivity Ratios'!AA6/'Implied Productivity Ratios'!$V6</f>
        <v>1.5290173260422517</v>
      </c>
      <c r="AA6">
        <f>'Implied Productivity Ratios'!AB6/'Implied Productivity Ratios'!$V6</f>
        <v>1.5930538618431147</v>
      </c>
      <c r="AB6">
        <f>'Implied Productivity Ratios'!AC6/'Implied Productivity Ratios'!$V6</f>
        <v>1.6601862145672255</v>
      </c>
      <c r="AC6">
        <f>'Implied Productivity Ratios'!AD6/'Implied Productivity Ratios'!$V6</f>
        <v>1.7185649070121558</v>
      </c>
      <c r="AD6">
        <f>'Implied Productivity Ratios'!AE6/'Implied Productivity Ratios'!$V6</f>
        <v>1.7543429448769738</v>
      </c>
      <c r="AE6">
        <f>'Implied Productivity Ratios'!AF6/'Implied Productivity Ratios'!$V6</f>
        <v>1.7801753738713968</v>
      </c>
      <c r="AF6">
        <f>'Implied Productivity Ratios'!AG6/'Implied Productivity Ratios'!$V6</f>
        <v>1.8071399621711866</v>
      </c>
      <c r="AG6">
        <f>'Implied Productivity Ratios'!AH6/'Implied Productivity Ratios'!$V6</f>
        <v>1.8333145758746749</v>
      </c>
      <c r="AH6">
        <f>'Implied Productivity Ratios'!AI6/'Implied Productivity Ratios'!$V6</f>
        <v>1.8639207983244566</v>
      </c>
      <c r="AI6">
        <f>'Implied Productivity Ratios'!AJ6/'Implied Productivity Ratios'!$V6</f>
        <v>1.8926928712873083</v>
      </c>
      <c r="AJ6">
        <f>'Implied Productivity Ratios'!AK6/'Implied Productivity Ratios'!$V6</f>
        <v>1.9111965472554633</v>
      </c>
      <c r="AK6">
        <f>'Implied Productivity Ratios'!AL6/'Implied Productivity Ratios'!$V6</f>
        <v>1.9268911180411858</v>
      </c>
      <c r="AL6">
        <f>'Implied Productivity Ratios'!AM6/'Implied Productivity Ratios'!$V6</f>
        <v>1.9307675446675183</v>
      </c>
      <c r="AM6">
        <f>'Implied Productivity Ratios'!AN6/'Implied Productivity Ratios'!$V6</f>
        <v>1.9291482117994996</v>
      </c>
      <c r="AN6">
        <f>'Implied Productivity Ratios'!AO6/'Implied Productivity Ratios'!$V6</f>
        <v>1.9248742220892854</v>
      </c>
      <c r="AO6">
        <f>'Implied Productivity Ratios'!AP6/'Implied Productivity Ratios'!$V6</f>
        <v>1.9188048131448801</v>
      </c>
      <c r="AP6">
        <f>'Implied Productivity Ratios'!AQ6/'Implied Productivity Ratios'!$V6</f>
        <v>1.9150268245681874</v>
      </c>
      <c r="AQ6">
        <f>'Implied Productivity Ratios'!AR6/'Implied Productivity Ratios'!$V6</f>
        <v>1.9256535902640399</v>
      </c>
      <c r="AR6">
        <f>'Implied Productivity Ratios'!AS6/'Implied Productivity Ratios'!$V6</f>
        <v>1.9475628064629196</v>
      </c>
      <c r="AS6">
        <f>'Implied Productivity Ratios'!AT6/'Implied Productivity Ratios'!$V6</f>
        <v>1.9777743695228598</v>
      </c>
      <c r="AT6">
        <f>'Implied Productivity Ratios'!AU6/'Implied Productivity Ratios'!$V6</f>
        <v>2.0124740490998043</v>
      </c>
      <c r="AU6">
        <f>'Implied Productivity Ratios'!AV6/'Implied Productivity Ratios'!$V6</f>
        <v>2.0433494684258497</v>
      </c>
      <c r="AV6">
        <f>'Implied Productivity Ratios'!AW6/'Implied Productivity Ratios'!$V6</f>
        <v>2.0724617591416155</v>
      </c>
      <c r="AW6">
        <f>'Implied Productivity Ratios'!AX6/'Implied Productivity Ratios'!$V6</f>
        <v>2.1103252637165819</v>
      </c>
      <c r="AX6">
        <f>'Implied Productivity Ratios'!AY6/'Implied Productivity Ratios'!$V6</f>
        <v>2.1398648835844742</v>
      </c>
      <c r="AY6">
        <f>'Implied Productivity Ratios'!AZ6/'Implied Productivity Ratios'!$V6</f>
        <v>2.1563635379488408</v>
      </c>
      <c r="AZ6">
        <f>'Implied Productivity Ratios'!BA6/'Implied Productivity Ratios'!$V6</f>
        <v>2.1651243377002323</v>
      </c>
      <c r="BA6">
        <f>'Implied Productivity Ratios'!BB6/'Implied Productivity Ratios'!$V6</f>
        <v>2.1705614295638678</v>
      </c>
      <c r="BB6">
        <f>'Implied Productivity Ratios'!BC6/'Implied Productivity Ratios'!$V6</f>
        <v>2.1735957497463105</v>
      </c>
      <c r="BC6" s="5">
        <f>'Implied Productivity Ratios'!BD6/'Implied Productivity Ratios'!$V6</f>
        <v>2.1862498469522564</v>
      </c>
      <c r="BD6" s="5">
        <f>'Implied Productivity Ratios'!BE6/'Implied Productivity Ratios'!$V6</f>
        <v>2.1989039441582023</v>
      </c>
      <c r="BE6" s="5">
        <f>'Implied Productivity Ratios'!BF6/'Implied Productivity Ratios'!$V6</f>
        <v>2.2115580413641482</v>
      </c>
      <c r="BF6" s="5">
        <f>'Implied Productivity Ratios'!BG6/'Implied Productivity Ratios'!$V6</f>
        <v>2.2242121385700937</v>
      </c>
      <c r="BG6" s="5">
        <f>'Implied Productivity Ratios'!BH6/'Implied Productivity Ratios'!$V6</f>
        <v>2.2368662357760396</v>
      </c>
    </row>
    <row r="7" spans="2:59">
      <c r="B7">
        <v>212</v>
      </c>
      <c r="C7" t="s">
        <v>314</v>
      </c>
      <c r="D7">
        <f>'Implied Productivity Ratios'!E7/'Implied Productivity Ratios'!$V7</f>
        <v>1.0850688376831001</v>
      </c>
      <c r="E7">
        <f>'Implied Productivity Ratios'!F7/'Implied Productivity Ratios'!$V7</f>
        <v>1.0764087742816997</v>
      </c>
      <c r="F7">
        <f>'Implied Productivity Ratios'!G7/'Implied Productivity Ratios'!$V7</f>
        <v>1.1004400359617807</v>
      </c>
      <c r="G7">
        <f>'Implied Productivity Ratios'!H7/'Implied Productivity Ratios'!$V7</f>
        <v>0.99852561435200582</v>
      </c>
      <c r="H7">
        <f>'Implied Productivity Ratios'!I7/'Implied Productivity Ratios'!$V7</f>
        <v>1.0098658700516154</v>
      </c>
      <c r="I7">
        <f>'Implied Productivity Ratios'!J7/'Implied Productivity Ratios'!$V7</f>
        <v>1.0662762642541801</v>
      </c>
      <c r="J7">
        <f>'Implied Productivity Ratios'!K7/'Implied Productivity Ratios'!$V7</f>
        <v>1.0187230847288435</v>
      </c>
      <c r="K7">
        <f>'Implied Productivity Ratios'!L7/'Implied Productivity Ratios'!$V7</f>
        <v>0.89444827490991041</v>
      </c>
      <c r="L7">
        <f>'Implied Productivity Ratios'!M7/'Implied Productivity Ratios'!$V7</f>
        <v>0.938884318486783</v>
      </c>
      <c r="M7">
        <f>'Implied Productivity Ratios'!N7/'Implied Productivity Ratios'!$V7</f>
        <v>0.92895332841636158</v>
      </c>
      <c r="N7">
        <f>'Implied Productivity Ratios'!O7/'Implied Productivity Ratios'!$V7</f>
        <v>0.88514578648998166</v>
      </c>
      <c r="O7">
        <f>'Implied Productivity Ratios'!P7/'Implied Productivity Ratios'!$V7</f>
        <v>0.93262341303704299</v>
      </c>
      <c r="P7">
        <f>'Implied Productivity Ratios'!Q7/'Implied Productivity Ratios'!$V7</f>
        <v>0.96214805621190969</v>
      </c>
      <c r="Q7">
        <f>'Implied Productivity Ratios'!R7/'Implied Productivity Ratios'!$V7</f>
        <v>0.90685252193714549</v>
      </c>
      <c r="R7">
        <f>'Implied Productivity Ratios'!S7/'Implied Productivity Ratios'!$V7</f>
        <v>0.90867672113095876</v>
      </c>
      <c r="S7">
        <f>'Implied Productivity Ratios'!T7/'Implied Productivity Ratios'!$V7</f>
        <v>1.0657888985995503</v>
      </c>
      <c r="T7">
        <f>'Implied Productivity Ratios'!U7/'Implied Productivity Ratios'!$V7</f>
        <v>1.0671010089901851</v>
      </c>
      <c r="U7">
        <f>'Implied Productivity Ratios'!V7/'Implied Productivity Ratios'!$V7</f>
        <v>1</v>
      </c>
      <c r="V7">
        <f>'Implied Productivity Ratios'!W7/'Implied Productivity Ratios'!$V7</f>
        <v>0.95933245138115475</v>
      </c>
      <c r="W7">
        <f>'Implied Productivity Ratios'!X7/'Implied Productivity Ratios'!$V7</f>
        <v>0.94261354469241698</v>
      </c>
      <c r="X7">
        <f>'Implied Productivity Ratios'!Y7/'Implied Productivity Ratios'!$V7</f>
        <v>1.0060455590954893</v>
      </c>
      <c r="Y7">
        <f>'Implied Productivity Ratios'!Z7/'Implied Productivity Ratios'!$V7</f>
        <v>1.0157003711779315</v>
      </c>
      <c r="Z7">
        <f>'Implied Productivity Ratios'!AA7/'Implied Productivity Ratios'!$V7</f>
        <v>1.0237291425136172</v>
      </c>
      <c r="AA7">
        <f>'Implied Productivity Ratios'!AB7/'Implied Productivity Ratios'!$V7</f>
        <v>1.0346063589402863</v>
      </c>
      <c r="AB7">
        <f>'Implied Productivity Ratios'!AC7/'Implied Productivity Ratios'!$V7</f>
        <v>1.050527374695206</v>
      </c>
      <c r="AC7">
        <f>'Implied Productivity Ratios'!AD7/'Implied Productivity Ratios'!$V7</f>
        <v>1.0619698131723709</v>
      </c>
      <c r="AD7">
        <f>'Implied Productivity Ratios'!AE7/'Implied Productivity Ratios'!$V7</f>
        <v>1.0613022376200965</v>
      </c>
      <c r="AE7">
        <f>'Implied Productivity Ratios'!AF7/'Implied Productivity Ratios'!$V7</f>
        <v>1.0527529905784794</v>
      </c>
      <c r="AF7">
        <f>'Implied Productivity Ratios'!AG7/'Implied Productivity Ratios'!$V7</f>
        <v>1.0443433443307713</v>
      </c>
      <c r="AG7">
        <f>'Implied Productivity Ratios'!AH7/'Implied Productivity Ratios'!$V7</f>
        <v>1.0352143065994579</v>
      </c>
      <c r="AH7">
        <f>'Implied Productivity Ratios'!AI7/'Implied Productivity Ratios'!$V7</f>
        <v>1.0310570044098584</v>
      </c>
      <c r="AI7">
        <f>'Implied Productivity Ratios'!AJ7/'Implied Productivity Ratios'!$V7</f>
        <v>1.0299810050559706</v>
      </c>
      <c r="AJ7">
        <f>'Implied Productivity Ratios'!AK7/'Implied Productivity Ratios'!$V7</f>
        <v>1.0267393145357395</v>
      </c>
      <c r="AK7">
        <f>'Implied Productivity Ratios'!AL7/'Implied Productivity Ratios'!$V7</f>
        <v>1.0221474674743196</v>
      </c>
      <c r="AL7">
        <f>'Implied Productivity Ratios'!AM7/'Implied Productivity Ratios'!$V7</f>
        <v>1.015980691983011</v>
      </c>
      <c r="AM7">
        <f>'Implied Productivity Ratios'!AN7/'Implied Productivity Ratios'!$V7</f>
        <v>1.00749458964754</v>
      </c>
      <c r="AN7">
        <f>'Implied Productivity Ratios'!AO7/'Implied Productivity Ratios'!$V7</f>
        <v>1.0016348624234506</v>
      </c>
      <c r="AO7">
        <f>'Implied Productivity Ratios'!AP7/'Implied Productivity Ratios'!$V7</f>
        <v>0.9970512408570158</v>
      </c>
      <c r="AP7">
        <f>'Implied Productivity Ratios'!AQ7/'Implied Productivity Ratios'!$V7</f>
        <v>0.99542573276098367</v>
      </c>
      <c r="AQ7">
        <f>'Implied Productivity Ratios'!AR7/'Implied Productivity Ratios'!$V7</f>
        <v>1.0010617529475208</v>
      </c>
      <c r="AR7">
        <f>'Implied Productivity Ratios'!AS7/'Implied Productivity Ratios'!$V7</f>
        <v>1.0141905479095918</v>
      </c>
      <c r="AS7">
        <f>'Implied Productivity Ratios'!AT7/'Implied Productivity Ratios'!$V7</f>
        <v>1.0310232465470799</v>
      </c>
      <c r="AT7">
        <f>'Implied Productivity Ratios'!AU7/'Implied Productivity Ratios'!$V7</f>
        <v>1.0534377676616868</v>
      </c>
      <c r="AU7">
        <f>'Implied Productivity Ratios'!AV7/'Implied Productivity Ratios'!$V7</f>
        <v>1.0740827275061313</v>
      </c>
      <c r="AV7">
        <f>'Implied Productivity Ratios'!AW7/'Implied Productivity Ratios'!$V7</f>
        <v>1.095732152976578</v>
      </c>
      <c r="AW7">
        <f>'Implied Productivity Ratios'!AX7/'Implied Productivity Ratios'!$V7</f>
        <v>1.1227904712408272</v>
      </c>
      <c r="AX7">
        <f>'Implied Productivity Ratios'!AY7/'Implied Productivity Ratios'!$V7</f>
        <v>1.1473527016635996</v>
      </c>
      <c r="AY7">
        <f>'Implied Productivity Ratios'!AZ7/'Implied Productivity Ratios'!$V7</f>
        <v>1.1671116555004073</v>
      </c>
      <c r="AZ7">
        <f>'Implied Productivity Ratios'!BA7/'Implied Productivity Ratios'!$V7</f>
        <v>1.184914304037483</v>
      </c>
      <c r="BA7">
        <f>'Implied Productivity Ratios'!BB7/'Implied Productivity Ratios'!$V7</f>
        <v>1.2023307562998393</v>
      </c>
      <c r="BB7">
        <f>'Implied Productivity Ratios'!BC7/'Implied Productivity Ratios'!$V7</f>
        <v>1.219859888753583</v>
      </c>
      <c r="BC7" s="5">
        <f>'Implied Productivity Ratios'!BD7/'Implied Productivity Ratios'!$V7</f>
        <v>1.2392737722561342</v>
      </c>
      <c r="BD7" s="5">
        <f>'Implied Productivity Ratios'!BE7/'Implied Productivity Ratios'!$V7</f>
        <v>1.2586876557586852</v>
      </c>
      <c r="BE7" s="5">
        <f>'Implied Productivity Ratios'!BF7/'Implied Productivity Ratios'!$V7</f>
        <v>1.2781015392612365</v>
      </c>
      <c r="BF7" s="5">
        <f>'Implied Productivity Ratios'!BG7/'Implied Productivity Ratios'!$V7</f>
        <v>1.2975154227637877</v>
      </c>
      <c r="BG7" s="5">
        <f>'Implied Productivity Ratios'!BH7/'Implied Productivity Ratios'!$V7</f>
        <v>1.316929306266339</v>
      </c>
    </row>
    <row r="8" spans="2:59">
      <c r="B8">
        <v>213</v>
      </c>
      <c r="C8" t="s">
        <v>318</v>
      </c>
      <c r="D8">
        <f>'Implied Productivity Ratios'!E8/'Implied Productivity Ratios'!$V8</f>
        <v>0.48151983847937591</v>
      </c>
      <c r="E8">
        <f>'Implied Productivity Ratios'!F8/'Implied Productivity Ratios'!$V8</f>
        <v>0.59942778647161465</v>
      </c>
      <c r="F8">
        <f>'Implied Productivity Ratios'!G8/'Implied Productivity Ratios'!$V8</f>
        <v>0.60594306152525257</v>
      </c>
      <c r="G8">
        <f>'Implied Productivity Ratios'!H8/'Implied Productivity Ratios'!$V8</f>
        <v>0.6063380247383694</v>
      </c>
      <c r="H8">
        <f>'Implied Productivity Ratios'!I8/'Implied Productivity Ratios'!$V8</f>
        <v>0.54309940251735422</v>
      </c>
      <c r="I8">
        <f>'Implied Productivity Ratios'!J8/'Implied Productivity Ratios'!$V8</f>
        <v>0.58173893324742232</v>
      </c>
      <c r="J8">
        <f>'Implied Productivity Ratios'!K8/'Implied Productivity Ratios'!$V8</f>
        <v>0.60753123926059638</v>
      </c>
      <c r="K8">
        <f>'Implied Productivity Ratios'!L8/'Implied Productivity Ratios'!$V8</f>
        <v>0.56155801662042126</v>
      </c>
      <c r="L8">
        <f>'Implied Productivity Ratios'!M8/'Implied Productivity Ratios'!$V8</f>
        <v>0.58579439423069546</v>
      </c>
      <c r="M8">
        <f>'Implied Productivity Ratios'!N8/'Implied Productivity Ratios'!$V8</f>
        <v>0.6492595692895462</v>
      </c>
      <c r="N8">
        <f>'Implied Productivity Ratios'!O8/'Implied Productivity Ratios'!$V8</f>
        <v>0.53048344217941812</v>
      </c>
      <c r="O8">
        <f>'Implied Productivity Ratios'!P8/'Implied Productivity Ratios'!$V8</f>
        <v>0.44257301390771503</v>
      </c>
      <c r="P8">
        <f>'Implied Productivity Ratios'!Q8/'Implied Productivity Ratios'!$V8</f>
        <v>0.58527037401082682</v>
      </c>
      <c r="Q8">
        <f>'Implied Productivity Ratios'!R8/'Implied Productivity Ratios'!$V8</f>
        <v>0.72968877493973083</v>
      </c>
      <c r="R8">
        <f>'Implied Productivity Ratios'!S8/'Implied Productivity Ratios'!$V8</f>
        <v>0.66610042276041181</v>
      </c>
      <c r="S8">
        <f>'Implied Productivity Ratios'!T8/'Implied Productivity Ratios'!$V8</f>
        <v>0.63281647383690687</v>
      </c>
      <c r="T8">
        <f>'Implied Productivity Ratios'!U8/'Implied Productivity Ratios'!$V8</f>
        <v>0.87108255356791087</v>
      </c>
      <c r="U8">
        <f>'Implied Productivity Ratios'!V8/'Implied Productivity Ratios'!$V8</f>
        <v>1</v>
      </c>
      <c r="V8">
        <f>'Implied Productivity Ratios'!W8/'Implied Productivity Ratios'!$V8</f>
        <v>0.99839351716914793</v>
      </c>
      <c r="W8">
        <f>'Implied Productivity Ratios'!X8/'Implied Productivity Ratios'!$V8</f>
        <v>1.005668612566011</v>
      </c>
      <c r="X8">
        <f>'Implied Productivity Ratios'!Y8/'Implied Productivity Ratios'!$V8</f>
        <v>0.99794930902117107</v>
      </c>
      <c r="Y8">
        <f>'Implied Productivity Ratios'!Z8/'Implied Productivity Ratios'!$V8</f>
        <v>0.95185185443547748</v>
      </c>
      <c r="Z8">
        <f>'Implied Productivity Ratios'!AA8/'Implied Productivity Ratios'!$V8</f>
        <v>0.93320404959120895</v>
      </c>
      <c r="AA8">
        <f>'Implied Productivity Ratios'!AB8/'Implied Productivity Ratios'!$V8</f>
        <v>0.94849126211859813</v>
      </c>
      <c r="AB8">
        <f>'Implied Productivity Ratios'!AC8/'Implied Productivity Ratios'!$V8</f>
        <v>0.96831315896319448</v>
      </c>
      <c r="AC8">
        <f>'Implied Productivity Ratios'!AD8/'Implied Productivity Ratios'!$V8</f>
        <v>0.99950036483128102</v>
      </c>
      <c r="AD8">
        <f>'Implied Productivity Ratios'!AE8/'Implied Productivity Ratios'!$V8</f>
        <v>1.0406206960875954</v>
      </c>
      <c r="AE8">
        <f>'Implied Productivity Ratios'!AF8/'Implied Productivity Ratios'!$V8</f>
        <v>1.0938726614900327</v>
      </c>
      <c r="AF8">
        <f>'Implied Productivity Ratios'!AG8/'Implied Productivity Ratios'!$V8</f>
        <v>1.1424306946139047</v>
      </c>
      <c r="AG8">
        <f>'Implied Productivity Ratios'!AH8/'Implied Productivity Ratios'!$V8</f>
        <v>1.1811181190343749</v>
      </c>
      <c r="AH8">
        <f>'Implied Productivity Ratios'!AI8/'Implied Productivity Ratios'!$V8</f>
        <v>1.2144418859822483</v>
      </c>
      <c r="AI8">
        <f>'Implied Productivity Ratios'!AJ8/'Implied Productivity Ratios'!$V8</f>
        <v>1.2439860008557508</v>
      </c>
      <c r="AJ8">
        <f>'Implied Productivity Ratios'!AK8/'Implied Productivity Ratios'!$V8</f>
        <v>1.269677523397164</v>
      </c>
      <c r="AK8">
        <f>'Implied Productivity Ratios'!AL8/'Implied Productivity Ratios'!$V8</f>
        <v>1.2936832004597658</v>
      </c>
      <c r="AL8">
        <f>'Implied Productivity Ratios'!AM8/'Implied Productivity Ratios'!$V8</f>
        <v>1.3079718050037963</v>
      </c>
      <c r="AM8">
        <f>'Implied Productivity Ratios'!AN8/'Implied Productivity Ratios'!$V8</f>
        <v>1.3184877656357084</v>
      </c>
      <c r="AN8">
        <f>'Implied Productivity Ratios'!AO8/'Implied Productivity Ratios'!$V8</f>
        <v>1.3302017885621258</v>
      </c>
      <c r="AO8">
        <f>'Implied Productivity Ratios'!AP8/'Implied Productivity Ratios'!$V8</f>
        <v>1.336562533093699</v>
      </c>
      <c r="AP8">
        <f>'Implied Productivity Ratios'!AQ8/'Implied Productivity Ratios'!$V8</f>
        <v>1.3387435154518745</v>
      </c>
      <c r="AQ8">
        <f>'Implied Productivity Ratios'!AR8/'Implied Productivity Ratios'!$V8</f>
        <v>1.3415404707449485</v>
      </c>
      <c r="AR8">
        <f>'Implied Productivity Ratios'!AS8/'Implied Productivity Ratios'!$V8</f>
        <v>1.3502213716525713</v>
      </c>
      <c r="AS8">
        <f>'Implied Productivity Ratios'!AT8/'Implied Productivity Ratios'!$V8</f>
        <v>1.3617368155476501</v>
      </c>
      <c r="AT8">
        <f>'Implied Productivity Ratios'!AU8/'Implied Productivity Ratios'!$V8</f>
        <v>1.3739094253543516</v>
      </c>
      <c r="AU8">
        <f>'Implied Productivity Ratios'!AV8/'Implied Productivity Ratios'!$V8</f>
        <v>1.3831516382876796</v>
      </c>
      <c r="AV8">
        <f>'Implied Productivity Ratios'!AW8/'Implied Productivity Ratios'!$V8</f>
        <v>1.3978872807630047</v>
      </c>
      <c r="AW8">
        <f>'Implied Productivity Ratios'!AX8/'Implied Productivity Ratios'!$V8</f>
        <v>1.4162892382678163</v>
      </c>
      <c r="AX8">
        <f>'Implied Productivity Ratios'!AY8/'Implied Productivity Ratios'!$V8</f>
        <v>1.4332962987528528</v>
      </c>
      <c r="AY8">
        <f>'Implied Productivity Ratios'!AZ8/'Implied Productivity Ratios'!$V8</f>
        <v>1.4498107278404622</v>
      </c>
      <c r="AZ8">
        <f>'Implied Productivity Ratios'!BA8/'Implied Productivity Ratios'!$V8</f>
        <v>1.4682940830457052</v>
      </c>
      <c r="BA8">
        <f>'Implied Productivity Ratios'!BB8/'Implied Productivity Ratios'!$V8</f>
        <v>1.4872174580719288</v>
      </c>
      <c r="BB8">
        <f>'Implied Productivity Ratios'!BC8/'Implied Productivity Ratios'!$V8</f>
        <v>1.5060277815502729</v>
      </c>
      <c r="BC8" s="5">
        <f>'Implied Productivity Ratios'!BD8/'Implied Productivity Ratios'!$V8</f>
        <v>1.5239754902067644</v>
      </c>
      <c r="BD8" s="5">
        <f>'Implied Productivity Ratios'!BE8/'Implied Productivity Ratios'!$V8</f>
        <v>1.5419231988632556</v>
      </c>
      <c r="BE8" s="5">
        <f>'Implied Productivity Ratios'!BF8/'Implied Productivity Ratios'!$V8</f>
        <v>1.559870907519747</v>
      </c>
      <c r="BF8" s="5">
        <f>'Implied Productivity Ratios'!BG8/'Implied Productivity Ratios'!$V8</f>
        <v>1.5778186161762384</v>
      </c>
      <c r="BG8" s="5">
        <f>'Implied Productivity Ratios'!BH8/'Implied Productivity Ratios'!$V8</f>
        <v>1.5957663248327296</v>
      </c>
    </row>
    <row r="9" spans="2:59">
      <c r="B9">
        <v>221</v>
      </c>
      <c r="C9" t="s">
        <v>552</v>
      </c>
      <c r="D9">
        <f>'Implied Productivity Ratios'!E9/'Implied Productivity Ratios'!$V9</f>
        <v>0.74305671337937873</v>
      </c>
      <c r="E9">
        <f>'Implied Productivity Ratios'!F9/'Implied Productivity Ratios'!$V9</f>
        <v>0.78960214524268302</v>
      </c>
      <c r="F9">
        <f>'Implied Productivity Ratios'!G9/'Implied Productivity Ratios'!$V9</f>
        <v>0.80386632856018292</v>
      </c>
      <c r="G9">
        <f>'Implied Productivity Ratios'!H9/'Implied Productivity Ratios'!$V9</f>
        <v>0.83703551678490229</v>
      </c>
      <c r="H9">
        <f>'Implied Productivity Ratios'!I9/'Implied Productivity Ratios'!$V9</f>
        <v>0.7757978326252456</v>
      </c>
      <c r="I9">
        <f>'Implied Productivity Ratios'!J9/'Implied Productivity Ratios'!$V9</f>
        <v>0.89065295172018966</v>
      </c>
      <c r="J9">
        <f>'Implied Productivity Ratios'!K9/'Implied Productivity Ratios'!$V9</f>
        <v>0.92790812467394446</v>
      </c>
      <c r="K9">
        <f>'Implied Productivity Ratios'!L9/'Implied Productivity Ratios'!$V9</f>
        <v>0.94304159267656507</v>
      </c>
      <c r="L9">
        <f>'Implied Productivity Ratios'!M9/'Implied Productivity Ratios'!$V9</f>
        <v>0.93692769736064763</v>
      </c>
      <c r="M9">
        <f>'Implied Productivity Ratios'!N9/'Implied Productivity Ratios'!$V9</f>
        <v>0.90254822854517736</v>
      </c>
      <c r="N9">
        <f>'Implied Productivity Ratios'!O9/'Implied Productivity Ratios'!$V9</f>
        <v>0.91051084218195322</v>
      </c>
      <c r="O9">
        <f>'Implied Productivity Ratios'!P9/'Implied Productivity Ratios'!$V9</f>
        <v>0.9611241398094541</v>
      </c>
      <c r="P9">
        <f>'Implied Productivity Ratios'!Q9/'Implied Productivity Ratios'!$V9</f>
        <v>0.96334804830169474</v>
      </c>
      <c r="Q9">
        <f>'Implied Productivity Ratios'!R9/'Implied Productivity Ratios'!$V9</f>
        <v>0.9519861826661854</v>
      </c>
      <c r="R9">
        <f>'Implied Productivity Ratios'!S9/'Implied Productivity Ratios'!$V9</f>
        <v>0.96922698303082411</v>
      </c>
      <c r="S9">
        <f>'Implied Productivity Ratios'!T9/'Implied Productivity Ratios'!$V9</f>
        <v>1.0334882904112757</v>
      </c>
      <c r="T9">
        <f>'Implied Productivity Ratios'!U9/'Implied Productivity Ratios'!$V9</f>
        <v>1.0010309492278313</v>
      </c>
      <c r="U9">
        <f>'Implied Productivity Ratios'!V9/'Implied Productivity Ratios'!$V9</f>
        <v>1</v>
      </c>
      <c r="V9">
        <f>'Implied Productivity Ratios'!W9/'Implied Productivity Ratios'!$V9</f>
        <v>1.0091909153670755</v>
      </c>
      <c r="W9">
        <f>'Implied Productivity Ratios'!X9/'Implied Productivity Ratios'!$V9</f>
        <v>0.9969102880805667</v>
      </c>
      <c r="X9">
        <f>'Implied Productivity Ratios'!Y9/'Implied Productivity Ratios'!$V9</f>
        <v>1.0215692752333003</v>
      </c>
      <c r="Y9">
        <f>'Implied Productivity Ratios'!Z9/'Implied Productivity Ratios'!$V9</f>
        <v>1.0496296159973972</v>
      </c>
      <c r="Z9">
        <f>'Implied Productivity Ratios'!AA9/'Implied Productivity Ratios'!$V9</f>
        <v>1.0746965290949655</v>
      </c>
      <c r="AA9">
        <f>'Implied Productivity Ratios'!AB9/'Implied Productivity Ratios'!$V9</f>
        <v>1.0941259711428857</v>
      </c>
      <c r="AB9">
        <f>'Implied Productivity Ratios'!AC9/'Implied Productivity Ratios'!$V9</f>
        <v>1.1148511345808689</v>
      </c>
      <c r="AC9">
        <f>'Implied Productivity Ratios'!AD9/'Implied Productivity Ratios'!$V9</f>
        <v>1.1384460570357071</v>
      </c>
      <c r="AD9">
        <f>'Implied Productivity Ratios'!AE9/'Implied Productivity Ratios'!$V9</f>
        <v>1.1621574255631546</v>
      </c>
      <c r="AE9">
        <f>'Implied Productivity Ratios'!AF9/'Implied Productivity Ratios'!$V9</f>
        <v>1.1865626090270693</v>
      </c>
      <c r="AF9">
        <f>'Implied Productivity Ratios'!AG9/'Implied Productivity Ratios'!$V9</f>
        <v>1.211353629445058</v>
      </c>
      <c r="AG9">
        <f>'Implied Productivity Ratios'!AH9/'Implied Productivity Ratios'!$V9</f>
        <v>1.2361499522543937</v>
      </c>
      <c r="AH9">
        <f>'Implied Productivity Ratios'!AI9/'Implied Productivity Ratios'!$V9</f>
        <v>1.2608555624817461</v>
      </c>
      <c r="AI9">
        <f>'Implied Productivity Ratios'!AJ9/'Implied Productivity Ratios'!$V9</f>
        <v>1.2870617838578815</v>
      </c>
      <c r="AJ9">
        <f>'Implied Productivity Ratios'!AK9/'Implied Productivity Ratios'!$V9</f>
        <v>1.3156420907079103</v>
      </c>
      <c r="AK9">
        <f>'Implied Productivity Ratios'!AL9/'Implied Productivity Ratios'!$V9</f>
        <v>1.3429797816040518</v>
      </c>
      <c r="AL9">
        <f>'Implied Productivity Ratios'!AM9/'Implied Productivity Ratios'!$V9</f>
        <v>1.3695486998151267</v>
      </c>
      <c r="AM9">
        <f>'Implied Productivity Ratios'!AN9/'Implied Productivity Ratios'!$V9</f>
        <v>1.3941978276734692</v>
      </c>
      <c r="AN9">
        <f>'Implied Productivity Ratios'!AO9/'Implied Productivity Ratios'!$V9</f>
        <v>1.4174748233942975</v>
      </c>
      <c r="AO9">
        <f>'Implied Productivity Ratios'!AP9/'Implied Productivity Ratios'!$V9</f>
        <v>1.4399987746755643</v>
      </c>
      <c r="AP9">
        <f>'Implied Productivity Ratios'!AQ9/'Implied Productivity Ratios'!$V9</f>
        <v>1.4622686583716711</v>
      </c>
      <c r="AQ9">
        <f>'Implied Productivity Ratios'!AR9/'Implied Productivity Ratios'!$V9</f>
        <v>1.4845398527453662</v>
      </c>
      <c r="AR9">
        <f>'Implied Productivity Ratios'!AS9/'Implied Productivity Ratios'!$V9</f>
        <v>1.5072533553547902</v>
      </c>
      <c r="AS9">
        <f>'Implied Productivity Ratios'!AT9/'Implied Productivity Ratios'!$V9</f>
        <v>1.5279309176244154</v>
      </c>
      <c r="AT9">
        <f>'Implied Productivity Ratios'!AU9/'Implied Productivity Ratios'!$V9</f>
        <v>1.5495887054831703</v>
      </c>
      <c r="AU9">
        <f>'Implied Productivity Ratios'!AV9/'Implied Productivity Ratios'!$V9</f>
        <v>1.5723972668950352</v>
      </c>
      <c r="AV9">
        <f>'Implied Productivity Ratios'!AW9/'Implied Productivity Ratios'!$V9</f>
        <v>1.5954620565862025</v>
      </c>
      <c r="AW9">
        <f>'Implied Productivity Ratios'!AX9/'Implied Productivity Ratios'!$V9</f>
        <v>1.6189233500303482</v>
      </c>
      <c r="AX9">
        <f>'Implied Productivity Ratios'!AY9/'Implied Productivity Ratios'!$V9</f>
        <v>1.6426041796395661</v>
      </c>
      <c r="AY9">
        <f>'Implied Productivity Ratios'!AZ9/'Implied Productivity Ratios'!$V9</f>
        <v>1.6667020643760317</v>
      </c>
      <c r="AZ9">
        <f>'Implied Productivity Ratios'!BA9/'Implied Productivity Ratios'!$V9</f>
        <v>1.6909562963949714</v>
      </c>
      <c r="BA9">
        <f>'Implied Productivity Ratios'!BB9/'Implied Productivity Ratios'!$V9</f>
        <v>1.7160643534738387</v>
      </c>
      <c r="BB9">
        <f>'Implied Productivity Ratios'!BC9/'Implied Productivity Ratios'!$V9</f>
        <v>1.7416715499129889</v>
      </c>
      <c r="BC9" s="5">
        <f>'Implied Productivity Ratios'!BD9/'Implied Productivity Ratios'!$V9</f>
        <v>1.766221189889517</v>
      </c>
      <c r="BD9" s="5">
        <f>'Implied Productivity Ratios'!BE9/'Implied Productivity Ratios'!$V9</f>
        <v>1.7907708298660452</v>
      </c>
      <c r="BE9" s="5">
        <f>'Implied Productivity Ratios'!BF9/'Implied Productivity Ratios'!$V9</f>
        <v>1.8153204698425733</v>
      </c>
      <c r="BF9" s="5">
        <f>'Implied Productivity Ratios'!BG9/'Implied Productivity Ratios'!$V9</f>
        <v>1.8398701098191015</v>
      </c>
      <c r="BG9" s="5">
        <f>'Implied Productivity Ratios'!BH9/'Implied Productivity Ratios'!$V9</f>
        <v>1.8644197497956296</v>
      </c>
    </row>
    <row r="10" spans="2:59">
      <c r="B10">
        <v>236</v>
      </c>
      <c r="C10" t="s">
        <v>322</v>
      </c>
      <c r="D10">
        <f>'Implied Productivity Ratios'!E10/'Implied Productivity Ratios'!$V10</f>
        <v>1.2062041285636513</v>
      </c>
      <c r="E10">
        <f>'Implied Productivity Ratios'!F10/'Implied Productivity Ratios'!$V10</f>
        <v>1.1290814463004357</v>
      </c>
      <c r="F10">
        <f>'Implied Productivity Ratios'!G10/'Implied Productivity Ratios'!$V10</f>
        <v>1.0914761266967599</v>
      </c>
      <c r="G10">
        <f>'Implied Productivity Ratios'!H10/'Implied Productivity Ratios'!$V10</f>
        <v>1.036268659401538</v>
      </c>
      <c r="H10">
        <f>'Implied Productivity Ratios'!I10/'Implied Productivity Ratios'!$V10</f>
        <v>1.0622597061223797</v>
      </c>
      <c r="I10">
        <f>'Implied Productivity Ratios'!J10/'Implied Productivity Ratios'!$V10</f>
        <v>1.0893115235525539</v>
      </c>
      <c r="J10">
        <f>'Implied Productivity Ratios'!K10/'Implied Productivity Ratios'!$V10</f>
        <v>1.0710267695895019</v>
      </c>
      <c r="K10">
        <f>'Implied Productivity Ratios'!L10/'Implied Productivity Ratios'!$V10</f>
        <v>1.0834259686141285</v>
      </c>
      <c r="L10">
        <f>'Implied Productivity Ratios'!M10/'Implied Productivity Ratios'!$V10</f>
        <v>1.0801375549717778</v>
      </c>
      <c r="M10">
        <f>'Implied Productivity Ratios'!N10/'Implied Productivity Ratios'!$V10</f>
        <v>1.067993413299674</v>
      </c>
      <c r="N10">
        <f>'Implied Productivity Ratios'!O10/'Implied Productivity Ratios'!$V10</f>
        <v>1.0833465583344246</v>
      </c>
      <c r="O10">
        <f>'Implied Productivity Ratios'!P10/'Implied Productivity Ratios'!$V10</f>
        <v>1.1004196860119475</v>
      </c>
      <c r="P10">
        <f>'Implied Productivity Ratios'!Q10/'Implied Productivity Ratios'!$V10</f>
        <v>1.1121870867451007</v>
      </c>
      <c r="Q10">
        <f>'Implied Productivity Ratios'!R10/'Implied Productivity Ratios'!$V10</f>
        <v>1.0925152601646393</v>
      </c>
      <c r="R10">
        <f>'Implied Productivity Ratios'!S10/'Implied Productivity Ratios'!$V10</f>
        <v>1.0816249083264182</v>
      </c>
      <c r="S10">
        <f>'Implied Productivity Ratios'!T10/'Implied Productivity Ratios'!$V10</f>
        <v>1.1005693589548067</v>
      </c>
      <c r="T10">
        <f>'Implied Productivity Ratios'!U10/'Implied Productivity Ratios'!$V10</f>
        <v>1.0957705058457792</v>
      </c>
      <c r="U10">
        <f>'Implied Productivity Ratios'!V10/'Implied Productivity Ratios'!$V10</f>
        <v>1</v>
      </c>
      <c r="V10">
        <f>'Implied Productivity Ratios'!W10/'Implied Productivity Ratios'!$V10</f>
        <v>0.94887650911371257</v>
      </c>
      <c r="W10">
        <f>'Implied Productivity Ratios'!X10/'Implied Productivity Ratios'!$V10</f>
        <v>0.96998184719656644</v>
      </c>
      <c r="X10">
        <f>'Implied Productivity Ratios'!Y10/'Implied Productivity Ratios'!$V10</f>
        <v>0.95918280481013951</v>
      </c>
      <c r="Y10">
        <f>'Implied Productivity Ratios'!Z10/'Implied Productivity Ratios'!$V10</f>
        <v>0.97708864053791478</v>
      </c>
      <c r="Z10">
        <f>'Implied Productivity Ratios'!AA10/'Implied Productivity Ratios'!$V10</f>
        <v>0.995287601854974</v>
      </c>
      <c r="AA10">
        <f>'Implied Productivity Ratios'!AB10/'Implied Productivity Ratios'!$V10</f>
        <v>1.0120403972406045</v>
      </c>
      <c r="AB10">
        <f>'Implied Productivity Ratios'!AC10/'Implied Productivity Ratios'!$V10</f>
        <v>1.0337375852427915</v>
      </c>
      <c r="AC10">
        <f>'Implied Productivity Ratios'!AD10/'Implied Productivity Ratios'!$V10</f>
        <v>1.0556941803516473</v>
      </c>
      <c r="AD10">
        <f>'Implied Productivity Ratios'!AE10/'Implied Productivity Ratios'!$V10</f>
        <v>1.0708232474351662</v>
      </c>
      <c r="AE10">
        <f>'Implied Productivity Ratios'!AF10/'Implied Productivity Ratios'!$V10</f>
        <v>1.0838203711036694</v>
      </c>
      <c r="AF10">
        <f>'Implied Productivity Ratios'!AG10/'Implied Productivity Ratios'!$V10</f>
        <v>1.0959658099991272</v>
      </c>
      <c r="AG10">
        <f>'Implied Productivity Ratios'!AH10/'Implied Productivity Ratios'!$V10</f>
        <v>1.105756404922309</v>
      </c>
      <c r="AH10">
        <f>'Implied Productivity Ratios'!AI10/'Implied Productivity Ratios'!$V10</f>
        <v>1.1145858076231594</v>
      </c>
      <c r="AI10">
        <f>'Implied Productivity Ratios'!AJ10/'Implied Productivity Ratios'!$V10</f>
        <v>1.1229845889667849</v>
      </c>
      <c r="AJ10">
        <f>'Implied Productivity Ratios'!AK10/'Implied Productivity Ratios'!$V10</f>
        <v>1.1319761677066558</v>
      </c>
      <c r="AK10">
        <f>'Implied Productivity Ratios'!AL10/'Implied Productivity Ratios'!$V10</f>
        <v>1.1418335148155758</v>
      </c>
      <c r="AL10">
        <f>'Implied Productivity Ratios'!AM10/'Implied Productivity Ratios'!$V10</f>
        <v>1.151888083136362</v>
      </c>
      <c r="AM10">
        <f>'Implied Productivity Ratios'!AN10/'Implied Productivity Ratios'!$V10</f>
        <v>1.1607478608414685</v>
      </c>
      <c r="AN10">
        <f>'Implied Productivity Ratios'!AO10/'Implied Productivity Ratios'!$V10</f>
        <v>1.1683201009006434</v>
      </c>
      <c r="AO10">
        <f>'Implied Productivity Ratios'!AP10/'Implied Productivity Ratios'!$V10</f>
        <v>1.1759011444986045</v>
      </c>
      <c r="AP10">
        <f>'Implied Productivity Ratios'!AQ10/'Implied Productivity Ratios'!$V10</f>
        <v>1.1821976337460762</v>
      </c>
      <c r="AQ10">
        <f>'Implied Productivity Ratios'!AR10/'Implied Productivity Ratios'!$V10</f>
        <v>1.187992812515744</v>
      </c>
      <c r="AR10">
        <f>'Implied Productivity Ratios'!AS10/'Implied Productivity Ratios'!$V10</f>
        <v>1.1934865607894887</v>
      </c>
      <c r="AS10">
        <f>'Implied Productivity Ratios'!AT10/'Implied Productivity Ratios'!$V10</f>
        <v>1.1989231153457454</v>
      </c>
      <c r="AT10">
        <f>'Implied Productivity Ratios'!AU10/'Implied Productivity Ratios'!$V10</f>
        <v>1.2054591238130323</v>
      </c>
      <c r="AU10">
        <f>'Implied Productivity Ratios'!AV10/'Implied Productivity Ratios'!$V10</f>
        <v>1.2125601848978043</v>
      </c>
      <c r="AV10">
        <f>'Implied Productivity Ratios'!AW10/'Implied Productivity Ratios'!$V10</f>
        <v>1.2192768092147366</v>
      </c>
      <c r="AW10">
        <f>'Implied Productivity Ratios'!AX10/'Implied Productivity Ratios'!$V10</f>
        <v>1.225925585054644</v>
      </c>
      <c r="AX10">
        <f>'Implied Productivity Ratios'!AY10/'Implied Productivity Ratios'!$V10</f>
        <v>1.2320315678149647</v>
      </c>
      <c r="AY10">
        <f>'Implied Productivity Ratios'!AZ10/'Implied Productivity Ratios'!$V10</f>
        <v>1.2377194414442994</v>
      </c>
      <c r="AZ10">
        <f>'Implied Productivity Ratios'!BA10/'Implied Productivity Ratios'!$V10</f>
        <v>1.2432060345537368</v>
      </c>
      <c r="BA10">
        <f>'Implied Productivity Ratios'!BB10/'Implied Productivity Ratios'!$V10</f>
        <v>1.2497302232717351</v>
      </c>
      <c r="BB10">
        <f>'Implied Productivity Ratios'!BC10/'Implied Productivity Ratios'!$V10</f>
        <v>1.2570428424472648</v>
      </c>
      <c r="BC10" s="5">
        <f>'Implied Productivity Ratios'!BD10/'Implied Productivity Ratios'!$V10</f>
        <v>1.263266293925789</v>
      </c>
      <c r="BD10" s="5">
        <f>'Implied Productivity Ratios'!BE10/'Implied Productivity Ratios'!$V10</f>
        <v>1.2694897454043133</v>
      </c>
      <c r="BE10" s="5">
        <f>'Implied Productivity Ratios'!BF10/'Implied Productivity Ratios'!$V10</f>
        <v>1.2757131968828372</v>
      </c>
      <c r="BF10" s="5">
        <f>'Implied Productivity Ratios'!BG10/'Implied Productivity Ratios'!$V10</f>
        <v>1.2819366483613615</v>
      </c>
      <c r="BG10" s="5">
        <f>'Implied Productivity Ratios'!BH10/'Implied Productivity Ratios'!$V10</f>
        <v>1.2881600998398857</v>
      </c>
    </row>
    <row r="11" spans="2:59">
      <c r="B11">
        <v>237</v>
      </c>
      <c r="C11" t="s">
        <v>326</v>
      </c>
      <c r="D11">
        <f>'Implied Productivity Ratios'!E11/'Implied Productivity Ratios'!$V11</f>
        <v>1.1766032624505738</v>
      </c>
      <c r="E11">
        <f>'Implied Productivity Ratios'!F11/'Implied Productivity Ratios'!$V11</f>
        <v>1.1056270893222426</v>
      </c>
      <c r="F11">
        <f>'Implied Productivity Ratios'!G11/'Implied Productivity Ratios'!$V11</f>
        <v>1.0827252800176947</v>
      </c>
      <c r="G11">
        <f>'Implied Productivity Ratios'!H11/'Implied Productivity Ratios'!$V11</f>
        <v>1.0431226000249347</v>
      </c>
      <c r="H11">
        <f>'Implied Productivity Ratios'!I11/'Implied Productivity Ratios'!$V11</f>
        <v>1.0695956061789891</v>
      </c>
      <c r="I11">
        <f>'Implied Productivity Ratios'!J11/'Implied Productivity Ratios'!$V11</f>
        <v>1.1097793310194095</v>
      </c>
      <c r="J11">
        <f>'Implied Productivity Ratios'!K11/'Implied Productivity Ratios'!$V11</f>
        <v>1.1079279753150599</v>
      </c>
      <c r="K11">
        <f>'Implied Productivity Ratios'!L11/'Implied Productivity Ratios'!$V11</f>
        <v>1.1242401499626113</v>
      </c>
      <c r="L11">
        <f>'Implied Productivity Ratios'!M11/'Implied Productivity Ratios'!$V11</f>
        <v>1.126380980556152</v>
      </c>
      <c r="M11">
        <f>'Implied Productivity Ratios'!N11/'Implied Productivity Ratios'!$V11</f>
        <v>1.1116118204153131</v>
      </c>
      <c r="N11">
        <f>'Implied Productivity Ratios'!O11/'Implied Productivity Ratios'!$V11</f>
        <v>1.1103117745592528</v>
      </c>
      <c r="O11">
        <f>'Implied Productivity Ratios'!P11/'Implied Productivity Ratios'!$V11</f>
        <v>1.1113189494429778</v>
      </c>
      <c r="P11">
        <f>'Implied Productivity Ratios'!Q11/'Implied Productivity Ratios'!$V11</f>
        <v>1.1322489333698182</v>
      </c>
      <c r="Q11">
        <f>'Implied Productivity Ratios'!R11/'Implied Productivity Ratios'!$V11</f>
        <v>1.1223304794329545</v>
      </c>
      <c r="R11">
        <f>'Implied Productivity Ratios'!S11/'Implied Productivity Ratios'!$V11</f>
        <v>1.1035673745583641</v>
      </c>
      <c r="S11">
        <f>'Implied Productivity Ratios'!T11/'Implied Productivity Ratios'!$V11</f>
        <v>1.1138226405264808</v>
      </c>
      <c r="T11">
        <f>'Implied Productivity Ratios'!U11/'Implied Productivity Ratios'!$V11</f>
        <v>1.1150235535172293</v>
      </c>
      <c r="U11">
        <f>'Implied Productivity Ratios'!V11/'Implied Productivity Ratios'!$V11</f>
        <v>1</v>
      </c>
      <c r="V11">
        <f>'Implied Productivity Ratios'!W11/'Implied Productivity Ratios'!$V11</f>
        <v>0.94749430083326469</v>
      </c>
      <c r="W11">
        <f>'Implied Productivity Ratios'!X11/'Implied Productivity Ratios'!$V11</f>
        <v>0.96108497937396975</v>
      </c>
      <c r="X11">
        <f>'Implied Productivity Ratios'!Y11/'Implied Productivity Ratios'!$V11</f>
        <v>0.96146144304083936</v>
      </c>
      <c r="Y11">
        <f>'Implied Productivity Ratios'!Z11/'Implied Productivity Ratios'!$V11</f>
        <v>0.99192311617810047</v>
      </c>
      <c r="Z11">
        <f>'Implied Productivity Ratios'!AA11/'Implied Productivity Ratios'!$V11</f>
        <v>1.0229837897482486</v>
      </c>
      <c r="AA11">
        <f>'Implied Productivity Ratios'!AB11/'Implied Productivity Ratios'!$V11</f>
        <v>1.0526270714469608</v>
      </c>
      <c r="AB11">
        <f>'Implied Productivity Ratios'!AC11/'Implied Productivity Ratios'!$V11</f>
        <v>1.0874485746344442</v>
      </c>
      <c r="AC11">
        <f>'Implied Productivity Ratios'!AD11/'Implied Productivity Ratios'!$V11</f>
        <v>1.1226211821464926</v>
      </c>
      <c r="AD11">
        <f>'Implied Productivity Ratios'!AE11/'Implied Productivity Ratios'!$V11</f>
        <v>1.1505612976925503</v>
      </c>
      <c r="AE11">
        <f>'Implied Productivity Ratios'!AF11/'Implied Productivity Ratios'!$V11</f>
        <v>1.1761205656514313</v>
      </c>
      <c r="AF11">
        <f>'Implied Productivity Ratios'!AG11/'Implied Productivity Ratios'!$V11</f>
        <v>1.2005849775724118</v>
      </c>
      <c r="AG11">
        <f>'Implied Productivity Ratios'!AH11/'Implied Productivity Ratios'!$V11</f>
        <v>1.2222274694921094</v>
      </c>
      <c r="AH11">
        <f>'Implied Productivity Ratios'!AI11/'Implied Productivity Ratios'!$V11</f>
        <v>1.2425414961529451</v>
      </c>
      <c r="AI11">
        <f>'Implied Productivity Ratios'!AJ11/'Implied Productivity Ratios'!$V11</f>
        <v>1.2620974497927204</v>
      </c>
      <c r="AJ11">
        <f>'Implied Productivity Ratios'!AK11/'Implied Productivity Ratios'!$V11</f>
        <v>1.2820111421088216</v>
      </c>
      <c r="AK11">
        <f>'Implied Productivity Ratios'!AL11/'Implied Productivity Ratios'!$V11</f>
        <v>1.3025706524930289</v>
      </c>
      <c r="AL11">
        <f>'Implied Productivity Ratios'!AM11/'Implied Productivity Ratios'!$V11</f>
        <v>1.3230138062563046</v>
      </c>
      <c r="AM11">
        <f>'Implied Productivity Ratios'!AN11/'Implied Productivity Ratios'!$V11</f>
        <v>1.3417287768065074</v>
      </c>
      <c r="AN11">
        <f>'Implied Productivity Ratios'!AO11/'Implied Productivity Ratios'!$V11</f>
        <v>1.3585600812275995</v>
      </c>
      <c r="AO11">
        <f>'Implied Productivity Ratios'!AP11/'Implied Productivity Ratios'!$V11</f>
        <v>1.3749387875417771</v>
      </c>
      <c r="AP11">
        <f>'Implied Productivity Ratios'!AQ11/'Implied Productivity Ratios'!$V11</f>
        <v>1.3893097237713754</v>
      </c>
      <c r="AQ11">
        <f>'Implied Productivity Ratios'!AR11/'Implied Productivity Ratios'!$V11</f>
        <v>1.4025161612567518</v>
      </c>
      <c r="AR11">
        <f>'Implied Productivity Ratios'!AS11/'Implied Productivity Ratios'!$V11</f>
        <v>1.4147753700329841</v>
      </c>
      <c r="AS11">
        <f>'Implied Productivity Ratios'!AT11/'Implied Productivity Ratios'!$V11</f>
        <v>1.4263805246959849</v>
      </c>
      <c r="AT11">
        <f>'Implied Productivity Ratios'!AU11/'Implied Productivity Ratios'!$V11</f>
        <v>1.4386906031385771</v>
      </c>
      <c r="AU11">
        <f>'Implied Productivity Ratios'!AV11/'Implied Productivity Ratios'!$V11</f>
        <v>1.4510620432787948</v>
      </c>
      <c r="AV11">
        <f>'Implied Productivity Ratios'!AW11/'Implied Productivity Ratios'!$V11</f>
        <v>1.462368897720465</v>
      </c>
      <c r="AW11">
        <f>'Implied Productivity Ratios'!AX11/'Implied Productivity Ratios'!$V11</f>
        <v>1.4729646537395633</v>
      </c>
      <c r="AX11">
        <f>'Implied Productivity Ratios'!AY11/'Implied Productivity Ratios'!$V11</f>
        <v>1.4822938225560738</v>
      </c>
      <c r="AY11">
        <f>'Implied Productivity Ratios'!AZ11/'Implied Productivity Ratios'!$V11</f>
        <v>1.4904966816122072</v>
      </c>
      <c r="AZ11">
        <f>'Implied Productivity Ratios'!BA11/'Implied Productivity Ratios'!$V11</f>
        <v>1.497755137218082</v>
      </c>
      <c r="BA11">
        <f>'Implied Productivity Ratios'!BB11/'Implied Productivity Ratios'!$V11</f>
        <v>1.5055841978582551</v>
      </c>
      <c r="BB11">
        <f>'Implied Productivity Ratios'!BC11/'Implied Productivity Ratios'!$V11</f>
        <v>1.513685579778141</v>
      </c>
      <c r="BC11" s="5">
        <f>'Implied Productivity Ratios'!BD11/'Implied Productivity Ratios'!$V11</f>
        <v>1.5218297649858563</v>
      </c>
      <c r="BD11" s="5">
        <f>'Implied Productivity Ratios'!BE11/'Implied Productivity Ratios'!$V11</f>
        <v>1.5299739501935719</v>
      </c>
      <c r="BE11" s="5">
        <f>'Implied Productivity Ratios'!BF11/'Implied Productivity Ratios'!$V11</f>
        <v>1.5381181354012874</v>
      </c>
      <c r="BF11" s="5">
        <f>'Implied Productivity Ratios'!BG11/'Implied Productivity Ratios'!$V11</f>
        <v>1.5462623206090027</v>
      </c>
      <c r="BG11" s="5">
        <f>'Implied Productivity Ratios'!BH11/'Implied Productivity Ratios'!$V11</f>
        <v>1.5544065058167182</v>
      </c>
    </row>
    <row r="12" spans="2:59">
      <c r="B12">
        <v>238</v>
      </c>
      <c r="C12" t="s">
        <v>330</v>
      </c>
      <c r="D12">
        <f>'Implied Productivity Ratios'!E12/'Implied Productivity Ratios'!$V12</f>
        <v>1.1608217094946636</v>
      </c>
      <c r="E12">
        <f>'Implied Productivity Ratios'!F12/'Implied Productivity Ratios'!$V12</f>
        <v>1.085066533194792</v>
      </c>
      <c r="F12">
        <f>'Implied Productivity Ratios'!G12/'Implied Productivity Ratios'!$V12</f>
        <v>1.0697110330497286</v>
      </c>
      <c r="G12">
        <f>'Implied Productivity Ratios'!H12/'Implied Productivity Ratios'!$V12</f>
        <v>1.0320592872412591</v>
      </c>
      <c r="H12">
        <f>'Implied Productivity Ratios'!I12/'Implied Productivity Ratios'!$V12</f>
        <v>1.0576210667603008</v>
      </c>
      <c r="I12">
        <f>'Implied Productivity Ratios'!J12/'Implied Productivity Ratios'!$V12</f>
        <v>1.0973645041984237</v>
      </c>
      <c r="J12">
        <f>'Implied Productivity Ratios'!K12/'Implied Productivity Ratios'!$V12</f>
        <v>1.0881155282609416</v>
      </c>
      <c r="K12">
        <f>'Implied Productivity Ratios'!L12/'Implied Productivity Ratios'!$V12</f>
        <v>1.0988318982767931</v>
      </c>
      <c r="L12">
        <f>'Implied Productivity Ratios'!M12/'Implied Productivity Ratios'!$V12</f>
        <v>1.0993545752390301</v>
      </c>
      <c r="M12">
        <f>'Implied Productivity Ratios'!N12/'Implied Productivity Ratios'!$V12</f>
        <v>1.0803100050506806</v>
      </c>
      <c r="N12">
        <f>'Implied Productivity Ratios'!O12/'Implied Productivity Ratios'!$V12</f>
        <v>1.0891371825204177</v>
      </c>
      <c r="O12">
        <f>'Implied Productivity Ratios'!P12/'Implied Productivity Ratios'!$V12</f>
        <v>1.1020343602603904</v>
      </c>
      <c r="P12">
        <f>'Implied Productivity Ratios'!Q12/'Implied Productivity Ratios'!$V12</f>
        <v>1.1097935457949653</v>
      </c>
      <c r="Q12">
        <f>'Implied Productivity Ratios'!R12/'Implied Productivity Ratios'!$V12</f>
        <v>1.0935029154250633</v>
      </c>
      <c r="R12">
        <f>'Implied Productivity Ratios'!S12/'Implied Productivity Ratios'!$V12</f>
        <v>1.0857418977035127</v>
      </c>
      <c r="S12">
        <f>'Implied Productivity Ratios'!T12/'Implied Productivity Ratios'!$V12</f>
        <v>1.0959291984304729</v>
      </c>
      <c r="T12">
        <f>'Implied Productivity Ratios'!U12/'Implied Productivity Ratios'!$V12</f>
        <v>1.097044630602602</v>
      </c>
      <c r="U12">
        <f>'Implied Productivity Ratios'!V12/'Implied Productivity Ratios'!$V12</f>
        <v>1</v>
      </c>
      <c r="V12">
        <f>'Implied Productivity Ratios'!W12/'Implied Productivity Ratios'!$V12</f>
        <v>0.95301683282754512</v>
      </c>
      <c r="W12">
        <f>'Implied Productivity Ratios'!X12/'Implied Productivity Ratios'!$V12</f>
        <v>0.9742943103071473</v>
      </c>
      <c r="X12">
        <f>'Implied Productivity Ratios'!Y12/'Implied Productivity Ratios'!$V12</f>
        <v>0.96457376604301637</v>
      </c>
      <c r="Y12">
        <f>'Implied Productivity Ratios'!Z12/'Implied Productivity Ratios'!$V12</f>
        <v>0.98552341151437561</v>
      </c>
      <c r="Z12">
        <f>'Implied Productivity Ratios'!AA12/'Implied Productivity Ratios'!$V12</f>
        <v>1.0068439215326817</v>
      </c>
      <c r="AA12">
        <f>'Implied Productivity Ratios'!AB12/'Implied Productivity Ratios'!$V12</f>
        <v>1.0266772923452225</v>
      </c>
      <c r="AB12">
        <f>'Implied Productivity Ratios'!AC12/'Implied Productivity Ratios'!$V12</f>
        <v>1.0514624873611367</v>
      </c>
      <c r="AC12">
        <f>'Implied Productivity Ratios'!AD12/'Implied Productivity Ratios'!$V12</f>
        <v>1.076436474403651</v>
      </c>
      <c r="AD12">
        <f>'Implied Productivity Ratios'!AE12/'Implied Productivity Ratios'!$V12</f>
        <v>1.0944155580890151</v>
      </c>
      <c r="AE12">
        <f>'Implied Productivity Ratios'!AF12/'Implied Productivity Ratios'!$V12</f>
        <v>1.1101819460193796</v>
      </c>
      <c r="AF12">
        <f>'Implied Productivity Ratios'!AG12/'Implied Productivity Ratios'!$V12</f>
        <v>1.1250019665754598</v>
      </c>
      <c r="AG12">
        <f>'Implied Productivity Ratios'!AH12/'Implied Productivity Ratios'!$V12</f>
        <v>1.1373359034717387</v>
      </c>
      <c r="AH12">
        <f>'Implied Productivity Ratios'!AI12/'Implied Productivity Ratios'!$V12</f>
        <v>1.1486233404342503</v>
      </c>
      <c r="AI12">
        <f>'Implied Productivity Ratios'!AJ12/'Implied Productivity Ratios'!$V12</f>
        <v>1.1593988220597278</v>
      </c>
      <c r="AJ12">
        <f>'Implied Productivity Ratios'!AK12/'Implied Productivity Ratios'!$V12</f>
        <v>1.1707211453456519</v>
      </c>
      <c r="AK12">
        <f>'Implied Productivity Ratios'!AL12/'Implied Productivity Ratios'!$V12</f>
        <v>1.1828544182785177</v>
      </c>
      <c r="AL12">
        <f>'Implied Productivity Ratios'!AM12/'Implied Productivity Ratios'!$V12</f>
        <v>1.1950869863063922</v>
      </c>
      <c r="AM12">
        <f>'Implied Productivity Ratios'!AN12/'Implied Productivity Ratios'!$V12</f>
        <v>1.2059591015630309</v>
      </c>
      <c r="AN12">
        <f>'Implied Productivity Ratios'!AO12/'Implied Productivity Ratios'!$V12</f>
        <v>1.2153619295152265</v>
      </c>
      <c r="AO12">
        <f>'Implied Productivity Ratios'!AP12/'Implied Productivity Ratios'!$V12</f>
        <v>1.2246492587818918</v>
      </c>
      <c r="AP12">
        <f>'Implied Productivity Ratios'!AQ12/'Implied Productivity Ratios'!$V12</f>
        <v>1.2324663212683742</v>
      </c>
      <c r="AQ12">
        <f>'Implied Productivity Ratios'!AR12/'Implied Productivity Ratios'!$V12</f>
        <v>1.2396177660665131</v>
      </c>
      <c r="AR12">
        <f>'Implied Productivity Ratios'!AS12/'Implied Productivity Ratios'!$V12</f>
        <v>1.246319097947471</v>
      </c>
      <c r="AS12">
        <f>'Implied Productivity Ratios'!AT12/'Implied Productivity Ratios'!$V12</f>
        <v>1.2528348992193445</v>
      </c>
      <c r="AT12">
        <f>'Implied Productivity Ratios'!AU12/'Implied Productivity Ratios'!$V12</f>
        <v>1.2603703947119065</v>
      </c>
      <c r="AU12">
        <f>'Implied Productivity Ratios'!AV12/'Implied Productivity Ratios'!$V12</f>
        <v>1.2683576910338981</v>
      </c>
      <c r="AV12">
        <f>'Implied Productivity Ratios'!AW12/'Implied Productivity Ratios'!$V12</f>
        <v>1.2758017124883607</v>
      </c>
      <c r="AW12">
        <f>'Implied Productivity Ratios'!AX12/'Implied Productivity Ratios'!$V12</f>
        <v>1.2830333741572522</v>
      </c>
      <c r="AX12">
        <f>'Implied Productivity Ratios'!AY12/'Implied Productivity Ratios'!$V12</f>
        <v>1.289552531679377</v>
      </c>
      <c r="AY12">
        <f>'Implied Productivity Ratios'!AZ12/'Implied Productivity Ratios'!$V12</f>
        <v>1.2954896053459024</v>
      </c>
      <c r="AZ12">
        <f>'Implied Productivity Ratios'!BA12/'Implied Productivity Ratios'!$V12</f>
        <v>1.3010506431085973</v>
      </c>
      <c r="BA12">
        <f>'Implied Productivity Ratios'!BB12/'Implied Productivity Ratios'!$V12</f>
        <v>1.3075461870758669</v>
      </c>
      <c r="BB12">
        <f>'Implied Productivity Ratios'!BC12/'Implied Productivity Ratios'!$V12</f>
        <v>1.3147166225555067</v>
      </c>
      <c r="BC12" s="5">
        <f>'Implied Productivity Ratios'!BD12/'Implied Productivity Ratios'!$V12</f>
        <v>1.3210532722351576</v>
      </c>
      <c r="BD12" s="5">
        <f>'Implied Productivity Ratios'!BE12/'Implied Productivity Ratios'!$V12</f>
        <v>1.3273899219148084</v>
      </c>
      <c r="BE12" s="5">
        <f>'Implied Productivity Ratios'!BF12/'Implied Productivity Ratios'!$V12</f>
        <v>1.3337265715944593</v>
      </c>
      <c r="BF12" s="5">
        <f>'Implied Productivity Ratios'!BG12/'Implied Productivity Ratios'!$V12</f>
        <v>1.3400632212741102</v>
      </c>
      <c r="BG12" s="5">
        <f>'Implied Productivity Ratios'!BH12/'Implied Productivity Ratios'!$V12</f>
        <v>1.3463998709537608</v>
      </c>
    </row>
    <row r="13" spans="2:59">
      <c r="B13">
        <v>311</v>
      </c>
      <c r="C13" t="s">
        <v>35</v>
      </c>
      <c r="D13">
        <f>'Implied Productivity Ratios'!E13/'Implied Productivity Ratios'!$V13</f>
        <v>0.77116523897748923</v>
      </c>
      <c r="E13">
        <f>'Implied Productivity Ratios'!F13/'Implied Productivity Ratios'!$V13</f>
        <v>0.86391827306619129</v>
      </c>
      <c r="F13">
        <f>'Implied Productivity Ratios'!G13/'Implied Productivity Ratios'!$V13</f>
        <v>0.89548340277614058</v>
      </c>
      <c r="G13">
        <f>'Implied Productivity Ratios'!H13/'Implied Productivity Ratios'!$V13</f>
        <v>0.84172298352899177</v>
      </c>
      <c r="H13">
        <f>'Implied Productivity Ratios'!I13/'Implied Productivity Ratios'!$V13</f>
        <v>0.87388028615558033</v>
      </c>
      <c r="I13">
        <f>'Implied Productivity Ratios'!J13/'Implied Productivity Ratios'!$V13</f>
        <v>0.86956812735130062</v>
      </c>
      <c r="J13">
        <f>'Implied Productivity Ratios'!K13/'Implied Productivity Ratios'!$V13</f>
        <v>0.86255909320903967</v>
      </c>
      <c r="K13">
        <f>'Implied Productivity Ratios'!L13/'Implied Productivity Ratios'!$V13</f>
        <v>0.84018972478542397</v>
      </c>
      <c r="L13">
        <f>'Implied Productivity Ratios'!M13/'Implied Productivity Ratios'!$V13</f>
        <v>0.90271766089245598</v>
      </c>
      <c r="M13">
        <f>'Implied Productivity Ratios'!N13/'Implied Productivity Ratios'!$V13</f>
        <v>0.9337845938729078</v>
      </c>
      <c r="N13">
        <f>'Implied Productivity Ratios'!O13/'Implied Productivity Ratios'!$V13</f>
        <v>0.92690720841812324</v>
      </c>
      <c r="O13">
        <f>'Implied Productivity Ratios'!P13/'Implied Productivity Ratios'!$V13</f>
        <v>0.87786851984308956</v>
      </c>
      <c r="P13">
        <f>'Implied Productivity Ratios'!Q13/'Implied Productivity Ratios'!$V13</f>
        <v>0.93303409778645074</v>
      </c>
      <c r="Q13">
        <f>'Implied Productivity Ratios'!R13/'Implied Productivity Ratios'!$V13</f>
        <v>0.94025991789566454</v>
      </c>
      <c r="R13">
        <f>'Implied Productivity Ratios'!S13/'Implied Productivity Ratios'!$V13</f>
        <v>0.91644334489764778</v>
      </c>
      <c r="S13">
        <f>'Implied Productivity Ratios'!T13/'Implied Productivity Ratios'!$V13</f>
        <v>0.94140696641477639</v>
      </c>
      <c r="T13">
        <f>'Implied Productivity Ratios'!U13/'Implied Productivity Ratios'!$V13</f>
        <v>1.0012429151818025</v>
      </c>
      <c r="U13">
        <f>'Implied Productivity Ratios'!V13/'Implied Productivity Ratios'!$V13</f>
        <v>1</v>
      </c>
      <c r="V13">
        <f>'Implied Productivity Ratios'!W13/'Implied Productivity Ratios'!$V13</f>
        <v>0.91087693769585154</v>
      </c>
      <c r="W13">
        <f>'Implied Productivity Ratios'!X13/'Implied Productivity Ratios'!$V13</f>
        <v>0.87026791169054274</v>
      </c>
      <c r="X13">
        <f>'Implied Productivity Ratios'!Y13/'Implied Productivity Ratios'!$V13</f>
        <v>0.87394849944319164</v>
      </c>
      <c r="Y13">
        <f>'Implied Productivity Ratios'!Z13/'Implied Productivity Ratios'!$V13</f>
        <v>0.87342797786819504</v>
      </c>
      <c r="Z13">
        <f>'Implied Productivity Ratios'!AA13/'Implied Productivity Ratios'!$V13</f>
        <v>0.87816114368286158</v>
      </c>
      <c r="AA13">
        <f>'Implied Productivity Ratios'!AB13/'Implied Productivity Ratios'!$V13</f>
        <v>0.88810444329839799</v>
      </c>
      <c r="AB13">
        <f>'Implied Productivity Ratios'!AC13/'Implied Productivity Ratios'!$V13</f>
        <v>0.90135320195954305</v>
      </c>
      <c r="AC13">
        <f>'Implied Productivity Ratios'!AD13/'Implied Productivity Ratios'!$V13</f>
        <v>0.91604298120399741</v>
      </c>
      <c r="AD13">
        <f>'Implied Productivity Ratios'!AE13/'Implied Productivity Ratios'!$V13</f>
        <v>0.93019747439159917</v>
      </c>
      <c r="AE13">
        <f>'Implied Productivity Ratios'!AF13/'Implied Productivity Ratios'!$V13</f>
        <v>0.94437050014882518</v>
      </c>
      <c r="AF13">
        <f>'Implied Productivity Ratios'!AG13/'Implied Productivity Ratios'!$V13</f>
        <v>0.95893599260336537</v>
      </c>
      <c r="AG13">
        <f>'Implied Productivity Ratios'!AH13/'Implied Productivity Ratios'!$V13</f>
        <v>0.97299364671607613</v>
      </c>
      <c r="AH13">
        <f>'Implied Productivity Ratios'!AI13/'Implied Productivity Ratios'!$V13</f>
        <v>0.98659404527703598</v>
      </c>
      <c r="AI13">
        <f>'Implied Productivity Ratios'!AJ13/'Implied Productivity Ratios'!$V13</f>
        <v>1.0006742212219208</v>
      </c>
      <c r="AJ13">
        <f>'Implied Productivity Ratios'!AK13/'Implied Productivity Ratios'!$V13</f>
        <v>1.015479756397293</v>
      </c>
      <c r="AK13">
        <f>'Implied Productivity Ratios'!AL13/'Implied Productivity Ratios'!$V13</f>
        <v>1.0297761035827115</v>
      </c>
      <c r="AL13">
        <f>'Implied Productivity Ratios'!AM13/'Implied Productivity Ratios'!$V13</f>
        <v>1.0434902951533909</v>
      </c>
      <c r="AM13">
        <f>'Implied Productivity Ratios'!AN13/'Implied Productivity Ratios'!$V13</f>
        <v>1.0570494594626365</v>
      </c>
      <c r="AN13">
        <f>'Implied Productivity Ratios'!AO13/'Implied Productivity Ratios'!$V13</f>
        <v>1.0702307813919221</v>
      </c>
      <c r="AO13">
        <f>'Implied Productivity Ratios'!AP13/'Implied Productivity Ratios'!$V13</f>
        <v>1.0831057389902816</v>
      </c>
      <c r="AP13">
        <f>'Implied Productivity Ratios'!AQ13/'Implied Productivity Ratios'!$V13</f>
        <v>1.0958533078152042</v>
      </c>
      <c r="AQ13">
        <f>'Implied Productivity Ratios'!AR13/'Implied Productivity Ratios'!$V13</f>
        <v>1.1086806584602318</v>
      </c>
      <c r="AR13">
        <f>'Implied Productivity Ratios'!AS13/'Implied Productivity Ratios'!$V13</f>
        <v>1.1218147404940295</v>
      </c>
      <c r="AS13">
        <f>'Implied Productivity Ratios'!AT13/'Implied Productivity Ratios'!$V13</f>
        <v>1.1349649116924954</v>
      </c>
      <c r="AT13">
        <f>'Implied Productivity Ratios'!AU13/'Implied Productivity Ratios'!$V13</f>
        <v>1.1487955089382227</v>
      </c>
      <c r="AU13">
        <f>'Implied Productivity Ratios'!AV13/'Implied Productivity Ratios'!$V13</f>
        <v>1.1634426015113977</v>
      </c>
      <c r="AV13">
        <f>'Implied Productivity Ratios'!AW13/'Implied Productivity Ratios'!$V13</f>
        <v>1.1778379871907463</v>
      </c>
      <c r="AW13">
        <f>'Implied Productivity Ratios'!AX13/'Implied Productivity Ratios'!$V13</f>
        <v>1.1914955802026941</v>
      </c>
      <c r="AX13">
        <f>'Implied Productivity Ratios'!AY13/'Implied Productivity Ratios'!$V13</f>
        <v>1.2040393112171748</v>
      </c>
      <c r="AY13">
        <f>'Implied Productivity Ratios'!AZ13/'Implied Productivity Ratios'!$V13</f>
        <v>1.2160761737923249</v>
      </c>
      <c r="AZ13">
        <f>'Implied Productivity Ratios'!BA13/'Implied Productivity Ratios'!$V13</f>
        <v>1.2277938048319716</v>
      </c>
      <c r="BA13">
        <f>'Implied Productivity Ratios'!BB13/'Implied Productivity Ratios'!$V13</f>
        <v>1.2400175588265678</v>
      </c>
      <c r="BB13">
        <f>'Implied Productivity Ratios'!BC13/'Implied Productivity Ratios'!$V13</f>
        <v>1.2528088394793484</v>
      </c>
      <c r="BC13" s="5">
        <f>'Implied Productivity Ratios'!BD13/'Implied Productivity Ratios'!$V13</f>
        <v>1.2650714913346792</v>
      </c>
      <c r="BD13" s="5">
        <f>'Implied Productivity Ratios'!BE13/'Implied Productivity Ratios'!$V13</f>
        <v>1.27733414319001</v>
      </c>
      <c r="BE13" s="5">
        <f>'Implied Productivity Ratios'!BF13/'Implied Productivity Ratios'!$V13</f>
        <v>1.2895967950453409</v>
      </c>
      <c r="BF13" s="5">
        <f>'Implied Productivity Ratios'!BG13/'Implied Productivity Ratios'!$V13</f>
        <v>1.3018594469006717</v>
      </c>
      <c r="BG13" s="5">
        <f>'Implied Productivity Ratios'!BH13/'Implied Productivity Ratios'!$V13</f>
        <v>1.3141220987560025</v>
      </c>
    </row>
    <row r="14" spans="2:59">
      <c r="B14">
        <v>312</v>
      </c>
      <c r="C14" t="s">
        <v>39</v>
      </c>
      <c r="D14">
        <f>'Implied Productivity Ratios'!E14/'Implied Productivity Ratios'!$V14</f>
        <v>1.8811271798431466</v>
      </c>
      <c r="E14">
        <f>'Implied Productivity Ratios'!F14/'Implied Productivity Ratios'!$V14</f>
        <v>2.0281152813417949</v>
      </c>
      <c r="F14">
        <f>'Implied Productivity Ratios'!G14/'Implied Productivity Ratios'!$V14</f>
        <v>1.9955932268293795</v>
      </c>
      <c r="G14">
        <f>'Implied Productivity Ratios'!H14/'Implied Productivity Ratios'!$V14</f>
        <v>1.9345832487220544</v>
      </c>
      <c r="H14">
        <f>'Implied Productivity Ratios'!I14/'Implied Productivity Ratios'!$V14</f>
        <v>2.1232624672158127</v>
      </c>
      <c r="I14">
        <f>'Implied Productivity Ratios'!J14/'Implied Productivity Ratios'!$V14</f>
        <v>1.9314199751686505</v>
      </c>
      <c r="J14">
        <f>'Implied Productivity Ratios'!K14/'Implied Productivity Ratios'!$V14</f>
        <v>1.7660656229491121</v>
      </c>
      <c r="K14">
        <f>'Implied Productivity Ratios'!L14/'Implied Productivity Ratios'!$V14</f>
        <v>1.6807547386923545</v>
      </c>
      <c r="L14">
        <f>'Implied Productivity Ratios'!M14/'Implied Productivity Ratios'!$V14</f>
        <v>1.6316943233434065</v>
      </c>
      <c r="M14">
        <f>'Implied Productivity Ratios'!N14/'Implied Productivity Ratios'!$V14</f>
        <v>1.4652761841152975</v>
      </c>
      <c r="N14">
        <f>'Implied Productivity Ratios'!O14/'Implied Productivity Ratios'!$V14</f>
        <v>1.5375142871184853</v>
      </c>
      <c r="O14">
        <f>'Implied Productivity Ratios'!P14/'Implied Productivity Ratios'!$V14</f>
        <v>1.3834036206388238</v>
      </c>
      <c r="P14">
        <f>'Implied Productivity Ratios'!Q14/'Implied Productivity Ratios'!$V14</f>
        <v>1.3102324887093983</v>
      </c>
      <c r="Q14">
        <f>'Implied Productivity Ratios'!R14/'Implied Productivity Ratios'!$V14</f>
        <v>1.1869798221721595</v>
      </c>
      <c r="R14">
        <f>'Implied Productivity Ratios'!S14/'Implied Productivity Ratios'!$V14</f>
        <v>1.0830101945435862</v>
      </c>
      <c r="S14">
        <f>'Implied Productivity Ratios'!T14/'Implied Productivity Ratios'!$V14</f>
        <v>1.1120187502006922</v>
      </c>
      <c r="T14">
        <f>'Implied Productivity Ratios'!U14/'Implied Productivity Ratios'!$V14</f>
        <v>1.0761716456899282</v>
      </c>
      <c r="U14">
        <f>'Implied Productivity Ratios'!V14/'Implied Productivity Ratios'!$V14</f>
        <v>1</v>
      </c>
      <c r="V14">
        <f>'Implied Productivity Ratios'!W14/'Implied Productivity Ratios'!$V14</f>
        <v>1.0248937400431</v>
      </c>
      <c r="W14">
        <f>'Implied Productivity Ratios'!X14/'Implied Productivity Ratios'!$V14</f>
        <v>1.0519957704288079</v>
      </c>
      <c r="X14">
        <f>'Implied Productivity Ratios'!Y14/'Implied Productivity Ratios'!$V14</f>
        <v>1.0645109079741983</v>
      </c>
      <c r="Y14">
        <f>'Implied Productivity Ratios'!Z14/'Implied Productivity Ratios'!$V14</f>
        <v>1.054715409241163</v>
      </c>
      <c r="Z14">
        <f>'Implied Productivity Ratios'!AA14/'Implied Productivity Ratios'!$V14</f>
        <v>1.0500225229725186</v>
      </c>
      <c r="AA14">
        <f>'Implied Productivity Ratios'!AB14/'Implied Productivity Ratios'!$V14</f>
        <v>1.0499039082233859</v>
      </c>
      <c r="AB14">
        <f>'Implied Productivity Ratios'!AC14/'Implied Productivity Ratios'!$V14</f>
        <v>1.0522497445693897</v>
      </c>
      <c r="AC14">
        <f>'Implied Productivity Ratios'!AD14/'Implied Productivity Ratios'!$V14</f>
        <v>1.0560510181409117</v>
      </c>
      <c r="AD14">
        <f>'Implied Productivity Ratios'!AE14/'Implied Productivity Ratios'!$V14</f>
        <v>1.0598318341966408</v>
      </c>
      <c r="AE14">
        <f>'Implied Productivity Ratios'!AF14/'Implied Productivity Ratios'!$V14</f>
        <v>1.0647002722188315</v>
      </c>
      <c r="AF14">
        <f>'Implied Productivity Ratios'!AG14/'Implied Productivity Ratios'!$V14</f>
        <v>1.0704670206749112</v>
      </c>
      <c r="AG14">
        <f>'Implied Productivity Ratios'!AH14/'Implied Productivity Ratios'!$V14</f>
        <v>1.0778254689426001</v>
      </c>
      <c r="AH14">
        <f>'Implied Productivity Ratios'!AI14/'Implied Productivity Ratios'!$V14</f>
        <v>1.0861493705289096</v>
      </c>
      <c r="AI14">
        <f>'Implied Productivity Ratios'!AJ14/'Implied Productivity Ratios'!$V14</f>
        <v>1.0960363233963113</v>
      </c>
      <c r="AJ14">
        <f>'Implied Productivity Ratios'!AK14/'Implied Productivity Ratios'!$V14</f>
        <v>1.1070764121668353</v>
      </c>
      <c r="AK14">
        <f>'Implied Productivity Ratios'!AL14/'Implied Productivity Ratios'!$V14</f>
        <v>1.1180106242068917</v>
      </c>
      <c r="AL14">
        <f>'Implied Productivity Ratios'!AM14/'Implied Productivity Ratios'!$V14</f>
        <v>1.1297618100230444</v>
      </c>
      <c r="AM14">
        <f>'Implied Productivity Ratios'!AN14/'Implied Productivity Ratios'!$V14</f>
        <v>1.1416104655451604</v>
      </c>
      <c r="AN14">
        <f>'Implied Productivity Ratios'!AO14/'Implied Productivity Ratios'!$V14</f>
        <v>1.1532373890938958</v>
      </c>
      <c r="AO14">
        <f>'Implied Productivity Ratios'!AP14/'Implied Productivity Ratios'!$V14</f>
        <v>1.1661663388522447</v>
      </c>
      <c r="AP14">
        <f>'Implied Productivity Ratios'!AQ14/'Implied Productivity Ratios'!$V14</f>
        <v>1.1797456547108962</v>
      </c>
      <c r="AQ14">
        <f>'Implied Productivity Ratios'!AR14/'Implied Productivity Ratios'!$V14</f>
        <v>1.1936975708151376</v>
      </c>
      <c r="AR14">
        <f>'Implied Productivity Ratios'!AS14/'Implied Productivity Ratios'!$V14</f>
        <v>1.2078830046636437</v>
      </c>
      <c r="AS14">
        <f>'Implied Productivity Ratios'!AT14/'Implied Productivity Ratios'!$V14</f>
        <v>1.2224398735879247</v>
      </c>
      <c r="AT14">
        <f>'Implied Productivity Ratios'!AU14/'Implied Productivity Ratios'!$V14</f>
        <v>1.2385735753109339</v>
      </c>
      <c r="AU14">
        <f>'Implied Productivity Ratios'!AV14/'Implied Productivity Ratios'!$V14</f>
        <v>1.2558075725267397</v>
      </c>
      <c r="AV14">
        <f>'Implied Productivity Ratios'!AW14/'Implied Productivity Ratios'!$V14</f>
        <v>1.2732056683705779</v>
      </c>
      <c r="AW14">
        <f>'Implied Productivity Ratios'!AX14/'Implied Productivity Ratios'!$V14</f>
        <v>1.290614848964563</v>
      </c>
      <c r="AX14">
        <f>'Implied Productivity Ratios'!AY14/'Implied Productivity Ratios'!$V14</f>
        <v>1.3076997669161206</v>
      </c>
      <c r="AY14">
        <f>'Implied Productivity Ratios'!AZ14/'Implied Productivity Ratios'!$V14</f>
        <v>1.3251089088277683</v>
      </c>
      <c r="AZ14">
        <f>'Implied Productivity Ratios'!BA14/'Implied Productivity Ratios'!$V14</f>
        <v>1.3429522341406208</v>
      </c>
      <c r="BA14">
        <f>'Implied Productivity Ratios'!BB14/'Implied Productivity Ratios'!$V14</f>
        <v>1.3619835116591115</v>
      </c>
      <c r="BB14">
        <f>'Implied Productivity Ratios'!BC14/'Implied Productivity Ratios'!$V14</f>
        <v>1.3820714278699957</v>
      </c>
      <c r="BC14" s="5">
        <f>'Implied Productivity Ratios'!BD14/'Implied Productivity Ratios'!$V14</f>
        <v>1.4003627436510822</v>
      </c>
      <c r="BD14" s="5">
        <f>'Implied Productivity Ratios'!BE14/'Implied Productivity Ratios'!$V14</f>
        <v>1.4186540594321688</v>
      </c>
      <c r="BE14" s="5">
        <f>'Implied Productivity Ratios'!BF14/'Implied Productivity Ratios'!$V14</f>
        <v>1.4369453752132555</v>
      </c>
      <c r="BF14" s="5">
        <f>'Implied Productivity Ratios'!BG14/'Implied Productivity Ratios'!$V14</f>
        <v>1.4552366909943422</v>
      </c>
      <c r="BG14" s="5">
        <f>'Implied Productivity Ratios'!BH14/'Implied Productivity Ratios'!$V14</f>
        <v>1.4735280067754286</v>
      </c>
    </row>
    <row r="15" spans="2:59">
      <c r="B15">
        <v>313</v>
      </c>
      <c r="C15" t="s">
        <v>43</v>
      </c>
      <c r="D15">
        <f>'Implied Productivity Ratios'!E15/'Implied Productivity Ratios'!$V15</f>
        <v>0.81959107931040454</v>
      </c>
      <c r="E15">
        <f>'Implied Productivity Ratios'!F15/'Implied Productivity Ratios'!$V15</f>
        <v>0.85575604971339769</v>
      </c>
      <c r="F15">
        <f>'Implied Productivity Ratios'!G15/'Implied Productivity Ratios'!$V15</f>
        <v>0.91722599857016829</v>
      </c>
      <c r="G15">
        <f>'Implied Productivity Ratios'!H15/'Implied Productivity Ratios'!$V15</f>
        <v>0.94212229021459792</v>
      </c>
      <c r="H15">
        <f>'Implied Productivity Ratios'!I15/'Implied Productivity Ratios'!$V15</f>
        <v>0.86890421443617316</v>
      </c>
      <c r="I15">
        <f>'Implied Productivity Ratios'!J15/'Implied Productivity Ratios'!$V15</f>
        <v>0.93380812291093507</v>
      </c>
      <c r="J15">
        <f>'Implied Productivity Ratios'!K15/'Implied Productivity Ratios'!$V15</f>
        <v>0.84581288998871018</v>
      </c>
      <c r="K15">
        <f>'Implied Productivity Ratios'!L15/'Implied Productivity Ratios'!$V15</f>
        <v>0.94294657575024421</v>
      </c>
      <c r="L15">
        <f>'Implied Productivity Ratios'!M15/'Implied Productivity Ratios'!$V15</f>
        <v>1.0199310034880591</v>
      </c>
      <c r="M15">
        <f>'Implied Productivity Ratios'!N15/'Implied Productivity Ratios'!$V15</f>
        <v>1.0666251842865044</v>
      </c>
      <c r="N15">
        <f>'Implied Productivity Ratios'!O15/'Implied Productivity Ratios'!$V15</f>
        <v>1.0300675531003021</v>
      </c>
      <c r="O15">
        <f>'Implied Productivity Ratios'!P15/'Implied Productivity Ratios'!$V15</f>
        <v>1.0399565986993482</v>
      </c>
      <c r="P15">
        <f>'Implied Productivity Ratios'!Q15/'Implied Productivity Ratios'!$V15</f>
        <v>1.0246324331090615</v>
      </c>
      <c r="Q15">
        <f>'Implied Productivity Ratios'!R15/'Implied Productivity Ratios'!$V15</f>
        <v>0.98292791850024563</v>
      </c>
      <c r="R15">
        <f>'Implied Productivity Ratios'!S15/'Implied Productivity Ratios'!$V15</f>
        <v>0.98493400875132608</v>
      </c>
      <c r="S15">
        <f>'Implied Productivity Ratios'!T15/'Implied Productivity Ratios'!$V15</f>
        <v>1.0416944471049194</v>
      </c>
      <c r="T15">
        <f>'Implied Productivity Ratios'!U15/'Implied Productivity Ratios'!$V15</f>
        <v>1.0803799228950328</v>
      </c>
      <c r="U15">
        <f>'Implied Productivity Ratios'!V15/'Implied Productivity Ratios'!$V15</f>
        <v>1</v>
      </c>
      <c r="V15">
        <f>'Implied Productivity Ratios'!W15/'Implied Productivity Ratios'!$V15</f>
        <v>0.97596073857719434</v>
      </c>
      <c r="W15">
        <f>'Implied Productivity Ratios'!X15/'Implied Productivity Ratios'!$V15</f>
        <v>1.0182421273624438</v>
      </c>
      <c r="X15">
        <f>'Implied Productivity Ratios'!Y15/'Implied Productivity Ratios'!$V15</f>
        <v>1.0499544963354888</v>
      </c>
      <c r="Y15">
        <f>'Implied Productivity Ratios'!Z15/'Implied Productivity Ratios'!$V15</f>
        <v>1.0622144757422851</v>
      </c>
      <c r="Z15">
        <f>'Implied Productivity Ratios'!AA15/'Implied Productivity Ratios'!$V15</f>
        <v>1.0850513227175738</v>
      </c>
      <c r="AA15">
        <f>'Implied Productivity Ratios'!AB15/'Implied Productivity Ratios'!$V15</f>
        <v>1.1187799255271944</v>
      </c>
      <c r="AB15">
        <f>'Implied Productivity Ratios'!AC15/'Implied Productivity Ratios'!$V15</f>
        <v>1.1547613042565545</v>
      </c>
      <c r="AC15">
        <f>'Implied Productivity Ratios'!AD15/'Implied Productivity Ratios'!$V15</f>
        <v>1.1902876012581156</v>
      </c>
      <c r="AD15">
        <f>'Implied Productivity Ratios'!AE15/'Implied Productivity Ratios'!$V15</f>
        <v>1.2253020328787423</v>
      </c>
      <c r="AE15">
        <f>'Implied Productivity Ratios'!AF15/'Implied Productivity Ratios'!$V15</f>
        <v>1.2596202385317699</v>
      </c>
      <c r="AF15">
        <f>'Implied Productivity Ratios'!AG15/'Implied Productivity Ratios'!$V15</f>
        <v>1.2907178338136129</v>
      </c>
      <c r="AG15">
        <f>'Implied Productivity Ratios'!AH15/'Implied Productivity Ratios'!$V15</f>
        <v>1.3196479480286536</v>
      </c>
      <c r="AH15">
        <f>'Implied Productivity Ratios'!AI15/'Implied Productivity Ratios'!$V15</f>
        <v>1.3461336853191395</v>
      </c>
      <c r="AI15">
        <f>'Implied Productivity Ratios'!AJ15/'Implied Productivity Ratios'!$V15</f>
        <v>1.3746911709594378</v>
      </c>
      <c r="AJ15">
        <f>'Implied Productivity Ratios'!AK15/'Implied Productivity Ratios'!$V15</f>
        <v>1.4042512545908916</v>
      </c>
      <c r="AK15">
        <f>'Implied Productivity Ratios'!AL15/'Implied Productivity Ratios'!$V15</f>
        <v>1.4330327965278633</v>
      </c>
      <c r="AL15">
        <f>'Implied Productivity Ratios'!AM15/'Implied Productivity Ratios'!$V15</f>
        <v>1.4619188636295188</v>
      </c>
      <c r="AM15">
        <f>'Implied Productivity Ratios'!AN15/'Implied Productivity Ratios'!$V15</f>
        <v>1.4897651751437477</v>
      </c>
      <c r="AN15">
        <f>'Implied Productivity Ratios'!AO15/'Implied Productivity Ratios'!$V15</f>
        <v>1.5178876482969934</v>
      </c>
      <c r="AO15">
        <f>'Implied Productivity Ratios'!AP15/'Implied Productivity Ratios'!$V15</f>
        <v>1.5462541258531481</v>
      </c>
      <c r="AP15">
        <f>'Implied Productivity Ratios'!AQ15/'Implied Productivity Ratios'!$V15</f>
        <v>1.5734404135610986</v>
      </c>
      <c r="AQ15">
        <f>'Implied Productivity Ratios'!AR15/'Implied Productivity Ratios'!$V15</f>
        <v>1.6000894144551101</v>
      </c>
      <c r="AR15">
        <f>'Implied Productivity Ratios'!AS15/'Implied Productivity Ratios'!$V15</f>
        <v>1.627624590024622</v>
      </c>
      <c r="AS15">
        <f>'Implied Productivity Ratios'!AT15/'Implied Productivity Ratios'!$V15</f>
        <v>1.6561621350496023</v>
      </c>
      <c r="AT15">
        <f>'Implied Productivity Ratios'!AU15/'Implied Productivity Ratios'!$V15</f>
        <v>1.6867954660340299</v>
      </c>
      <c r="AU15">
        <f>'Implied Productivity Ratios'!AV15/'Implied Productivity Ratios'!$V15</f>
        <v>1.7194831366003311</v>
      </c>
      <c r="AV15">
        <f>'Implied Productivity Ratios'!AW15/'Implied Productivity Ratios'!$V15</f>
        <v>1.7528981334943161</v>
      </c>
      <c r="AW15">
        <f>'Implied Productivity Ratios'!AX15/'Implied Productivity Ratios'!$V15</f>
        <v>1.7868302878870552</v>
      </c>
      <c r="AX15">
        <f>'Implied Productivity Ratios'!AY15/'Implied Productivity Ratios'!$V15</f>
        <v>1.8213029760667627</v>
      </c>
      <c r="AY15">
        <f>'Implied Productivity Ratios'!AZ15/'Implied Productivity Ratios'!$V15</f>
        <v>1.8578826634707757</v>
      </c>
      <c r="AZ15">
        <f>'Implied Productivity Ratios'!BA15/'Implied Productivity Ratios'!$V15</f>
        <v>1.8967167535900817</v>
      </c>
      <c r="BA15">
        <f>'Implied Productivity Ratios'!BB15/'Implied Productivity Ratios'!$V15</f>
        <v>1.9380962606707961</v>
      </c>
      <c r="BB15">
        <f>'Implied Productivity Ratios'!BC15/'Implied Productivity Ratios'!$V15</f>
        <v>1.9818917033221979</v>
      </c>
      <c r="BC15" s="5">
        <f>'Implied Productivity Ratios'!BD15/'Implied Productivity Ratios'!$V15</f>
        <v>2.0209039864092264</v>
      </c>
      <c r="BD15" s="5">
        <f>'Implied Productivity Ratios'!BE15/'Implied Productivity Ratios'!$V15</f>
        <v>2.0599162694962549</v>
      </c>
      <c r="BE15" s="5">
        <f>'Implied Productivity Ratios'!BF15/'Implied Productivity Ratios'!$V15</f>
        <v>2.0989285525832835</v>
      </c>
      <c r="BF15" s="5">
        <f>'Implied Productivity Ratios'!BG15/'Implied Productivity Ratios'!$V15</f>
        <v>2.137940835670312</v>
      </c>
      <c r="BG15" s="5">
        <f>'Implied Productivity Ratios'!BH15/'Implied Productivity Ratios'!$V15</f>
        <v>2.1769531187573405</v>
      </c>
    </row>
    <row r="16" spans="2:59">
      <c r="B16">
        <v>314</v>
      </c>
      <c r="C16" t="s">
        <v>47</v>
      </c>
      <c r="D16">
        <f>'Implied Productivity Ratios'!E16/'Implied Productivity Ratios'!$V16</f>
        <v>0.87036994134912049</v>
      </c>
      <c r="E16">
        <f>'Implied Productivity Ratios'!F16/'Implied Productivity Ratios'!$V16</f>
        <v>0.90404603230715785</v>
      </c>
      <c r="F16">
        <f>'Implied Productivity Ratios'!G16/'Implied Productivity Ratios'!$V16</f>
        <v>0.93323100152652416</v>
      </c>
      <c r="G16">
        <f>'Implied Productivity Ratios'!H16/'Implied Productivity Ratios'!$V16</f>
        <v>0.95949843477986463</v>
      </c>
      <c r="H16">
        <f>'Implied Productivity Ratios'!I16/'Implied Productivity Ratios'!$V16</f>
        <v>0.88871104632753939</v>
      </c>
      <c r="I16">
        <f>'Implied Productivity Ratios'!J16/'Implied Productivity Ratios'!$V16</f>
        <v>0.9198978963574671</v>
      </c>
      <c r="J16">
        <f>'Implied Productivity Ratios'!K16/'Implied Productivity Ratios'!$V16</f>
        <v>0.82668889250465749</v>
      </c>
      <c r="K16">
        <f>'Implied Productivity Ratios'!L16/'Implied Productivity Ratios'!$V16</f>
        <v>0.91134290239445126</v>
      </c>
      <c r="L16">
        <f>'Implied Productivity Ratios'!M16/'Implied Productivity Ratios'!$V16</f>
        <v>0.99483900086733712</v>
      </c>
      <c r="M16">
        <f>'Implied Productivity Ratios'!N16/'Implied Productivity Ratios'!$V16</f>
        <v>1.0353713838538809</v>
      </c>
      <c r="N16">
        <f>'Implied Productivity Ratios'!O16/'Implied Productivity Ratios'!$V16</f>
        <v>1.0070171659388967</v>
      </c>
      <c r="O16">
        <f>'Implied Productivity Ratios'!P16/'Implied Productivity Ratios'!$V16</f>
        <v>1.0323352366924401</v>
      </c>
      <c r="P16">
        <f>'Implied Productivity Ratios'!Q16/'Implied Productivity Ratios'!$V16</f>
        <v>1.0206044789880171</v>
      </c>
      <c r="Q16">
        <f>'Implied Productivity Ratios'!R16/'Implied Productivity Ratios'!$V16</f>
        <v>0.96371568243453753</v>
      </c>
      <c r="R16">
        <f>'Implied Productivity Ratios'!S16/'Implied Productivity Ratios'!$V16</f>
        <v>0.98258438007101467</v>
      </c>
      <c r="S16">
        <f>'Implied Productivity Ratios'!T16/'Implied Productivity Ratios'!$V16</f>
        <v>1.0314692367321179</v>
      </c>
      <c r="T16">
        <f>'Implied Productivity Ratios'!U16/'Implied Productivity Ratios'!$V16</f>
        <v>1.0742887631256115</v>
      </c>
      <c r="U16">
        <f>'Implied Productivity Ratios'!V16/'Implied Productivity Ratios'!$V16</f>
        <v>1</v>
      </c>
      <c r="V16">
        <f>'Implied Productivity Ratios'!W16/'Implied Productivity Ratios'!$V16</f>
        <v>0.95966351648402604</v>
      </c>
      <c r="W16">
        <f>'Implied Productivity Ratios'!X16/'Implied Productivity Ratios'!$V16</f>
        <v>0.99271751855292134</v>
      </c>
      <c r="X16">
        <f>'Implied Productivity Ratios'!Y16/'Implied Productivity Ratios'!$V16</f>
        <v>1.0242473977448556</v>
      </c>
      <c r="Y16">
        <f>'Implied Productivity Ratios'!Z16/'Implied Productivity Ratios'!$V16</f>
        <v>1.0488253516008645</v>
      </c>
      <c r="Z16">
        <f>'Implied Productivity Ratios'!AA16/'Implied Productivity Ratios'!$V16</f>
        <v>1.0857905909096468</v>
      </c>
      <c r="AA16">
        <f>'Implied Productivity Ratios'!AB16/'Implied Productivity Ratios'!$V16</f>
        <v>1.1348146606255687</v>
      </c>
      <c r="AB16">
        <f>'Implied Productivity Ratios'!AC16/'Implied Productivity Ratios'!$V16</f>
        <v>1.1879244853513626</v>
      </c>
      <c r="AC16">
        <f>'Implied Productivity Ratios'!AD16/'Implied Productivity Ratios'!$V16</f>
        <v>1.2440407727889391</v>
      </c>
      <c r="AD16">
        <f>'Implied Productivity Ratios'!AE16/'Implied Productivity Ratios'!$V16</f>
        <v>1.2990130505213147</v>
      </c>
      <c r="AE16">
        <f>'Implied Productivity Ratios'!AF16/'Implied Productivity Ratios'!$V16</f>
        <v>1.3563397528607917</v>
      </c>
      <c r="AF16">
        <f>'Implied Productivity Ratios'!AG16/'Implied Productivity Ratios'!$V16</f>
        <v>1.4154408505827172</v>
      </c>
      <c r="AG16">
        <f>'Implied Productivity Ratios'!AH16/'Implied Productivity Ratios'!$V16</f>
        <v>1.4724765062076512</v>
      </c>
      <c r="AH16">
        <f>'Implied Productivity Ratios'!AI16/'Implied Productivity Ratios'!$V16</f>
        <v>1.5308126376681863</v>
      </c>
      <c r="AI16">
        <f>'Implied Productivity Ratios'!AJ16/'Implied Productivity Ratios'!$V16</f>
        <v>1.5928688304060092</v>
      </c>
      <c r="AJ16">
        <f>'Implied Productivity Ratios'!AK16/'Implied Productivity Ratios'!$V16</f>
        <v>1.6582779716809313</v>
      </c>
      <c r="AK16">
        <f>'Implied Productivity Ratios'!AL16/'Implied Productivity Ratios'!$V16</f>
        <v>1.725269091746531</v>
      </c>
      <c r="AL16">
        <f>'Implied Productivity Ratios'!AM16/'Implied Productivity Ratios'!$V16</f>
        <v>1.7956827506234507</v>
      </c>
      <c r="AM16">
        <f>'Implied Productivity Ratios'!AN16/'Implied Productivity Ratios'!$V16</f>
        <v>1.8688451261103536</v>
      </c>
      <c r="AN16">
        <f>'Implied Productivity Ratios'!AO16/'Implied Productivity Ratios'!$V16</f>
        <v>1.9406742142240081</v>
      </c>
      <c r="AO16">
        <f>'Implied Productivity Ratios'!AP16/'Implied Productivity Ratios'!$V16</f>
        <v>2.012270926440495</v>
      </c>
      <c r="AP16">
        <f>'Implied Productivity Ratios'!AQ16/'Implied Productivity Ratios'!$V16</f>
        <v>2.0859275216662989</v>
      </c>
      <c r="AQ16">
        <f>'Implied Productivity Ratios'!AR16/'Implied Productivity Ratios'!$V16</f>
        <v>2.1594271760449519</v>
      </c>
      <c r="AR16">
        <f>'Implied Productivity Ratios'!AS16/'Implied Productivity Ratios'!$V16</f>
        <v>2.2342538521953377</v>
      </c>
      <c r="AS16">
        <f>'Implied Productivity Ratios'!AT16/'Implied Productivity Ratios'!$V16</f>
        <v>2.3123167119546055</v>
      </c>
      <c r="AT16">
        <f>'Implied Productivity Ratios'!AU16/'Implied Productivity Ratios'!$V16</f>
        <v>2.3953347286265627</v>
      </c>
      <c r="AU16">
        <f>'Implied Productivity Ratios'!AV16/'Implied Productivity Ratios'!$V16</f>
        <v>2.4833758188689097</v>
      </c>
      <c r="AV16">
        <f>'Implied Productivity Ratios'!AW16/'Implied Productivity Ratios'!$V16</f>
        <v>2.5749113518184341</v>
      </c>
      <c r="AW16">
        <f>'Implied Productivity Ratios'!AX16/'Implied Productivity Ratios'!$V16</f>
        <v>2.6699118824083761</v>
      </c>
      <c r="AX16">
        <f>'Implied Productivity Ratios'!AY16/'Implied Productivity Ratios'!$V16</f>
        <v>2.7683061234314716</v>
      </c>
      <c r="AY16">
        <f>'Implied Productivity Ratios'!AZ16/'Implied Productivity Ratios'!$V16</f>
        <v>2.8724515162453881</v>
      </c>
      <c r="AZ16">
        <f>'Implied Productivity Ratios'!BA16/'Implied Productivity Ratios'!$V16</f>
        <v>2.982850646686011</v>
      </c>
      <c r="BA16">
        <f>'Implied Productivity Ratios'!BB16/'Implied Productivity Ratios'!$V16</f>
        <v>3.0999503633862249</v>
      </c>
      <c r="BB16">
        <f>'Implied Productivity Ratios'!BC16/'Implied Productivity Ratios'!$V16</f>
        <v>3.2239661493114373</v>
      </c>
      <c r="BC16" s="5">
        <f>'Implied Productivity Ratios'!BD16/'Implied Productivity Ratios'!$V16</f>
        <v>3.3347770026920496</v>
      </c>
      <c r="BD16" s="5">
        <f>'Implied Productivity Ratios'!BE16/'Implied Productivity Ratios'!$V16</f>
        <v>3.4455878560726618</v>
      </c>
      <c r="BE16" s="5">
        <f>'Implied Productivity Ratios'!BF16/'Implied Productivity Ratios'!$V16</f>
        <v>3.5563987094532745</v>
      </c>
      <c r="BF16" s="5">
        <f>'Implied Productivity Ratios'!BG16/'Implied Productivity Ratios'!$V16</f>
        <v>3.6672095628338863</v>
      </c>
      <c r="BG16" s="5">
        <f>'Implied Productivity Ratios'!BH16/'Implied Productivity Ratios'!$V16</f>
        <v>3.7780204162144986</v>
      </c>
    </row>
    <row r="17" spans="2:59">
      <c r="B17">
        <v>315</v>
      </c>
      <c r="C17" t="s">
        <v>51</v>
      </c>
      <c r="D17">
        <f>'Implied Productivity Ratios'!E17/'Implied Productivity Ratios'!$V17</f>
        <v>0.47673953742469583</v>
      </c>
      <c r="E17">
        <f>'Implied Productivity Ratios'!F17/'Implied Productivity Ratios'!$V17</f>
        <v>0.4936357601197206</v>
      </c>
      <c r="F17">
        <f>'Implied Productivity Ratios'!G17/'Implied Productivity Ratios'!$V17</f>
        <v>0.50180621702274142</v>
      </c>
      <c r="G17">
        <f>'Implied Productivity Ratios'!H17/'Implied Productivity Ratios'!$V17</f>
        <v>0.52993704889353188</v>
      </c>
      <c r="H17">
        <f>'Implied Productivity Ratios'!I17/'Implied Productivity Ratios'!$V17</f>
        <v>0.51585587752073592</v>
      </c>
      <c r="I17">
        <f>'Implied Productivity Ratios'!J17/'Implied Productivity Ratios'!$V17</f>
        <v>0.6036313811878774</v>
      </c>
      <c r="J17">
        <f>'Implied Productivity Ratios'!K17/'Implied Productivity Ratios'!$V17</f>
        <v>0.60451649301032218</v>
      </c>
      <c r="K17">
        <f>'Implied Productivity Ratios'!L17/'Implied Productivity Ratios'!$V17</f>
        <v>0.57937692951681286</v>
      </c>
      <c r="L17">
        <f>'Implied Productivity Ratios'!M17/'Implied Productivity Ratios'!$V17</f>
        <v>0.5920197660558939</v>
      </c>
      <c r="M17">
        <f>'Implied Productivity Ratios'!N17/'Implied Productivity Ratios'!$V17</f>
        <v>0.58628661803427862</v>
      </c>
      <c r="N17">
        <f>'Implied Productivity Ratios'!O17/'Implied Productivity Ratios'!$V17</f>
        <v>0.5689021215961314</v>
      </c>
      <c r="O17">
        <f>'Implied Productivity Ratios'!P17/'Implied Productivity Ratios'!$V17</f>
        <v>0.59278134626393508</v>
      </c>
      <c r="P17">
        <f>'Implied Productivity Ratios'!Q17/'Implied Productivity Ratios'!$V17</f>
        <v>0.62314973701207066</v>
      </c>
      <c r="Q17">
        <f>'Implied Productivity Ratios'!R17/'Implied Productivity Ratios'!$V17</f>
        <v>0.65528327533214936</v>
      </c>
      <c r="R17">
        <f>'Implied Productivity Ratios'!S17/'Implied Productivity Ratios'!$V17</f>
        <v>0.70568302891076828</v>
      </c>
      <c r="S17">
        <f>'Implied Productivity Ratios'!T17/'Implied Productivity Ratios'!$V17</f>
        <v>0.84648928753659325</v>
      </c>
      <c r="T17">
        <f>'Implied Productivity Ratios'!U17/'Implied Productivity Ratios'!$V17</f>
        <v>0.93434803744637007</v>
      </c>
      <c r="U17">
        <f>'Implied Productivity Ratios'!V17/'Implied Productivity Ratios'!$V17</f>
        <v>1</v>
      </c>
      <c r="V17">
        <f>'Implied Productivity Ratios'!W17/'Implied Productivity Ratios'!$V17</f>
        <v>1.0022275020573048</v>
      </c>
      <c r="W17">
        <f>'Implied Productivity Ratios'!X17/'Implied Productivity Ratios'!$V17</f>
        <v>0.99732728240217516</v>
      </c>
      <c r="X17">
        <f>'Implied Productivity Ratios'!Y17/'Implied Productivity Ratios'!$V17</f>
        <v>1.0374420199249388</v>
      </c>
      <c r="Y17">
        <f>'Implied Productivity Ratios'!Z17/'Implied Productivity Ratios'!$V17</f>
        <v>1.076768079600507</v>
      </c>
      <c r="Z17">
        <f>'Implied Productivity Ratios'!AA17/'Implied Productivity Ratios'!$V17</f>
        <v>1.1150946251542495</v>
      </c>
      <c r="AA17">
        <f>'Implied Productivity Ratios'!AB17/'Implied Productivity Ratios'!$V17</f>
        <v>1.1564967589423187</v>
      </c>
      <c r="AB17">
        <f>'Implied Productivity Ratios'!AC17/'Implied Productivity Ratios'!$V17</f>
        <v>1.2034096254404516</v>
      </c>
      <c r="AC17">
        <f>'Implied Productivity Ratios'!AD17/'Implied Productivity Ratios'!$V17</f>
        <v>1.2541544620460114</v>
      </c>
      <c r="AD17">
        <f>'Implied Productivity Ratios'!AE17/'Implied Productivity Ratios'!$V17</f>
        <v>1.3080941733813447</v>
      </c>
      <c r="AE17">
        <f>'Implied Productivity Ratios'!AF17/'Implied Productivity Ratios'!$V17</f>
        <v>1.366109832284288</v>
      </c>
      <c r="AF17">
        <f>'Implied Productivity Ratios'!AG17/'Implied Productivity Ratios'!$V17</f>
        <v>1.4292471295503801</v>
      </c>
      <c r="AG17">
        <f>'Implied Productivity Ratios'!AH17/'Implied Productivity Ratios'!$V17</f>
        <v>1.495918072307443</v>
      </c>
      <c r="AH17">
        <f>'Implied Productivity Ratios'!AI17/'Implied Productivity Ratios'!$V17</f>
        <v>1.5635544033448323</v>
      </c>
      <c r="AI17">
        <f>'Implied Productivity Ratios'!AJ17/'Implied Productivity Ratios'!$V17</f>
        <v>1.6336484683119783</v>
      </c>
      <c r="AJ17">
        <f>'Implied Productivity Ratios'!AK17/'Implied Productivity Ratios'!$V17</f>
        <v>1.7064094869886965</v>
      </c>
      <c r="AK17">
        <f>'Implied Productivity Ratios'!AL17/'Implied Productivity Ratios'!$V17</f>
        <v>1.7812067456795906</v>
      </c>
      <c r="AL17">
        <f>'Implied Productivity Ratios'!AM17/'Implied Productivity Ratios'!$V17</f>
        <v>1.8567981769517798</v>
      </c>
      <c r="AM17">
        <f>'Implied Productivity Ratios'!AN17/'Implied Productivity Ratios'!$V17</f>
        <v>1.9326899031566129</v>
      </c>
      <c r="AN17">
        <f>'Implied Productivity Ratios'!AO17/'Implied Productivity Ratios'!$V17</f>
        <v>2.0085992452969892</v>
      </c>
      <c r="AO17">
        <f>'Implied Productivity Ratios'!AP17/'Implied Productivity Ratios'!$V17</f>
        <v>2.0859877175363737</v>
      </c>
      <c r="AP17">
        <f>'Implied Productivity Ratios'!AQ17/'Implied Productivity Ratios'!$V17</f>
        <v>2.1604272429676596</v>
      </c>
      <c r="AQ17">
        <f>'Implied Productivity Ratios'!AR17/'Implied Productivity Ratios'!$V17</f>
        <v>2.2312578058961781</v>
      </c>
      <c r="AR17">
        <f>'Implied Productivity Ratios'!AS17/'Implied Productivity Ratios'!$V17</f>
        <v>2.3042668802088722</v>
      </c>
      <c r="AS17">
        <f>'Implied Productivity Ratios'!AT17/'Implied Productivity Ratios'!$V17</f>
        <v>2.3807275658681797</v>
      </c>
      <c r="AT17">
        <f>'Implied Productivity Ratios'!AU17/'Implied Productivity Ratios'!$V17</f>
        <v>2.4626306497759969</v>
      </c>
      <c r="AU17">
        <f>'Implied Productivity Ratios'!AV17/'Implied Productivity Ratios'!$V17</f>
        <v>2.5499264081070048</v>
      </c>
      <c r="AV17">
        <f>'Implied Productivity Ratios'!AW17/'Implied Productivity Ratios'!$V17</f>
        <v>2.6412002243361248</v>
      </c>
      <c r="AW17">
        <f>'Implied Productivity Ratios'!AX17/'Implied Productivity Ratios'!$V17</f>
        <v>2.7364463776554442</v>
      </c>
      <c r="AX17">
        <f>'Implied Productivity Ratios'!AY17/'Implied Productivity Ratios'!$V17</f>
        <v>2.8359972124571566</v>
      </c>
      <c r="AY17">
        <f>'Implied Productivity Ratios'!AZ17/'Implied Productivity Ratios'!$V17</f>
        <v>2.9414896265994126</v>
      </c>
      <c r="AZ17">
        <f>'Implied Productivity Ratios'!BA17/'Implied Productivity Ratios'!$V17</f>
        <v>3.0538362038692286</v>
      </c>
      <c r="BA17">
        <f>'Implied Productivity Ratios'!BB17/'Implied Productivity Ratios'!$V17</f>
        <v>3.1737354735824388</v>
      </c>
      <c r="BB17">
        <f>'Implied Productivity Ratios'!BC17/'Implied Productivity Ratios'!$V17</f>
        <v>3.3011159680951589</v>
      </c>
      <c r="BC17" s="5">
        <f>'Implied Productivity Ratios'!BD17/'Implied Productivity Ratios'!$V17</f>
        <v>3.4140498861831015</v>
      </c>
      <c r="BD17" s="5">
        <f>'Implied Productivity Ratios'!BE17/'Implied Productivity Ratios'!$V17</f>
        <v>3.5269838042710444</v>
      </c>
      <c r="BE17" s="5">
        <f>'Implied Productivity Ratios'!BF17/'Implied Productivity Ratios'!$V17</f>
        <v>3.6399177223589869</v>
      </c>
      <c r="BF17" s="5">
        <f>'Implied Productivity Ratios'!BG17/'Implied Productivity Ratios'!$V17</f>
        <v>3.7528516404469294</v>
      </c>
      <c r="BG17" s="5">
        <f>'Implied Productivity Ratios'!BH17/'Implied Productivity Ratios'!$V17</f>
        <v>3.8657855585348724</v>
      </c>
    </row>
    <row r="18" spans="2:59">
      <c r="B18">
        <v>316</v>
      </c>
      <c r="C18" t="s">
        <v>55</v>
      </c>
      <c r="D18">
        <f>'Implied Productivity Ratios'!E18/'Implied Productivity Ratios'!$V18</f>
        <v>0.55228173040190665</v>
      </c>
      <c r="E18">
        <f>'Implied Productivity Ratios'!F18/'Implied Productivity Ratios'!$V18</f>
        <v>0.54996484614736807</v>
      </c>
      <c r="F18">
        <f>'Implied Productivity Ratios'!G18/'Implied Productivity Ratios'!$V18</f>
        <v>0.53971997463227339</v>
      </c>
      <c r="G18">
        <f>'Implied Productivity Ratios'!H18/'Implied Productivity Ratios'!$V18</f>
        <v>0.55520395165554948</v>
      </c>
      <c r="H18">
        <f>'Implied Productivity Ratios'!I18/'Implied Productivity Ratios'!$V18</f>
        <v>0.52856970166248618</v>
      </c>
      <c r="I18">
        <f>'Implied Productivity Ratios'!J18/'Implied Productivity Ratios'!$V18</f>
        <v>0.58346746518800385</v>
      </c>
      <c r="J18">
        <f>'Implied Productivity Ratios'!K18/'Implied Productivity Ratios'!$V18</f>
        <v>0.58951587533678262</v>
      </c>
      <c r="K18">
        <f>'Implied Productivity Ratios'!L18/'Implied Productivity Ratios'!$V18</f>
        <v>0.5777142979751283</v>
      </c>
      <c r="L18">
        <f>'Implied Productivity Ratios'!M18/'Implied Productivity Ratios'!$V18</f>
        <v>0.64790975845670895</v>
      </c>
      <c r="M18">
        <f>'Implied Productivity Ratios'!N18/'Implied Productivity Ratios'!$V18</f>
        <v>0.61214395229076457</v>
      </c>
      <c r="N18">
        <f>'Implied Productivity Ratios'!O18/'Implied Productivity Ratios'!$V18</f>
        <v>0.63150436410740296</v>
      </c>
      <c r="O18">
        <f>'Implied Productivity Ratios'!P18/'Implied Productivity Ratios'!$V18</f>
        <v>0.63661286270738249</v>
      </c>
      <c r="P18">
        <f>'Implied Productivity Ratios'!Q18/'Implied Productivity Ratios'!$V18</f>
        <v>0.6412561941382704</v>
      </c>
      <c r="Q18">
        <f>'Implied Productivity Ratios'!R18/'Implied Productivity Ratios'!$V18</f>
        <v>0.65725807939185077</v>
      </c>
      <c r="R18">
        <f>'Implied Productivity Ratios'!S18/'Implied Productivity Ratios'!$V18</f>
        <v>0.70208554963301517</v>
      </c>
      <c r="S18">
        <f>'Implied Productivity Ratios'!T18/'Implied Productivity Ratios'!$V18</f>
        <v>0.86551311415028909</v>
      </c>
      <c r="T18">
        <f>'Implied Productivity Ratios'!U18/'Implied Productivity Ratios'!$V18</f>
        <v>0.91027190704099903</v>
      </c>
      <c r="U18">
        <f>'Implied Productivity Ratios'!V18/'Implied Productivity Ratios'!$V18</f>
        <v>1</v>
      </c>
      <c r="V18">
        <f>'Implied Productivity Ratios'!W18/'Implied Productivity Ratios'!$V18</f>
        <v>1.031780146400525</v>
      </c>
      <c r="W18">
        <f>'Implied Productivity Ratios'!X18/'Implied Productivity Ratios'!$V18</f>
        <v>1.0554400947802021</v>
      </c>
      <c r="X18">
        <f>'Implied Productivity Ratios'!Y18/'Implied Productivity Ratios'!$V18</f>
        <v>1.0889678385767096</v>
      </c>
      <c r="Y18">
        <f>'Implied Productivity Ratios'!Z18/'Implied Productivity Ratios'!$V18</f>
        <v>1.1079556821456742</v>
      </c>
      <c r="Z18">
        <f>'Implied Productivity Ratios'!AA18/'Implied Productivity Ratios'!$V18</f>
        <v>1.1167369547964872</v>
      </c>
      <c r="AA18">
        <f>'Implied Productivity Ratios'!AB18/'Implied Productivity Ratios'!$V18</f>
        <v>1.1185549489091418</v>
      </c>
      <c r="AB18">
        <f>'Implied Productivity Ratios'!AC18/'Implied Productivity Ratios'!$V18</f>
        <v>1.1227158790302996</v>
      </c>
      <c r="AC18">
        <f>'Implied Productivity Ratios'!AD18/'Implied Productivity Ratios'!$V18</f>
        <v>1.1285437948797026</v>
      </c>
      <c r="AD18">
        <f>'Implied Productivity Ratios'!AE18/'Implied Productivity Ratios'!$V18</f>
        <v>1.1347766863904072</v>
      </c>
      <c r="AE18">
        <f>'Implied Productivity Ratios'!AF18/'Implied Productivity Ratios'!$V18</f>
        <v>1.1421911530780371</v>
      </c>
      <c r="AF18">
        <f>'Implied Productivity Ratios'!AG18/'Implied Productivity Ratios'!$V18</f>
        <v>1.1492465311789508</v>
      </c>
      <c r="AG18">
        <f>'Implied Productivity Ratios'!AH18/'Implied Productivity Ratios'!$V18</f>
        <v>1.1542914175554069</v>
      </c>
      <c r="AH18">
        <f>'Implied Productivity Ratios'!AI18/'Implied Productivity Ratios'!$V18</f>
        <v>1.1619755696704586</v>
      </c>
      <c r="AI18">
        <f>'Implied Productivity Ratios'!AJ18/'Implied Productivity Ratios'!$V18</f>
        <v>1.1673464569153051</v>
      </c>
      <c r="AJ18">
        <f>'Implied Productivity Ratios'!AK18/'Implied Productivity Ratios'!$V18</f>
        <v>1.1745795805486385</v>
      </c>
      <c r="AK18">
        <f>'Implied Productivity Ratios'!AL18/'Implied Productivity Ratios'!$V18</f>
        <v>1.1778376526917675</v>
      </c>
      <c r="AL18">
        <f>'Implied Productivity Ratios'!AM18/'Implied Productivity Ratios'!$V18</f>
        <v>1.1749421445213004</v>
      </c>
      <c r="AM18">
        <f>'Implied Productivity Ratios'!AN18/'Implied Productivity Ratios'!$V18</f>
        <v>1.1700694961153406</v>
      </c>
      <c r="AN18">
        <f>'Implied Productivity Ratios'!AO18/'Implied Productivity Ratios'!$V18</f>
        <v>1.1627134001050661</v>
      </c>
      <c r="AO18">
        <f>'Implied Productivity Ratios'!AP18/'Implied Productivity Ratios'!$V18</f>
        <v>1.1512018996085627</v>
      </c>
      <c r="AP18">
        <f>'Implied Productivity Ratios'!AQ18/'Implied Productivity Ratios'!$V18</f>
        <v>1.1355255823055692</v>
      </c>
      <c r="AQ18">
        <f>'Implied Productivity Ratios'!AR18/'Implied Productivity Ratios'!$V18</f>
        <v>1.1167846207129173</v>
      </c>
      <c r="AR18">
        <f>'Implied Productivity Ratios'!AS18/'Implied Productivity Ratios'!$V18</f>
        <v>1.0981558490479759</v>
      </c>
      <c r="AS18">
        <f>'Implied Productivity Ratios'!AT18/'Implied Productivity Ratios'!$V18</f>
        <v>1.0801534969358821</v>
      </c>
      <c r="AT18">
        <f>'Implied Productivity Ratios'!AU18/'Implied Productivity Ratios'!$V18</f>
        <v>1.0638010966462803</v>
      </c>
      <c r="AU18">
        <f>'Implied Productivity Ratios'!AV18/'Implied Productivity Ratios'!$V18</f>
        <v>1.0484125321783329</v>
      </c>
      <c r="AV18">
        <f>'Implied Productivity Ratios'!AW18/'Implied Productivity Ratios'!$V18</f>
        <v>1.033357477072423</v>
      </c>
      <c r="AW18">
        <f>'Implied Productivity Ratios'!AX18/'Implied Productivity Ratios'!$V18</f>
        <v>1.0189283483914473</v>
      </c>
      <c r="AX18">
        <f>'Implied Productivity Ratios'!AY18/'Implied Productivity Ratios'!$V18</f>
        <v>1.0050773936617339</v>
      </c>
      <c r="AY18">
        <f>'Implied Productivity Ratios'!AZ18/'Implied Productivity Ratios'!$V18</f>
        <v>0.99234461619181091</v>
      </c>
      <c r="AZ18">
        <f>'Implied Productivity Ratios'!BA18/'Implied Productivity Ratios'!$V18</f>
        <v>0.98040123434000326</v>
      </c>
      <c r="BA18">
        <f>'Implied Productivity Ratios'!BB18/'Implied Productivity Ratios'!$V18</f>
        <v>0.96927937277522669</v>
      </c>
      <c r="BB18">
        <f>'Implied Productivity Ratios'!BC18/'Implied Productivity Ratios'!$V18</f>
        <v>0.95891051321639986</v>
      </c>
      <c r="BC18" s="5">
        <f>'Implied Productivity Ratios'!BD18/'Implied Productivity Ratios'!$V18</f>
        <v>0.94690694618139037</v>
      </c>
      <c r="BD18" s="5">
        <f>'Implied Productivity Ratios'!BE18/'Implied Productivity Ratios'!$V18</f>
        <v>0.93490337914638089</v>
      </c>
      <c r="BE18" s="5">
        <f>'Implied Productivity Ratios'!BF18/'Implied Productivity Ratios'!$V18</f>
        <v>0.92289981211137129</v>
      </c>
      <c r="BF18" s="5">
        <f>'Implied Productivity Ratios'!BG18/'Implied Productivity Ratios'!$V18</f>
        <v>0.9108962450763618</v>
      </c>
      <c r="BG18" s="5">
        <f>'Implied Productivity Ratios'!BH18/'Implied Productivity Ratios'!$V18</f>
        <v>0.89889267804135231</v>
      </c>
    </row>
    <row r="19" spans="2:59">
      <c r="B19">
        <v>321</v>
      </c>
      <c r="C19" t="s">
        <v>59</v>
      </c>
      <c r="D19">
        <f>'Implied Productivity Ratios'!E19/'Implied Productivity Ratios'!$V19</f>
        <v>0.72181605922915903</v>
      </c>
      <c r="E19">
        <f>'Implied Productivity Ratios'!F19/'Implied Productivity Ratios'!$V19</f>
        <v>0.71656921088401726</v>
      </c>
      <c r="F19">
        <f>'Implied Productivity Ratios'!G19/'Implied Productivity Ratios'!$V19</f>
        <v>0.82006018443351358</v>
      </c>
      <c r="G19">
        <f>'Implied Productivity Ratios'!H19/'Implied Productivity Ratios'!$V19</f>
        <v>0.86976347810996824</v>
      </c>
      <c r="H19">
        <f>'Implied Productivity Ratios'!I19/'Implied Productivity Ratios'!$V19</f>
        <v>0.93605391540539273</v>
      </c>
      <c r="I19">
        <f>'Implied Productivity Ratios'!J19/'Implied Productivity Ratios'!$V19</f>
        <v>1.0596230488537834</v>
      </c>
      <c r="J19">
        <f>'Implied Productivity Ratios'!K19/'Implied Productivity Ratios'!$V19</f>
        <v>1.1883592387381574</v>
      </c>
      <c r="K19">
        <f>'Implied Productivity Ratios'!L19/'Implied Productivity Ratios'!$V19</f>
        <v>1.2004108889319287</v>
      </c>
      <c r="L19">
        <f>'Implied Productivity Ratios'!M19/'Implied Productivity Ratios'!$V19</f>
        <v>1.1780726162237911</v>
      </c>
      <c r="M19">
        <f>'Implied Productivity Ratios'!N19/'Implied Productivity Ratios'!$V19</f>
        <v>1.0153272084684115</v>
      </c>
      <c r="N19">
        <f>'Implied Productivity Ratios'!O19/'Implied Productivity Ratios'!$V19</f>
        <v>1.0742066504527708</v>
      </c>
      <c r="O19">
        <f>'Implied Productivity Ratios'!P19/'Implied Productivity Ratios'!$V19</f>
        <v>1.0956705578143016</v>
      </c>
      <c r="P19">
        <f>'Implied Productivity Ratios'!Q19/'Implied Productivity Ratios'!$V19</f>
        <v>1.0962404285768133</v>
      </c>
      <c r="Q19">
        <f>'Implied Productivity Ratios'!R19/'Implied Productivity Ratios'!$V19</f>
        <v>1.018829596901176</v>
      </c>
      <c r="R19">
        <f>'Implied Productivity Ratios'!S19/'Implied Productivity Ratios'!$V19</f>
        <v>1.0562911420342485</v>
      </c>
      <c r="S19">
        <f>'Implied Productivity Ratios'!T19/'Implied Productivity Ratios'!$V19</f>
        <v>1.1473744915564681</v>
      </c>
      <c r="T19">
        <f>'Implied Productivity Ratios'!U19/'Implied Productivity Ratios'!$V19</f>
        <v>1.0445517182522279</v>
      </c>
      <c r="U19">
        <f>'Implied Productivity Ratios'!V19/'Implied Productivity Ratios'!$V19</f>
        <v>1</v>
      </c>
      <c r="V19">
        <f>'Implied Productivity Ratios'!W19/'Implied Productivity Ratios'!$V19</f>
        <v>1.1218871104177643</v>
      </c>
      <c r="W19">
        <f>'Implied Productivity Ratios'!X19/'Implied Productivity Ratios'!$V19</f>
        <v>1.0337802408165297</v>
      </c>
      <c r="X19">
        <f>'Implied Productivity Ratios'!Y19/'Implied Productivity Ratios'!$V19</f>
        <v>1.0124539569796183</v>
      </c>
      <c r="Y19">
        <f>'Implied Productivity Ratios'!Z19/'Implied Productivity Ratios'!$V19</f>
        <v>1.0137168535545495</v>
      </c>
      <c r="Z19">
        <f>'Implied Productivity Ratios'!AA19/'Implied Productivity Ratios'!$V19</f>
        <v>1.0141984157395678</v>
      </c>
      <c r="AA19">
        <f>'Implied Productivity Ratios'!AB19/'Implied Productivity Ratios'!$V19</f>
        <v>1.01696571896823</v>
      </c>
      <c r="AB19">
        <f>'Implied Productivity Ratios'!AC19/'Implied Productivity Ratios'!$V19</f>
        <v>1.0236862694879838</v>
      </c>
      <c r="AC19">
        <f>'Implied Productivity Ratios'!AD19/'Implied Productivity Ratios'!$V19</f>
        <v>1.0330987354343659</v>
      </c>
      <c r="AD19">
        <f>'Implied Productivity Ratios'!AE19/'Implied Productivity Ratios'!$V19</f>
        <v>1.040907400519028</v>
      </c>
      <c r="AE19">
        <f>'Implied Productivity Ratios'!AF19/'Implied Productivity Ratios'!$V19</f>
        <v>1.0496909682245916</v>
      </c>
      <c r="AF19">
        <f>'Implied Productivity Ratios'!AG19/'Implied Productivity Ratios'!$V19</f>
        <v>1.0588498456095183</v>
      </c>
      <c r="AG19">
        <f>'Implied Productivity Ratios'!AH19/'Implied Productivity Ratios'!$V19</f>
        <v>1.0677078788040815</v>
      </c>
      <c r="AH19">
        <f>'Implied Productivity Ratios'!AI19/'Implied Productivity Ratios'!$V19</f>
        <v>1.0772760096616338</v>
      </c>
      <c r="AI19">
        <f>'Implied Productivity Ratios'!AJ19/'Implied Productivity Ratios'!$V19</f>
        <v>1.0895336792988506</v>
      </c>
      <c r="AJ19">
        <f>'Implied Productivity Ratios'!AK19/'Implied Productivity Ratios'!$V19</f>
        <v>1.1034378116877457</v>
      </c>
      <c r="AK19">
        <f>'Implied Productivity Ratios'!AL19/'Implied Productivity Ratios'!$V19</f>
        <v>1.1175170301615569</v>
      </c>
      <c r="AL19">
        <f>'Implied Productivity Ratios'!AM19/'Implied Productivity Ratios'!$V19</f>
        <v>1.1321901466898685</v>
      </c>
      <c r="AM19">
        <f>'Implied Productivity Ratios'!AN19/'Implied Productivity Ratios'!$V19</f>
        <v>1.1468945745781898</v>
      </c>
      <c r="AN19">
        <f>'Implied Productivity Ratios'!AO19/'Implied Productivity Ratios'!$V19</f>
        <v>1.1614211441884754</v>
      </c>
      <c r="AO19">
        <f>'Implied Productivity Ratios'!AP19/'Implied Productivity Ratios'!$V19</f>
        <v>1.176142130030059</v>
      </c>
      <c r="AP19">
        <f>'Implied Productivity Ratios'!AQ19/'Implied Productivity Ratios'!$V19</f>
        <v>1.1910307340876862</v>
      </c>
      <c r="AQ19">
        <f>'Implied Productivity Ratios'!AR19/'Implied Productivity Ratios'!$V19</f>
        <v>1.2063123126863458</v>
      </c>
      <c r="AR19">
        <f>'Implied Productivity Ratios'!AS19/'Implied Productivity Ratios'!$V19</f>
        <v>1.221994707393071</v>
      </c>
      <c r="AS19">
        <f>'Implied Productivity Ratios'!AT19/'Implied Productivity Ratios'!$V19</f>
        <v>1.2377235943685203</v>
      </c>
      <c r="AT19">
        <f>'Implied Productivity Ratios'!AU19/'Implied Productivity Ratios'!$V19</f>
        <v>1.2541455445115302</v>
      </c>
      <c r="AU19">
        <f>'Implied Productivity Ratios'!AV19/'Implied Productivity Ratios'!$V19</f>
        <v>1.2716134672253399</v>
      </c>
      <c r="AV19">
        <f>'Implied Productivity Ratios'!AW19/'Implied Productivity Ratios'!$V19</f>
        <v>1.2896043470249239</v>
      </c>
      <c r="AW19">
        <f>'Implied Productivity Ratios'!AX19/'Implied Productivity Ratios'!$V19</f>
        <v>1.3088916396947212</v>
      </c>
      <c r="AX19">
        <f>'Implied Productivity Ratios'!AY19/'Implied Productivity Ratios'!$V19</f>
        <v>1.3285101093422726</v>
      </c>
      <c r="AY19">
        <f>'Implied Productivity Ratios'!AZ19/'Implied Productivity Ratios'!$V19</f>
        <v>1.3484115347115206</v>
      </c>
      <c r="AZ19">
        <f>'Implied Productivity Ratios'!BA19/'Implied Productivity Ratios'!$V19</f>
        <v>1.3686450392775051</v>
      </c>
      <c r="BA19">
        <f>'Implied Productivity Ratios'!BB19/'Implied Productivity Ratios'!$V19</f>
        <v>1.3898411254379544</v>
      </c>
      <c r="BB19">
        <f>'Implied Productivity Ratios'!BC19/'Implied Productivity Ratios'!$V19</f>
        <v>1.4118901133907664</v>
      </c>
      <c r="BC19" s="5">
        <f>'Implied Productivity Ratios'!BD19/'Implied Productivity Ratios'!$V19</f>
        <v>1.4324898081299755</v>
      </c>
      <c r="BD19" s="5">
        <f>'Implied Productivity Ratios'!BE19/'Implied Productivity Ratios'!$V19</f>
        <v>1.4530895028691846</v>
      </c>
      <c r="BE19" s="5">
        <f>'Implied Productivity Ratios'!BF19/'Implied Productivity Ratios'!$V19</f>
        <v>1.4736891976083939</v>
      </c>
      <c r="BF19" s="5">
        <f>'Implied Productivity Ratios'!BG19/'Implied Productivity Ratios'!$V19</f>
        <v>1.494288892347603</v>
      </c>
      <c r="BG19" s="5">
        <f>'Implied Productivity Ratios'!BH19/'Implied Productivity Ratios'!$V19</f>
        <v>1.5148885870868121</v>
      </c>
    </row>
    <row r="20" spans="2:59">
      <c r="B20">
        <v>322</v>
      </c>
      <c r="C20" t="s">
        <v>63</v>
      </c>
      <c r="D20">
        <f>'Implied Productivity Ratios'!E20/'Implied Productivity Ratios'!$V20</f>
        <v>0.86368319712651564</v>
      </c>
      <c r="E20">
        <f>'Implied Productivity Ratios'!F20/'Implied Productivity Ratios'!$V20</f>
        <v>0.94914217993707917</v>
      </c>
      <c r="F20">
        <f>'Implied Productivity Ratios'!G20/'Implied Productivity Ratios'!$V20</f>
        <v>0.92243182599207807</v>
      </c>
      <c r="G20">
        <f>'Implied Productivity Ratios'!H20/'Implied Productivity Ratios'!$V20</f>
        <v>0.84932668737513628</v>
      </c>
      <c r="H20">
        <f>'Implied Productivity Ratios'!I20/'Implied Productivity Ratios'!$V20</f>
        <v>0.96911438748489098</v>
      </c>
      <c r="I20">
        <f>'Implied Productivity Ratios'!J20/'Implied Productivity Ratios'!$V20</f>
        <v>0.93280415167949671</v>
      </c>
      <c r="J20">
        <f>'Implied Productivity Ratios'!K20/'Implied Productivity Ratios'!$V20</f>
        <v>0.90901266840434769</v>
      </c>
      <c r="K20">
        <f>'Implied Productivity Ratios'!L20/'Implied Productivity Ratios'!$V20</f>
        <v>0.91519943612176824</v>
      </c>
      <c r="L20">
        <f>'Implied Productivity Ratios'!M20/'Implied Productivity Ratios'!$V20</f>
        <v>0.95256666462980355</v>
      </c>
      <c r="M20">
        <f>'Implied Productivity Ratios'!N20/'Implied Productivity Ratios'!$V20</f>
        <v>0.97438498752386216</v>
      </c>
      <c r="N20">
        <f>'Implied Productivity Ratios'!O20/'Implied Productivity Ratios'!$V20</f>
        <v>0.99837781505971379</v>
      </c>
      <c r="O20">
        <f>'Implied Productivity Ratios'!P20/'Implied Productivity Ratios'!$V20</f>
        <v>0.97709330401343109</v>
      </c>
      <c r="P20">
        <f>'Implied Productivity Ratios'!Q20/'Implied Productivity Ratios'!$V20</f>
        <v>0.90608174381601803</v>
      </c>
      <c r="Q20">
        <f>'Implied Productivity Ratios'!R20/'Implied Productivity Ratios'!$V20</f>
        <v>0.9678977118914972</v>
      </c>
      <c r="R20">
        <f>'Implied Productivity Ratios'!S20/'Implied Productivity Ratios'!$V20</f>
        <v>1.018992423304881</v>
      </c>
      <c r="S20">
        <f>'Implied Productivity Ratios'!T20/'Implied Productivity Ratios'!$V20</f>
        <v>1.1317411470098167</v>
      </c>
      <c r="T20">
        <f>'Implied Productivity Ratios'!U20/'Implied Productivity Ratios'!$V20</f>
        <v>1.0814213091307261</v>
      </c>
      <c r="U20">
        <f>'Implied Productivity Ratios'!V20/'Implied Productivity Ratios'!$V20</f>
        <v>1</v>
      </c>
      <c r="V20">
        <f>'Implied Productivity Ratios'!W20/'Implied Productivity Ratios'!$V20</f>
        <v>0.93431568598626902</v>
      </c>
      <c r="W20">
        <f>'Implied Productivity Ratios'!X20/'Implied Productivity Ratios'!$V20</f>
        <v>0.91393803103669546</v>
      </c>
      <c r="X20">
        <f>'Implied Productivity Ratios'!Y20/'Implied Productivity Ratios'!$V20</f>
        <v>0.92714984358218899</v>
      </c>
      <c r="Y20">
        <f>'Implied Productivity Ratios'!Z20/'Implied Productivity Ratios'!$V20</f>
        <v>0.94090823514971811</v>
      </c>
      <c r="Z20">
        <f>'Implied Productivity Ratios'!AA20/'Implied Productivity Ratios'!$V20</f>
        <v>0.95614263438805358</v>
      </c>
      <c r="AA20">
        <f>'Implied Productivity Ratios'!AB20/'Implied Productivity Ratios'!$V20</f>
        <v>0.97571888800402629</v>
      </c>
      <c r="AB20">
        <f>'Implied Productivity Ratios'!AC20/'Implied Productivity Ratios'!$V20</f>
        <v>0.99886211874647535</v>
      </c>
      <c r="AC20">
        <f>'Implied Productivity Ratios'!AD20/'Implied Productivity Ratios'!$V20</f>
        <v>1.024585089636012</v>
      </c>
      <c r="AD20">
        <f>'Implied Productivity Ratios'!AE20/'Implied Productivity Ratios'!$V20</f>
        <v>1.0505958286272945</v>
      </c>
      <c r="AE20">
        <f>'Implied Productivity Ratios'!AF20/'Implied Productivity Ratios'!$V20</f>
        <v>1.0775439647887062</v>
      </c>
      <c r="AF20">
        <f>'Implied Productivity Ratios'!AG20/'Implied Productivity Ratios'!$V20</f>
        <v>1.1059667792512449</v>
      </c>
      <c r="AG20">
        <f>'Implied Productivity Ratios'!AH20/'Implied Productivity Ratios'!$V20</f>
        <v>1.1350613425022646</v>
      </c>
      <c r="AH20">
        <f>'Implied Productivity Ratios'!AI20/'Implied Productivity Ratios'!$V20</f>
        <v>1.1652869066424967</v>
      </c>
      <c r="AI20">
        <f>'Implied Productivity Ratios'!AJ20/'Implied Productivity Ratios'!$V20</f>
        <v>1.1982704094425274</v>
      </c>
      <c r="AJ20">
        <f>'Implied Productivity Ratios'!AK20/'Implied Productivity Ratios'!$V20</f>
        <v>1.2336639173474166</v>
      </c>
      <c r="AK20">
        <f>'Implied Productivity Ratios'!AL20/'Implied Productivity Ratios'!$V20</f>
        <v>1.2700541030565475</v>
      </c>
      <c r="AL20">
        <f>'Implied Productivity Ratios'!AM20/'Implied Productivity Ratios'!$V20</f>
        <v>1.3068167863897004</v>
      </c>
      <c r="AM20">
        <f>'Implied Productivity Ratios'!AN20/'Implied Productivity Ratios'!$V20</f>
        <v>1.3447191120537334</v>
      </c>
      <c r="AN20">
        <f>'Implied Productivity Ratios'!AO20/'Implied Productivity Ratios'!$V20</f>
        <v>1.3838863760104272</v>
      </c>
      <c r="AO20">
        <f>'Implied Productivity Ratios'!AP20/'Implied Productivity Ratios'!$V20</f>
        <v>1.4252394299875208</v>
      </c>
      <c r="AP20">
        <f>'Implied Productivity Ratios'!AQ20/'Implied Productivity Ratios'!$V20</f>
        <v>1.4699023609884876</v>
      </c>
      <c r="AQ20">
        <f>'Implied Productivity Ratios'!AR20/'Implied Productivity Ratios'!$V20</f>
        <v>1.5175244857040568</v>
      </c>
      <c r="AR20">
        <f>'Implied Productivity Ratios'!AS20/'Implied Productivity Ratios'!$V20</f>
        <v>1.566770989544789</v>
      </c>
      <c r="AS20">
        <f>'Implied Productivity Ratios'!AT20/'Implied Productivity Ratios'!$V20</f>
        <v>1.6178873604610169</v>
      </c>
      <c r="AT20">
        <f>'Implied Productivity Ratios'!AU20/'Implied Productivity Ratios'!$V20</f>
        <v>1.6720068972697977</v>
      </c>
      <c r="AU20">
        <f>'Implied Productivity Ratios'!AV20/'Implied Productivity Ratios'!$V20</f>
        <v>1.7291820447112092</v>
      </c>
      <c r="AV20">
        <f>'Implied Productivity Ratios'!AW20/'Implied Productivity Ratios'!$V20</f>
        <v>1.7887930434110448</v>
      </c>
      <c r="AW20">
        <f>'Implied Productivity Ratios'!AX20/'Implied Productivity Ratios'!$V20</f>
        <v>1.8511474334727742</v>
      </c>
      <c r="AX20">
        <f>'Implied Productivity Ratios'!AY20/'Implied Productivity Ratios'!$V20</f>
        <v>1.916092330335649</v>
      </c>
      <c r="AY20">
        <f>'Implied Productivity Ratios'!AZ20/'Implied Productivity Ratios'!$V20</f>
        <v>1.9843709806999519</v>
      </c>
      <c r="AZ20">
        <f>'Implied Productivity Ratios'!BA20/'Implied Productivity Ratios'!$V20</f>
        <v>2.0561733258613719</v>
      </c>
      <c r="BA20">
        <f>'Implied Productivity Ratios'!BB20/'Implied Productivity Ratios'!$V20</f>
        <v>2.1321004361059064</v>
      </c>
      <c r="BB20">
        <f>'Implied Productivity Ratios'!BC20/'Implied Productivity Ratios'!$V20</f>
        <v>2.2119920881357351</v>
      </c>
      <c r="BC20" s="5">
        <f>'Implied Productivity Ratios'!BD20/'Implied Productivity Ratios'!$V20</f>
        <v>2.284161019068327</v>
      </c>
      <c r="BD20" s="5">
        <f>'Implied Productivity Ratios'!BE20/'Implied Productivity Ratios'!$V20</f>
        <v>2.3563299500009194</v>
      </c>
      <c r="BE20" s="5">
        <f>'Implied Productivity Ratios'!BF20/'Implied Productivity Ratios'!$V20</f>
        <v>2.4284988809335117</v>
      </c>
      <c r="BF20" s="5">
        <f>'Implied Productivity Ratios'!BG20/'Implied Productivity Ratios'!$V20</f>
        <v>2.5006678118661037</v>
      </c>
      <c r="BG20" s="5">
        <f>'Implied Productivity Ratios'!BH20/'Implied Productivity Ratios'!$V20</f>
        <v>2.572836742798696</v>
      </c>
    </row>
    <row r="21" spans="2:59">
      <c r="B21">
        <v>323</v>
      </c>
      <c r="C21" t="s">
        <v>67</v>
      </c>
      <c r="D21">
        <f>'Implied Productivity Ratios'!E21/'Implied Productivity Ratios'!$V21</f>
        <v>0.72901006104152832</v>
      </c>
      <c r="E21">
        <f>'Implied Productivity Ratios'!F21/'Implied Productivity Ratios'!$V21</f>
        <v>0.75420699698417792</v>
      </c>
      <c r="F21">
        <f>'Implied Productivity Ratios'!G21/'Implied Productivity Ratios'!$V21</f>
        <v>0.78663853353325119</v>
      </c>
      <c r="G21">
        <f>'Implied Productivity Ratios'!H21/'Implied Productivity Ratios'!$V21</f>
        <v>0.80867451454161265</v>
      </c>
      <c r="H21">
        <f>'Implied Productivity Ratios'!I21/'Implied Productivity Ratios'!$V21</f>
        <v>0.80514442945092901</v>
      </c>
      <c r="I21">
        <f>'Implied Productivity Ratios'!J21/'Implied Productivity Ratios'!$V21</f>
        <v>0.87510651446441146</v>
      </c>
      <c r="J21">
        <f>'Implied Productivity Ratios'!K21/'Implied Productivity Ratios'!$V21</f>
        <v>0.90924653506679987</v>
      </c>
      <c r="K21">
        <f>'Implied Productivity Ratios'!L21/'Implied Productivity Ratios'!$V21</f>
        <v>0.93442448106794196</v>
      </c>
      <c r="L21">
        <f>'Implied Productivity Ratios'!M21/'Implied Productivity Ratios'!$V21</f>
        <v>0.97165493154768479</v>
      </c>
      <c r="M21">
        <f>'Implied Productivity Ratios'!N21/'Implied Productivity Ratios'!$V21</f>
        <v>0.97597119850707625</v>
      </c>
      <c r="N21">
        <f>'Implied Productivity Ratios'!O21/'Implied Productivity Ratios'!$V21</f>
        <v>0.98430181919311754</v>
      </c>
      <c r="O21">
        <f>'Implied Productivity Ratios'!P21/'Implied Productivity Ratios'!$V21</f>
        <v>1.0091683281698338</v>
      </c>
      <c r="P21">
        <f>'Implied Productivity Ratios'!Q21/'Implied Productivity Ratios'!$V21</f>
        <v>1.0166263742838837</v>
      </c>
      <c r="Q21">
        <f>'Implied Productivity Ratios'!R21/'Implied Productivity Ratios'!$V21</f>
        <v>1.0729724338649382</v>
      </c>
      <c r="R21">
        <f>'Implied Productivity Ratios'!S21/'Implied Productivity Ratios'!$V21</f>
        <v>1.0564244605713764</v>
      </c>
      <c r="S21">
        <f>'Implied Productivity Ratios'!T21/'Implied Productivity Ratios'!$V21</f>
        <v>1.0322504591489154</v>
      </c>
      <c r="T21">
        <f>'Implied Productivity Ratios'!U21/'Implied Productivity Ratios'!$V21</f>
        <v>1.1235683452605154</v>
      </c>
      <c r="U21">
        <f>'Implied Productivity Ratios'!V21/'Implied Productivity Ratios'!$V21</f>
        <v>1</v>
      </c>
      <c r="V21">
        <f>'Implied Productivity Ratios'!W21/'Implied Productivity Ratios'!$V21</f>
        <v>0.91715122000985749</v>
      </c>
      <c r="W21">
        <f>'Implied Productivity Ratios'!X21/'Implied Productivity Ratios'!$V21</f>
        <v>0.89942616473650883</v>
      </c>
      <c r="X21">
        <f>'Implied Productivity Ratios'!Y21/'Implied Productivity Ratios'!$V21</f>
        <v>0.90131834294756541</v>
      </c>
      <c r="Y21">
        <f>'Implied Productivity Ratios'!Z21/'Implied Productivity Ratios'!$V21</f>
        <v>0.8902445836138857</v>
      </c>
      <c r="Z21">
        <f>'Implied Productivity Ratios'!AA21/'Implied Productivity Ratios'!$V21</f>
        <v>0.88333732909871532</v>
      </c>
      <c r="AA21">
        <f>'Implied Productivity Ratios'!AB21/'Implied Productivity Ratios'!$V21</f>
        <v>0.88401387617422844</v>
      </c>
      <c r="AB21">
        <f>'Implied Productivity Ratios'!AC21/'Implied Productivity Ratios'!$V21</f>
        <v>0.88959095770890473</v>
      </c>
      <c r="AC21">
        <f>'Implied Productivity Ratios'!AD21/'Implied Productivity Ratios'!$V21</f>
        <v>0.89922587037558421</v>
      </c>
      <c r="AD21">
        <f>'Implied Productivity Ratios'!AE21/'Implied Productivity Ratios'!$V21</f>
        <v>0.90941614772327051</v>
      </c>
      <c r="AE21">
        <f>'Implied Productivity Ratios'!AF21/'Implied Productivity Ratios'!$V21</f>
        <v>0.92021061749598887</v>
      </c>
      <c r="AF21">
        <f>'Implied Productivity Ratios'!AG21/'Implied Productivity Ratios'!$V21</f>
        <v>0.93084565929641527</v>
      </c>
      <c r="AG21">
        <f>'Implied Productivity Ratios'!AH21/'Implied Productivity Ratios'!$V21</f>
        <v>0.93989903690356824</v>
      </c>
      <c r="AH21">
        <f>'Implied Productivity Ratios'!AI21/'Implied Productivity Ratios'!$V21</f>
        <v>0.94749428029292826</v>
      </c>
      <c r="AI21">
        <f>'Implied Productivity Ratios'!AJ21/'Implied Productivity Ratios'!$V21</f>
        <v>0.95432269674617209</v>
      </c>
      <c r="AJ21">
        <f>'Implied Productivity Ratios'!AK21/'Implied Productivity Ratios'!$V21</f>
        <v>0.96063243768373541</v>
      </c>
      <c r="AK21">
        <f>'Implied Productivity Ratios'!AL21/'Implied Productivity Ratios'!$V21</f>
        <v>0.96573412916168111</v>
      </c>
      <c r="AL21">
        <f>'Implied Productivity Ratios'!AM21/'Implied Productivity Ratios'!$V21</f>
        <v>0.97033400574453177</v>
      </c>
      <c r="AM21">
        <f>'Implied Productivity Ratios'!AN21/'Implied Productivity Ratios'!$V21</f>
        <v>0.97443564601529409</v>
      </c>
      <c r="AN21">
        <f>'Implied Productivity Ratios'!AO21/'Implied Productivity Ratios'!$V21</f>
        <v>0.97807355672801488</v>
      </c>
      <c r="AO21">
        <f>'Implied Productivity Ratios'!AP21/'Implied Productivity Ratios'!$V21</f>
        <v>0.98105375113130799</v>
      </c>
      <c r="AP21">
        <f>'Implied Productivity Ratios'!AQ21/'Implied Productivity Ratios'!$V21</f>
        <v>0.98357281037866917</v>
      </c>
      <c r="AQ21">
        <f>'Implied Productivity Ratios'!AR21/'Implied Productivity Ratios'!$V21</f>
        <v>0.98577903205541639</v>
      </c>
      <c r="AR21">
        <f>'Implied Productivity Ratios'!AS21/'Implied Productivity Ratios'!$V21</f>
        <v>0.98779039635256827</v>
      </c>
      <c r="AS21">
        <f>'Implied Productivity Ratios'!AT21/'Implied Productivity Ratios'!$V21</f>
        <v>0.98948629027684809</v>
      </c>
      <c r="AT21">
        <f>'Implied Productivity Ratios'!AU21/'Implied Productivity Ratios'!$V21</f>
        <v>0.99108946044121626</v>
      </c>
      <c r="AU21">
        <f>'Implied Productivity Ratios'!AV21/'Implied Productivity Ratios'!$V21</f>
        <v>0.99266974364077365</v>
      </c>
      <c r="AV21">
        <f>'Implied Productivity Ratios'!AW21/'Implied Productivity Ratios'!$V21</f>
        <v>0.99380685713150985</v>
      </c>
      <c r="AW21">
        <f>'Implied Productivity Ratios'!AX21/'Implied Productivity Ratios'!$V21</f>
        <v>0.99452711745125855</v>
      </c>
      <c r="AX21">
        <f>'Implied Productivity Ratios'!AY21/'Implied Productivity Ratios'!$V21</f>
        <v>0.99473857533600918</v>
      </c>
      <c r="AY21">
        <f>'Implied Productivity Ratios'!AZ21/'Implied Productivity Ratios'!$V21</f>
        <v>0.99510725510860276</v>
      </c>
      <c r="AZ21">
        <f>'Implied Productivity Ratios'!BA21/'Implied Productivity Ratios'!$V21</f>
        <v>0.99555422770186186</v>
      </c>
      <c r="BA21">
        <f>'Implied Productivity Ratios'!BB21/'Implied Productivity Ratios'!$V21</f>
        <v>0.99626240254544496</v>
      </c>
      <c r="BB21">
        <f>'Implied Productivity Ratios'!BC21/'Implied Productivity Ratios'!$V21</f>
        <v>0.99726009848964103</v>
      </c>
      <c r="BC21" s="5">
        <f>'Implied Productivity Ratios'!BD21/'Implied Productivity Ratios'!$V21</f>
        <v>0.99780669469731753</v>
      </c>
      <c r="BD21" s="5">
        <f>'Implied Productivity Ratios'!BE21/'Implied Productivity Ratios'!$V21</f>
        <v>0.99835329090499403</v>
      </c>
      <c r="BE21" s="5">
        <f>'Implied Productivity Ratios'!BF21/'Implied Productivity Ratios'!$V21</f>
        <v>0.99889988711267053</v>
      </c>
      <c r="BF21" s="5">
        <f>'Implied Productivity Ratios'!BG21/'Implied Productivity Ratios'!$V21</f>
        <v>0.99944648332034702</v>
      </c>
      <c r="BG21" s="5">
        <f>'Implied Productivity Ratios'!BH21/'Implied Productivity Ratios'!$V21</f>
        <v>0.99999307952802352</v>
      </c>
    </row>
    <row r="22" spans="2:59">
      <c r="B22">
        <v>324</v>
      </c>
      <c r="C22" t="s">
        <v>71</v>
      </c>
      <c r="D22">
        <f>'Implied Productivity Ratios'!E22/'Implied Productivity Ratios'!$V22</f>
        <v>1.5967102792099019</v>
      </c>
      <c r="E22">
        <f>'Implied Productivity Ratios'!F22/'Implied Productivity Ratios'!$V22</f>
        <v>1.3845229451745826</v>
      </c>
      <c r="F22">
        <f>'Implied Productivity Ratios'!G22/'Implied Productivity Ratios'!$V22</f>
        <v>1.3912781568915997</v>
      </c>
      <c r="G22">
        <f>'Implied Productivity Ratios'!H22/'Implied Productivity Ratios'!$V22</f>
        <v>1.4903189882703078</v>
      </c>
      <c r="H22">
        <f>'Implied Productivity Ratios'!I22/'Implied Productivity Ratios'!$V22</f>
        <v>1.434172040107683</v>
      </c>
      <c r="I22">
        <f>'Implied Productivity Ratios'!J22/'Implied Productivity Ratios'!$V22</f>
        <v>1.2531185470374742</v>
      </c>
      <c r="J22">
        <f>'Implied Productivity Ratios'!K22/'Implied Productivity Ratios'!$V22</f>
        <v>1.0502568708978604</v>
      </c>
      <c r="K22">
        <f>'Implied Productivity Ratios'!L22/'Implied Productivity Ratios'!$V22</f>
        <v>0.95598689394203806</v>
      </c>
      <c r="L22">
        <f>'Implied Productivity Ratios'!M22/'Implied Productivity Ratios'!$V22</f>
        <v>1.0421855843987933</v>
      </c>
      <c r="M22">
        <f>'Implied Productivity Ratios'!N22/'Implied Productivity Ratios'!$V22</f>
        <v>1.1181431178958541</v>
      </c>
      <c r="N22">
        <f>'Implied Productivity Ratios'!O22/'Implied Productivity Ratios'!$V22</f>
        <v>1.0962746846994689</v>
      </c>
      <c r="O22">
        <f>'Implied Productivity Ratios'!P22/'Implied Productivity Ratios'!$V22</f>
        <v>0.92977676288250888</v>
      </c>
      <c r="P22">
        <f>'Implied Productivity Ratios'!Q22/'Implied Productivity Ratios'!$V22</f>
        <v>1.0683968270993858</v>
      </c>
      <c r="Q22">
        <f>'Implied Productivity Ratios'!R22/'Implied Productivity Ratios'!$V22</f>
        <v>1.1228301430285288</v>
      </c>
      <c r="R22">
        <f>'Implied Productivity Ratios'!S22/'Implied Productivity Ratios'!$V22</f>
        <v>1.2856992030475993</v>
      </c>
      <c r="S22">
        <f>'Implied Productivity Ratios'!T22/'Implied Productivity Ratios'!$V22</f>
        <v>0.86662761798276522</v>
      </c>
      <c r="T22">
        <f>'Implied Productivity Ratios'!U22/'Implied Productivity Ratios'!$V22</f>
        <v>1.1436483098687653</v>
      </c>
      <c r="U22">
        <f>'Implied Productivity Ratios'!V22/'Implied Productivity Ratios'!$V22</f>
        <v>1</v>
      </c>
      <c r="V22">
        <f>'Implied Productivity Ratios'!W22/'Implied Productivity Ratios'!$V22</f>
        <v>1.1764182681109894</v>
      </c>
      <c r="W22">
        <f>'Implied Productivity Ratios'!X22/'Implied Productivity Ratios'!$V22</f>
        <v>1.3972415829215363</v>
      </c>
      <c r="X22">
        <f>'Implied Productivity Ratios'!Y22/'Implied Productivity Ratios'!$V22</f>
        <v>1.4599617341410538</v>
      </c>
      <c r="Y22">
        <f>'Implied Productivity Ratios'!Z22/'Implied Productivity Ratios'!$V22</f>
        <v>1.4631222002943627</v>
      </c>
      <c r="Z22">
        <f>'Implied Productivity Ratios'!AA22/'Implied Productivity Ratios'!$V22</f>
        <v>1.4778406784144023</v>
      </c>
      <c r="AA22">
        <f>'Implied Productivity Ratios'!AB22/'Implied Productivity Ratios'!$V22</f>
        <v>1.5237696055211576</v>
      </c>
      <c r="AB22">
        <f>'Implied Productivity Ratios'!AC22/'Implied Productivity Ratios'!$V22</f>
        <v>1.5831714079817278</v>
      </c>
      <c r="AC22">
        <f>'Implied Productivity Ratios'!AD22/'Implied Productivity Ratios'!$V22</f>
        <v>1.6460720046802031</v>
      </c>
      <c r="AD22">
        <f>'Implied Productivity Ratios'!AE22/'Implied Productivity Ratios'!$V22</f>
        <v>1.7107021841218859</v>
      </c>
      <c r="AE22">
        <f>'Implied Productivity Ratios'!AF22/'Implied Productivity Ratios'!$V22</f>
        <v>1.7719137419568991</v>
      </c>
      <c r="AF22">
        <f>'Implied Productivity Ratios'!AG22/'Implied Productivity Ratios'!$V22</f>
        <v>1.8358587802685753</v>
      </c>
      <c r="AG22">
        <f>'Implied Productivity Ratios'!AH22/'Implied Productivity Ratios'!$V22</f>
        <v>1.8963307836030485</v>
      </c>
      <c r="AH22">
        <f>'Implied Productivity Ratios'!AI22/'Implied Productivity Ratios'!$V22</f>
        <v>1.9486741406062476</v>
      </c>
      <c r="AI22">
        <f>'Implied Productivity Ratios'!AJ22/'Implied Productivity Ratios'!$V22</f>
        <v>2.0011165543955629</v>
      </c>
      <c r="AJ22">
        <f>'Implied Productivity Ratios'!AK22/'Implied Productivity Ratios'!$V22</f>
        <v>2.0571380365671734</v>
      </c>
      <c r="AK22">
        <f>'Implied Productivity Ratios'!AL22/'Implied Productivity Ratios'!$V22</f>
        <v>2.1153894173615124</v>
      </c>
      <c r="AL22">
        <f>'Implied Productivity Ratios'!AM22/'Implied Productivity Ratios'!$V22</f>
        <v>2.1762753633724898</v>
      </c>
      <c r="AM22">
        <f>'Implied Productivity Ratios'!AN22/'Implied Productivity Ratios'!$V22</f>
        <v>2.2345625878572308</v>
      </c>
      <c r="AN22">
        <f>'Implied Productivity Ratios'!AO22/'Implied Productivity Ratios'!$V22</f>
        <v>2.2891764715819476</v>
      </c>
      <c r="AO22">
        <f>'Implied Productivity Ratios'!AP22/'Implied Productivity Ratios'!$V22</f>
        <v>2.3434604205149112</v>
      </c>
      <c r="AP22">
        <f>'Implied Productivity Ratios'!AQ22/'Implied Productivity Ratios'!$V22</f>
        <v>2.4001679009597803</v>
      </c>
      <c r="AQ22">
        <f>'Implied Productivity Ratios'!AR22/'Implied Productivity Ratios'!$V22</f>
        <v>2.4594276894227827</v>
      </c>
      <c r="AR22">
        <f>'Implied Productivity Ratios'!AS22/'Implied Productivity Ratios'!$V22</f>
        <v>2.5175708787052447</v>
      </c>
      <c r="AS22">
        <f>'Implied Productivity Ratios'!AT22/'Implied Productivity Ratios'!$V22</f>
        <v>2.5686593550337604</v>
      </c>
      <c r="AT22">
        <f>'Implied Productivity Ratios'!AU22/'Implied Productivity Ratios'!$V22</f>
        <v>2.6208633388879563</v>
      </c>
      <c r="AU22">
        <f>'Implied Productivity Ratios'!AV22/'Implied Productivity Ratios'!$V22</f>
        <v>2.6780066999896284</v>
      </c>
      <c r="AV22">
        <f>'Implied Productivity Ratios'!AW22/'Implied Productivity Ratios'!$V22</f>
        <v>2.7368960256664558</v>
      </c>
      <c r="AW22">
        <f>'Implied Productivity Ratios'!AX22/'Implied Productivity Ratios'!$V22</f>
        <v>2.7969101176126925</v>
      </c>
      <c r="AX22">
        <f>'Implied Productivity Ratios'!AY22/'Implied Productivity Ratios'!$V22</f>
        <v>2.8563314814907907</v>
      </c>
      <c r="AY22">
        <f>'Implied Productivity Ratios'!AZ22/'Implied Productivity Ratios'!$V22</f>
        <v>2.9150849224798576</v>
      </c>
      <c r="AZ22">
        <f>'Implied Productivity Ratios'!BA22/'Implied Productivity Ratios'!$V22</f>
        <v>2.9724151047050733</v>
      </c>
      <c r="BA22">
        <f>'Implied Productivity Ratios'!BB22/'Implied Productivity Ratios'!$V22</f>
        <v>3.0298253146478404</v>
      </c>
      <c r="BB22">
        <f>'Implied Productivity Ratios'!BC22/'Implied Productivity Ratios'!$V22</f>
        <v>3.0896103907528207</v>
      </c>
      <c r="BC22" s="5">
        <f>'Implied Productivity Ratios'!BD22/'Implied Productivity Ratios'!$V22</f>
        <v>3.1481504453808462</v>
      </c>
      <c r="BD22" s="5">
        <f>'Implied Productivity Ratios'!BE22/'Implied Productivity Ratios'!$V22</f>
        <v>3.2066905000088721</v>
      </c>
      <c r="BE22" s="5">
        <f>'Implied Productivity Ratios'!BF22/'Implied Productivity Ratios'!$V22</f>
        <v>3.2652305546368976</v>
      </c>
      <c r="BF22" s="5">
        <f>'Implied Productivity Ratios'!BG22/'Implied Productivity Ratios'!$V22</f>
        <v>3.3237706092649235</v>
      </c>
      <c r="BG22" s="5">
        <f>'Implied Productivity Ratios'!BH22/'Implied Productivity Ratios'!$V22</f>
        <v>3.382310663892949</v>
      </c>
    </row>
    <row r="23" spans="2:59">
      <c r="B23">
        <v>325</v>
      </c>
      <c r="C23" t="s">
        <v>75</v>
      </c>
      <c r="D23">
        <f>'Implied Productivity Ratios'!E23/'Implied Productivity Ratios'!$V23</f>
        <v>0.82162760513662592</v>
      </c>
      <c r="E23">
        <f>'Implied Productivity Ratios'!F23/'Implied Productivity Ratios'!$V23</f>
        <v>0.92751302233614752</v>
      </c>
      <c r="F23">
        <f>'Implied Productivity Ratios'!G23/'Implied Productivity Ratios'!$V23</f>
        <v>0.98995004108041007</v>
      </c>
      <c r="G23">
        <f>'Implied Productivity Ratios'!H23/'Implied Productivity Ratios'!$V23</f>
        <v>0.9101008146684656</v>
      </c>
      <c r="H23">
        <f>'Implied Productivity Ratios'!I23/'Implied Productivity Ratios'!$V23</f>
        <v>0.95927452938574531</v>
      </c>
      <c r="I23">
        <f>'Implied Productivity Ratios'!J23/'Implied Productivity Ratios'!$V23</f>
        <v>1.0398877177547103</v>
      </c>
      <c r="J23">
        <f>'Implied Productivity Ratios'!K23/'Implied Productivity Ratios'!$V23</f>
        <v>0.97591058716142476</v>
      </c>
      <c r="K23">
        <f>'Implied Productivity Ratios'!L23/'Implied Productivity Ratios'!$V23</f>
        <v>0.92087490532856686</v>
      </c>
      <c r="L23">
        <f>'Implied Productivity Ratios'!M23/'Implied Productivity Ratios'!$V23</f>
        <v>0.94128421570708198</v>
      </c>
      <c r="M23">
        <f>'Implied Productivity Ratios'!N23/'Implied Productivity Ratios'!$V23</f>
        <v>0.91317678318952333</v>
      </c>
      <c r="N23">
        <f>'Implied Productivity Ratios'!O23/'Implied Productivity Ratios'!$V23</f>
        <v>0.87309362915673994</v>
      </c>
      <c r="O23">
        <f>'Implied Productivity Ratios'!P23/'Implied Productivity Ratios'!$V23</f>
        <v>0.89250669473217381</v>
      </c>
      <c r="P23">
        <f>'Implied Productivity Ratios'!Q23/'Implied Productivity Ratios'!$V23</f>
        <v>0.86427587879680989</v>
      </c>
      <c r="Q23">
        <f>'Implied Productivity Ratios'!R23/'Implied Productivity Ratios'!$V23</f>
        <v>0.95534289358714497</v>
      </c>
      <c r="R23">
        <f>'Implied Productivity Ratios'!S23/'Implied Productivity Ratios'!$V23</f>
        <v>0.8915204473393159</v>
      </c>
      <c r="S23">
        <f>'Implied Productivity Ratios'!T23/'Implied Productivity Ratios'!$V23</f>
        <v>0.9452959712936041</v>
      </c>
      <c r="T23">
        <f>'Implied Productivity Ratios'!U23/'Implied Productivity Ratios'!$V23</f>
        <v>0.98292469975569186</v>
      </c>
      <c r="U23">
        <f>'Implied Productivity Ratios'!V23/'Implied Productivity Ratios'!$V23</f>
        <v>1</v>
      </c>
      <c r="V23">
        <f>'Implied Productivity Ratios'!W23/'Implied Productivity Ratios'!$V23</f>
        <v>1.0204693004526495</v>
      </c>
      <c r="W23">
        <f>'Implied Productivity Ratios'!X23/'Implied Productivity Ratios'!$V23</f>
        <v>1.1013750000622096</v>
      </c>
      <c r="X23">
        <f>'Implied Productivity Ratios'!Y23/'Implied Productivity Ratios'!$V23</f>
        <v>1.1270637635045533</v>
      </c>
      <c r="Y23">
        <f>'Implied Productivity Ratios'!Z23/'Implied Productivity Ratios'!$V23</f>
        <v>1.1518036122259023</v>
      </c>
      <c r="Z23">
        <f>'Implied Productivity Ratios'!AA23/'Implied Productivity Ratios'!$V23</f>
        <v>1.1789611726056293</v>
      </c>
      <c r="AA23">
        <f>'Implied Productivity Ratios'!AB23/'Implied Productivity Ratios'!$V23</f>
        <v>1.2130730201467197</v>
      </c>
      <c r="AB23">
        <f>'Implied Productivity Ratios'!AC23/'Implied Productivity Ratios'!$V23</f>
        <v>1.2524394888275983</v>
      </c>
      <c r="AC23">
        <f>'Implied Productivity Ratios'!AD23/'Implied Productivity Ratios'!$V23</f>
        <v>1.2943446759620829</v>
      </c>
      <c r="AD23">
        <f>'Implied Productivity Ratios'!AE23/'Implied Productivity Ratios'!$V23</f>
        <v>1.3364254410450087</v>
      </c>
      <c r="AE23">
        <f>'Implied Productivity Ratios'!AF23/'Implied Productivity Ratios'!$V23</f>
        <v>1.3803311595444787</v>
      </c>
      <c r="AF23">
        <f>'Implied Productivity Ratios'!AG23/'Implied Productivity Ratios'!$V23</f>
        <v>1.424114553440327</v>
      </c>
      <c r="AG23">
        <f>'Implied Productivity Ratios'!AH23/'Implied Productivity Ratios'!$V23</f>
        <v>1.4666767504368985</v>
      </c>
      <c r="AH23">
        <f>'Implied Productivity Ratios'!AI23/'Implied Productivity Ratios'!$V23</f>
        <v>1.5086338473807721</v>
      </c>
      <c r="AI23">
        <f>'Implied Productivity Ratios'!AJ23/'Implied Productivity Ratios'!$V23</f>
        <v>1.5512900566544678</v>
      </c>
      <c r="AJ23">
        <f>'Implied Productivity Ratios'!AK23/'Implied Productivity Ratios'!$V23</f>
        <v>1.594382391410329</v>
      </c>
      <c r="AK23">
        <f>'Implied Productivity Ratios'!AL23/'Implied Productivity Ratios'!$V23</f>
        <v>1.6366301006972235</v>
      </c>
      <c r="AL23">
        <f>'Implied Productivity Ratios'!AM23/'Implied Productivity Ratios'!$V23</f>
        <v>1.6776815525108877</v>
      </c>
      <c r="AM23">
        <f>'Implied Productivity Ratios'!AN23/'Implied Productivity Ratios'!$V23</f>
        <v>1.7171970463151642</v>
      </c>
      <c r="AN23">
        <f>'Implied Productivity Ratios'!AO23/'Implied Productivity Ratios'!$V23</f>
        <v>1.7549282466561964</v>
      </c>
      <c r="AO23">
        <f>'Implied Productivity Ratios'!AP23/'Implied Productivity Ratios'!$V23</f>
        <v>1.7917853426662111</v>
      </c>
      <c r="AP23">
        <f>'Implied Productivity Ratios'!AQ23/'Implied Productivity Ratios'!$V23</f>
        <v>1.8281322989630044</v>
      </c>
      <c r="AQ23">
        <f>'Implied Productivity Ratios'!AR23/'Implied Productivity Ratios'!$V23</f>
        <v>1.8640009466708163</v>
      </c>
      <c r="AR23">
        <f>'Implied Productivity Ratios'!AS23/'Implied Productivity Ratios'!$V23</f>
        <v>1.8990306852971974</v>
      </c>
      <c r="AS23">
        <f>'Implied Productivity Ratios'!AT23/'Implied Productivity Ratios'!$V23</f>
        <v>1.933896991964966</v>
      </c>
      <c r="AT23">
        <f>'Implied Productivity Ratios'!AU23/'Implied Productivity Ratios'!$V23</f>
        <v>1.9693357866419259</v>
      </c>
      <c r="AU23">
        <f>'Implied Productivity Ratios'!AV23/'Implied Productivity Ratios'!$V23</f>
        <v>2.0048013927815327</v>
      </c>
      <c r="AV23">
        <f>'Implied Productivity Ratios'!AW23/'Implied Productivity Ratios'!$V23</f>
        <v>2.0395587142729008</v>
      </c>
      <c r="AW23">
        <f>'Implied Productivity Ratios'!AX23/'Implied Productivity Ratios'!$V23</f>
        <v>2.0747097799996026</v>
      </c>
      <c r="AX23">
        <f>'Implied Productivity Ratios'!AY23/'Implied Productivity Ratios'!$V23</f>
        <v>2.1088560420804141</v>
      </c>
      <c r="AY23">
        <f>'Implied Productivity Ratios'!AZ23/'Implied Productivity Ratios'!$V23</f>
        <v>2.1426678417270204</v>
      </c>
      <c r="AZ23">
        <f>'Implied Productivity Ratios'!BA23/'Implied Productivity Ratios'!$V23</f>
        <v>2.1762336325451228</v>
      </c>
      <c r="BA23">
        <f>'Implied Productivity Ratios'!BB23/'Implied Productivity Ratios'!$V23</f>
        <v>2.2109831262509805</v>
      </c>
      <c r="BB23">
        <f>'Implied Productivity Ratios'!BC23/'Implied Productivity Ratios'!$V23</f>
        <v>2.2471929521265088</v>
      </c>
      <c r="BC23" s="5">
        <f>'Implied Productivity Ratios'!BD23/'Implied Productivity Ratios'!$V23</f>
        <v>2.2816895865518902</v>
      </c>
      <c r="BD23" s="5">
        <f>'Implied Productivity Ratios'!BE23/'Implied Productivity Ratios'!$V23</f>
        <v>2.3161862209772717</v>
      </c>
      <c r="BE23" s="5">
        <f>'Implied Productivity Ratios'!BF23/'Implied Productivity Ratios'!$V23</f>
        <v>2.3506828554026531</v>
      </c>
      <c r="BF23" s="5">
        <f>'Implied Productivity Ratios'!BG23/'Implied Productivity Ratios'!$V23</f>
        <v>2.3851794898280345</v>
      </c>
      <c r="BG23" s="5">
        <f>'Implied Productivity Ratios'!BH23/'Implied Productivity Ratios'!$V23</f>
        <v>2.4196761242534159</v>
      </c>
    </row>
    <row r="24" spans="2:59">
      <c r="B24">
        <v>326</v>
      </c>
      <c r="C24" t="s">
        <v>79</v>
      </c>
      <c r="D24">
        <f>'Implied Productivity Ratios'!E24/'Implied Productivity Ratios'!$V24</f>
        <v>1.0627073443605544</v>
      </c>
      <c r="E24">
        <f>'Implied Productivity Ratios'!F24/'Implied Productivity Ratios'!$V24</f>
        <v>1.0106348355224881</v>
      </c>
      <c r="F24">
        <f>'Implied Productivity Ratios'!G24/'Implied Productivity Ratios'!$V24</f>
        <v>1.0759942288153408</v>
      </c>
      <c r="G24">
        <f>'Implied Productivity Ratios'!H24/'Implied Productivity Ratios'!$V24</f>
        <v>0.97247585335749342</v>
      </c>
      <c r="H24">
        <f>'Implied Productivity Ratios'!I24/'Implied Productivity Ratios'!$V24</f>
        <v>1.1230075398312045</v>
      </c>
      <c r="I24">
        <f>'Implied Productivity Ratios'!J24/'Implied Productivity Ratios'!$V24</f>
        <v>1.1988458153236357</v>
      </c>
      <c r="J24">
        <f>'Implied Productivity Ratios'!K24/'Implied Productivity Ratios'!$V24</f>
        <v>1.1591856289067388</v>
      </c>
      <c r="K24">
        <f>'Implied Productivity Ratios'!L24/'Implied Productivity Ratios'!$V24</f>
        <v>1.1692759224084168</v>
      </c>
      <c r="L24">
        <f>'Implied Productivity Ratios'!M24/'Implied Productivity Ratios'!$V24</f>
        <v>1.1505793473323354</v>
      </c>
      <c r="M24">
        <f>'Implied Productivity Ratios'!N24/'Implied Productivity Ratios'!$V24</f>
        <v>1.1178957593022307</v>
      </c>
      <c r="N24">
        <f>'Implied Productivity Ratios'!O24/'Implied Productivity Ratios'!$V24</f>
        <v>1.2095221941440124</v>
      </c>
      <c r="O24">
        <f>'Implied Productivity Ratios'!P24/'Implied Productivity Ratios'!$V24</f>
        <v>1.1966331872871359</v>
      </c>
      <c r="P24">
        <f>'Implied Productivity Ratios'!Q24/'Implied Productivity Ratios'!$V24</f>
        <v>1.1836636955495832</v>
      </c>
      <c r="Q24">
        <f>'Implied Productivity Ratios'!R24/'Implied Productivity Ratios'!$V24</f>
        <v>1.2042362596019995</v>
      </c>
      <c r="R24">
        <f>'Implied Productivity Ratios'!S24/'Implied Productivity Ratios'!$V24</f>
        <v>1.2239912689011172</v>
      </c>
      <c r="S24">
        <f>'Implied Productivity Ratios'!T24/'Implied Productivity Ratios'!$V24</f>
        <v>1.2175904396004986</v>
      </c>
      <c r="T24">
        <f>'Implied Productivity Ratios'!U24/'Implied Productivity Ratios'!$V24</f>
        <v>1.1801935208356347</v>
      </c>
      <c r="U24">
        <f>'Implied Productivity Ratios'!V24/'Implied Productivity Ratios'!$V24</f>
        <v>1</v>
      </c>
      <c r="V24">
        <f>'Implied Productivity Ratios'!W24/'Implied Productivity Ratios'!$V24</f>
        <v>0.9349240502685694</v>
      </c>
      <c r="W24">
        <f>'Implied Productivity Ratios'!X24/'Implied Productivity Ratios'!$V24</f>
        <v>0.94369243231846656</v>
      </c>
      <c r="X24">
        <f>'Implied Productivity Ratios'!Y24/'Implied Productivity Ratios'!$V24</f>
        <v>0.96133019920361773</v>
      </c>
      <c r="Y24">
        <f>'Implied Productivity Ratios'!Z24/'Implied Productivity Ratios'!$V24</f>
        <v>0.98987057232852904</v>
      </c>
      <c r="Z24">
        <f>'Implied Productivity Ratios'!AA24/'Implied Productivity Ratios'!$V24</f>
        <v>1.0263174716029548</v>
      </c>
      <c r="AA24">
        <f>'Implied Productivity Ratios'!AB24/'Implied Productivity Ratios'!$V24</f>
        <v>1.0735868057852886</v>
      </c>
      <c r="AB24">
        <f>'Implied Productivity Ratios'!AC24/'Implied Productivity Ratios'!$V24</f>
        <v>1.1270877982784109</v>
      </c>
      <c r="AC24">
        <f>'Implied Productivity Ratios'!AD24/'Implied Productivity Ratios'!$V24</f>
        <v>1.182925858243647</v>
      </c>
      <c r="AD24">
        <f>'Implied Productivity Ratios'!AE24/'Implied Productivity Ratios'!$V24</f>
        <v>1.2366054121168841</v>
      </c>
      <c r="AE24">
        <f>'Implied Productivity Ratios'!AF24/'Implied Productivity Ratios'!$V24</f>
        <v>1.2894782855003921</v>
      </c>
      <c r="AF24">
        <f>'Implied Productivity Ratios'!AG24/'Implied Productivity Ratios'!$V24</f>
        <v>1.3426704170078969</v>
      </c>
      <c r="AG24">
        <f>'Implied Productivity Ratios'!AH24/'Implied Productivity Ratios'!$V24</f>
        <v>1.3949049462076089</v>
      </c>
      <c r="AH24">
        <f>'Implied Productivity Ratios'!AI24/'Implied Productivity Ratios'!$V24</f>
        <v>1.4474305733375752</v>
      </c>
      <c r="AI24">
        <f>'Implied Productivity Ratios'!AJ24/'Implied Productivity Ratios'!$V24</f>
        <v>1.5018182361679775</v>
      </c>
      <c r="AJ24">
        <f>'Implied Productivity Ratios'!AK24/'Implied Productivity Ratios'!$V24</f>
        <v>1.55832070574628</v>
      </c>
      <c r="AK24">
        <f>'Implied Productivity Ratios'!AL24/'Implied Productivity Ratios'!$V24</f>
        <v>1.615733119188129</v>
      </c>
      <c r="AL24">
        <f>'Implied Productivity Ratios'!AM24/'Implied Productivity Ratios'!$V24</f>
        <v>1.6737254399831352</v>
      </c>
      <c r="AM24">
        <f>'Implied Productivity Ratios'!AN24/'Implied Productivity Ratios'!$V24</f>
        <v>1.7310826438628359</v>
      </c>
      <c r="AN24">
        <f>'Implied Productivity Ratios'!AO24/'Implied Productivity Ratios'!$V24</f>
        <v>1.787462701046084</v>
      </c>
      <c r="AO24">
        <f>'Implied Productivity Ratios'!AP24/'Implied Productivity Ratios'!$V24</f>
        <v>1.8439038811554938</v>
      </c>
      <c r="AP24">
        <f>'Implied Productivity Ratios'!AQ24/'Implied Productivity Ratios'!$V24</f>
        <v>1.9005127030935745</v>
      </c>
      <c r="AQ24">
        <f>'Implied Productivity Ratios'!AR24/'Implied Productivity Ratios'!$V24</f>
        <v>1.9573197687932637</v>
      </c>
      <c r="AR24">
        <f>'Implied Productivity Ratios'!AS24/'Implied Productivity Ratios'!$V24</f>
        <v>2.0149536597053341</v>
      </c>
      <c r="AS24">
        <f>'Implied Productivity Ratios'!AT24/'Implied Productivity Ratios'!$V24</f>
        <v>2.0742410950704353</v>
      </c>
      <c r="AT24">
        <f>'Implied Productivity Ratios'!AU24/'Implied Productivity Ratios'!$V24</f>
        <v>2.136242486607753</v>
      </c>
      <c r="AU24">
        <f>'Implied Productivity Ratios'!AV24/'Implied Productivity Ratios'!$V24</f>
        <v>2.2008588521972174</v>
      </c>
      <c r="AV24">
        <f>'Implied Productivity Ratios'!AW24/'Implied Productivity Ratios'!$V24</f>
        <v>2.2669488106364413</v>
      </c>
      <c r="AW24">
        <f>'Implied Productivity Ratios'!AX24/'Implied Productivity Ratios'!$V24</f>
        <v>2.33551901709825</v>
      </c>
      <c r="AX24">
        <f>'Implied Productivity Ratios'!AY24/'Implied Productivity Ratios'!$V24</f>
        <v>2.4044064611823002</v>
      </c>
      <c r="AY24">
        <f>'Implied Productivity Ratios'!AZ24/'Implied Productivity Ratios'!$V24</f>
        <v>2.4746031121190089</v>
      </c>
      <c r="AZ24">
        <f>'Implied Productivity Ratios'!BA24/'Implied Productivity Ratios'!$V24</f>
        <v>2.5464218911220793</v>
      </c>
      <c r="BA24">
        <f>'Implied Productivity Ratios'!BB24/'Implied Productivity Ratios'!$V24</f>
        <v>2.6217941234259947</v>
      </c>
      <c r="BB24">
        <f>'Implied Productivity Ratios'!BC24/'Implied Productivity Ratios'!$V24</f>
        <v>2.7011162642902482</v>
      </c>
      <c r="BC24" s="5">
        <f>'Implied Productivity Ratios'!BD24/'Implied Productivity Ratios'!$V24</f>
        <v>2.7742357137286477</v>
      </c>
      <c r="BD24" s="5">
        <f>'Implied Productivity Ratios'!BE24/'Implied Productivity Ratios'!$V24</f>
        <v>2.8473551631670477</v>
      </c>
      <c r="BE24" s="5">
        <f>'Implied Productivity Ratios'!BF24/'Implied Productivity Ratios'!$V24</f>
        <v>2.9204746126054473</v>
      </c>
      <c r="BF24" s="5">
        <f>'Implied Productivity Ratios'!BG24/'Implied Productivity Ratios'!$V24</f>
        <v>2.9935940620438468</v>
      </c>
      <c r="BG24" s="5">
        <f>'Implied Productivity Ratios'!BH24/'Implied Productivity Ratios'!$V24</f>
        <v>3.0667135114822468</v>
      </c>
    </row>
    <row r="25" spans="2:59">
      <c r="B25">
        <v>327</v>
      </c>
      <c r="C25" t="s">
        <v>83</v>
      </c>
      <c r="D25">
        <f>'Implied Productivity Ratios'!E25/'Implied Productivity Ratios'!$V25</f>
        <v>0.92264853736080255</v>
      </c>
      <c r="E25">
        <f>'Implied Productivity Ratios'!F25/'Implied Productivity Ratios'!$V25</f>
        <v>0.85173510980089451</v>
      </c>
      <c r="F25">
        <f>'Implied Productivity Ratios'!G25/'Implied Productivity Ratios'!$V25</f>
        <v>0.87444266725561759</v>
      </c>
      <c r="G25">
        <f>'Implied Productivity Ratios'!H25/'Implied Productivity Ratios'!$V25</f>
        <v>0.8900014236380277</v>
      </c>
      <c r="H25">
        <f>'Implied Productivity Ratios'!I25/'Implied Productivity Ratios'!$V25</f>
        <v>0.8507671989549046</v>
      </c>
      <c r="I25">
        <f>'Implied Productivity Ratios'!J25/'Implied Productivity Ratios'!$V25</f>
        <v>0.92801887140446282</v>
      </c>
      <c r="J25">
        <f>'Implied Productivity Ratios'!K25/'Implied Productivity Ratios'!$V25</f>
        <v>0.98506371308041918</v>
      </c>
      <c r="K25">
        <f>'Implied Productivity Ratios'!L25/'Implied Productivity Ratios'!$V25</f>
        <v>1.0341710412319118</v>
      </c>
      <c r="L25">
        <f>'Implied Productivity Ratios'!M25/'Implied Productivity Ratios'!$V25</f>
        <v>1.0776199820860239</v>
      </c>
      <c r="M25">
        <f>'Implied Productivity Ratios'!N25/'Implied Productivity Ratios'!$V25</f>
        <v>1.0485148897546381</v>
      </c>
      <c r="N25">
        <f>'Implied Productivity Ratios'!O25/'Implied Productivity Ratios'!$V25</f>
        <v>1.0082226306832811</v>
      </c>
      <c r="O25">
        <f>'Implied Productivity Ratios'!P25/'Implied Productivity Ratios'!$V25</f>
        <v>0.96253338115545761</v>
      </c>
      <c r="P25">
        <f>'Implied Productivity Ratios'!Q25/'Implied Productivity Ratios'!$V25</f>
        <v>1.006485427943179</v>
      </c>
      <c r="Q25">
        <f>'Implied Productivity Ratios'!R25/'Implied Productivity Ratios'!$V25</f>
        <v>0.98974478263096677</v>
      </c>
      <c r="R25">
        <f>'Implied Productivity Ratios'!S25/'Implied Productivity Ratios'!$V25</f>
        <v>1.027803279873216</v>
      </c>
      <c r="S25">
        <f>'Implied Productivity Ratios'!T25/'Implied Productivity Ratios'!$V25</f>
        <v>1.049988600564878</v>
      </c>
      <c r="T25">
        <f>'Implied Productivity Ratios'!U25/'Implied Productivity Ratios'!$V25</f>
        <v>1.0745881237002748</v>
      </c>
      <c r="U25">
        <f>'Implied Productivity Ratios'!V25/'Implied Productivity Ratios'!$V25</f>
        <v>1</v>
      </c>
      <c r="V25">
        <f>'Implied Productivity Ratios'!W25/'Implied Productivity Ratios'!$V25</f>
        <v>0.89915944062727093</v>
      </c>
      <c r="W25">
        <f>'Implied Productivity Ratios'!X25/'Implied Productivity Ratios'!$V25</f>
        <v>0.85049828552145901</v>
      </c>
      <c r="X25">
        <f>'Implied Productivity Ratios'!Y25/'Implied Productivity Ratios'!$V25</f>
        <v>0.8559987371311959</v>
      </c>
      <c r="Y25">
        <f>'Implied Productivity Ratios'!Z25/'Implied Productivity Ratios'!$V25</f>
        <v>0.86859291803426597</v>
      </c>
      <c r="Z25">
        <f>'Implied Productivity Ratios'!AA25/'Implied Productivity Ratios'!$V25</f>
        <v>0.88367313712356199</v>
      </c>
      <c r="AA25">
        <f>'Implied Productivity Ratios'!AB25/'Implied Productivity Ratios'!$V25</f>
        <v>0.90352474707546315</v>
      </c>
      <c r="AB25">
        <f>'Implied Productivity Ratios'!AC25/'Implied Productivity Ratios'!$V25</f>
        <v>0.92638888439151201</v>
      </c>
      <c r="AC25">
        <f>'Implied Productivity Ratios'!AD25/'Implied Productivity Ratios'!$V25</f>
        <v>0.95025748062564042</v>
      </c>
      <c r="AD25">
        <f>'Implied Productivity Ratios'!AE25/'Implied Productivity Ratios'!$V25</f>
        <v>0.97129166487088792</v>
      </c>
      <c r="AE25">
        <f>'Implied Productivity Ratios'!AF25/'Implied Productivity Ratios'!$V25</f>
        <v>0.99159622439061612</v>
      </c>
      <c r="AF25">
        <f>'Implied Productivity Ratios'!AG25/'Implied Productivity Ratios'!$V25</f>
        <v>1.011608327937122</v>
      </c>
      <c r="AG25">
        <f>'Implied Productivity Ratios'!AH25/'Implied Productivity Ratios'!$V25</f>
        <v>1.0303360279811935</v>
      </c>
      <c r="AH25">
        <f>'Implied Productivity Ratios'!AI25/'Implied Productivity Ratios'!$V25</f>
        <v>1.0492703883495638</v>
      </c>
      <c r="AI25">
        <f>'Implied Productivity Ratios'!AJ25/'Implied Productivity Ratios'!$V25</f>
        <v>1.0698361237221559</v>
      </c>
      <c r="AJ25">
        <f>'Implied Productivity Ratios'!AK25/'Implied Productivity Ratios'!$V25</f>
        <v>1.0915102950867481</v>
      </c>
      <c r="AK25">
        <f>'Implied Productivity Ratios'!AL25/'Implied Productivity Ratios'!$V25</f>
        <v>1.113844618739313</v>
      </c>
      <c r="AL25">
        <f>'Implied Productivity Ratios'!AM25/'Implied Productivity Ratios'!$V25</f>
        <v>1.1370840799214998</v>
      </c>
      <c r="AM25">
        <f>'Implied Productivity Ratios'!AN25/'Implied Productivity Ratios'!$V25</f>
        <v>1.1608483931860007</v>
      </c>
      <c r="AN25">
        <f>'Implied Productivity Ratios'!AO25/'Implied Productivity Ratios'!$V25</f>
        <v>1.185635061127996</v>
      </c>
      <c r="AO25">
        <f>'Implied Productivity Ratios'!AP25/'Implied Productivity Ratios'!$V25</f>
        <v>1.2115372500433297</v>
      </c>
      <c r="AP25">
        <f>'Implied Productivity Ratios'!AQ25/'Implied Productivity Ratios'!$V25</f>
        <v>1.2380771250140719</v>
      </c>
      <c r="AQ25">
        <f>'Implied Productivity Ratios'!AR25/'Implied Productivity Ratios'!$V25</f>
        <v>1.2656754916757096</v>
      </c>
      <c r="AR25">
        <f>'Implied Productivity Ratios'!AS25/'Implied Productivity Ratios'!$V25</f>
        <v>1.294812751214178</v>
      </c>
      <c r="AS25">
        <f>'Implied Productivity Ratios'!AT25/'Implied Productivity Ratios'!$V25</f>
        <v>1.3250055340161102</v>
      </c>
      <c r="AT25">
        <f>'Implied Productivity Ratios'!AU25/'Implied Productivity Ratios'!$V25</f>
        <v>1.356687153513962</v>
      </c>
      <c r="AU25">
        <f>'Implied Productivity Ratios'!AV25/'Implied Productivity Ratios'!$V25</f>
        <v>1.3901440475782119</v>
      </c>
      <c r="AV25">
        <f>'Implied Productivity Ratios'!AW25/'Implied Productivity Ratios'!$V25</f>
        <v>1.4245977110347137</v>
      </c>
      <c r="AW25">
        <f>'Implied Productivity Ratios'!AX25/'Implied Productivity Ratios'!$V25</f>
        <v>1.4603778969567069</v>
      </c>
      <c r="AX25">
        <f>'Implied Productivity Ratios'!AY25/'Implied Productivity Ratios'!$V25</f>
        <v>1.4964105676859223</v>
      </c>
      <c r="AY25">
        <f>'Implied Productivity Ratios'!AZ25/'Implied Productivity Ratios'!$V25</f>
        <v>1.5330984233691618</v>
      </c>
      <c r="AZ25">
        <f>'Implied Productivity Ratios'!BA25/'Implied Productivity Ratios'!$V25</f>
        <v>1.5708491593027165</v>
      </c>
      <c r="BA25">
        <f>'Implied Productivity Ratios'!BB25/'Implied Productivity Ratios'!$V25</f>
        <v>1.6100934170459098</v>
      </c>
      <c r="BB25">
        <f>'Implied Productivity Ratios'!BC25/'Implied Productivity Ratios'!$V25</f>
        <v>1.6503684153838614</v>
      </c>
      <c r="BC25" s="5">
        <f>'Implied Productivity Ratios'!BD25/'Implied Productivity Ratios'!$V25</f>
        <v>1.6883665190692922</v>
      </c>
      <c r="BD25" s="5">
        <f>'Implied Productivity Ratios'!BE25/'Implied Productivity Ratios'!$V25</f>
        <v>1.7263646227547231</v>
      </c>
      <c r="BE25" s="5">
        <f>'Implied Productivity Ratios'!BF25/'Implied Productivity Ratios'!$V25</f>
        <v>1.764362726440154</v>
      </c>
      <c r="BF25" s="5">
        <f>'Implied Productivity Ratios'!BG25/'Implied Productivity Ratios'!$V25</f>
        <v>1.8023608301255849</v>
      </c>
      <c r="BG25" s="5">
        <f>'Implied Productivity Ratios'!BH25/'Implied Productivity Ratios'!$V25</f>
        <v>1.8403589338110158</v>
      </c>
    </row>
    <row r="26" spans="2:59">
      <c r="B26">
        <v>331</v>
      </c>
      <c r="C26" t="s">
        <v>87</v>
      </c>
      <c r="D26">
        <f>'Implied Productivity Ratios'!E26/'Implied Productivity Ratios'!$V26</f>
        <v>0.45429861112049602</v>
      </c>
      <c r="E26">
        <f>'Implied Productivity Ratios'!F26/'Implied Productivity Ratios'!$V26</f>
        <v>0.41350639147300827</v>
      </c>
      <c r="F26">
        <f>'Implied Productivity Ratios'!G26/'Implied Productivity Ratios'!$V26</f>
        <v>0.41861313218882262</v>
      </c>
      <c r="G26">
        <f>'Implied Productivity Ratios'!H26/'Implied Productivity Ratios'!$V26</f>
        <v>0.44878745850390672</v>
      </c>
      <c r="H26">
        <f>'Implied Productivity Ratios'!I26/'Implied Productivity Ratios'!$V26</f>
        <v>0.52629720223259036</v>
      </c>
      <c r="I26">
        <f>'Implied Productivity Ratios'!J26/'Implied Productivity Ratios'!$V26</f>
        <v>0.53867654879348492</v>
      </c>
      <c r="J26">
        <f>'Implied Productivity Ratios'!K26/'Implied Productivity Ratios'!$V26</f>
        <v>0.55858250852320457</v>
      </c>
      <c r="K26">
        <f>'Implied Productivity Ratios'!L26/'Implied Productivity Ratios'!$V26</f>
        <v>0.63734966426782891</v>
      </c>
      <c r="L26">
        <f>'Implied Productivity Ratios'!M26/'Implied Productivity Ratios'!$V26</f>
        <v>0.69712674329929591</v>
      </c>
      <c r="M26">
        <f>'Implied Productivity Ratios'!N26/'Implied Productivity Ratios'!$V26</f>
        <v>0.68284750583861042</v>
      </c>
      <c r="N26">
        <f>'Implied Productivity Ratios'!O26/'Implied Productivity Ratios'!$V26</f>
        <v>0.76107543525307164</v>
      </c>
      <c r="O26">
        <f>'Implied Productivity Ratios'!P26/'Implied Productivity Ratios'!$V26</f>
        <v>0.84898576569755235</v>
      </c>
      <c r="P26">
        <f>'Implied Productivity Ratios'!Q26/'Implied Productivity Ratios'!$V26</f>
        <v>0.7723006401197362</v>
      </c>
      <c r="Q26">
        <f>'Implied Productivity Ratios'!R26/'Implied Productivity Ratios'!$V26</f>
        <v>0.75536260380919107</v>
      </c>
      <c r="R26">
        <f>'Implied Productivity Ratios'!S26/'Implied Productivity Ratios'!$V26</f>
        <v>0.82870616798887575</v>
      </c>
      <c r="S26">
        <f>'Implied Productivity Ratios'!T26/'Implied Productivity Ratios'!$V26</f>
        <v>0.97609735088551819</v>
      </c>
      <c r="T26">
        <f>'Implied Productivity Ratios'!U26/'Implied Productivity Ratios'!$V26</f>
        <v>0.90095545086192841</v>
      </c>
      <c r="U26">
        <f>'Implied Productivity Ratios'!V26/'Implied Productivity Ratios'!$V26</f>
        <v>1</v>
      </c>
      <c r="V26">
        <f>'Implied Productivity Ratios'!W26/'Implied Productivity Ratios'!$V26</f>
        <v>1.2188015352158532</v>
      </c>
      <c r="W26">
        <f>'Implied Productivity Ratios'!X26/'Implied Productivity Ratios'!$V26</f>
        <v>1.2201119686053665</v>
      </c>
      <c r="X26">
        <f>'Implied Productivity Ratios'!Y26/'Implied Productivity Ratios'!$V26</f>
        <v>1.2908342722934878</v>
      </c>
      <c r="Y26">
        <f>'Implied Productivity Ratios'!Z26/'Implied Productivity Ratios'!$V26</f>
        <v>1.3330964055933778</v>
      </c>
      <c r="Z26">
        <f>'Implied Productivity Ratios'!AA26/'Implied Productivity Ratios'!$V26</f>
        <v>1.3980398991067466</v>
      </c>
      <c r="AA26">
        <f>'Implied Productivity Ratios'!AB26/'Implied Productivity Ratios'!$V26</f>
        <v>1.4796048992278032</v>
      </c>
      <c r="AB26">
        <f>'Implied Productivity Ratios'!AC26/'Implied Productivity Ratios'!$V26</f>
        <v>1.5661058904016303</v>
      </c>
      <c r="AC26">
        <f>'Implied Productivity Ratios'!AD26/'Implied Productivity Ratios'!$V26</f>
        <v>1.6538408492456642</v>
      </c>
      <c r="AD26">
        <f>'Implied Productivity Ratios'!AE26/'Implied Productivity Ratios'!$V26</f>
        <v>1.740309142538623</v>
      </c>
      <c r="AE26">
        <f>'Implied Productivity Ratios'!AF26/'Implied Productivity Ratios'!$V26</f>
        <v>1.8263035319498997</v>
      </c>
      <c r="AF26">
        <f>'Implied Productivity Ratios'!AG26/'Implied Productivity Ratios'!$V26</f>
        <v>1.9127824518111449</v>
      </c>
      <c r="AG26">
        <f>'Implied Productivity Ratios'!AH26/'Implied Productivity Ratios'!$V26</f>
        <v>1.9982654881522119</v>
      </c>
      <c r="AH26">
        <f>'Implied Productivity Ratios'!AI26/'Implied Productivity Ratios'!$V26</f>
        <v>2.083355540035388</v>
      </c>
      <c r="AI26">
        <f>'Implied Productivity Ratios'!AJ26/'Implied Productivity Ratios'!$V26</f>
        <v>2.1743097049492004</v>
      </c>
      <c r="AJ26">
        <f>'Implied Productivity Ratios'!AK26/'Implied Productivity Ratios'!$V26</f>
        <v>2.2726054505055084</v>
      </c>
      <c r="AK26">
        <f>'Implied Productivity Ratios'!AL26/'Implied Productivity Ratios'!$V26</f>
        <v>2.377539369346644</v>
      </c>
      <c r="AL26">
        <f>'Implied Productivity Ratios'!AM26/'Implied Productivity Ratios'!$V26</f>
        <v>2.4869242789565109</v>
      </c>
      <c r="AM26">
        <f>'Implied Productivity Ratios'!AN26/'Implied Productivity Ratios'!$V26</f>
        <v>2.6000412366395462</v>
      </c>
      <c r="AN26">
        <f>'Implied Productivity Ratios'!AO26/'Implied Productivity Ratios'!$V26</f>
        <v>2.7149778668823106</v>
      </c>
      <c r="AO26">
        <f>'Implied Productivity Ratios'!AP26/'Implied Productivity Ratios'!$V26</f>
        <v>2.8370363932350364</v>
      </c>
      <c r="AP26">
        <f>'Implied Productivity Ratios'!AQ26/'Implied Productivity Ratios'!$V26</f>
        <v>2.9705303760095534</v>
      </c>
      <c r="AQ26">
        <f>'Implied Productivity Ratios'!AR26/'Implied Productivity Ratios'!$V26</f>
        <v>3.1148886853324256</v>
      </c>
      <c r="AR26">
        <f>'Implied Productivity Ratios'!AS26/'Implied Productivity Ratios'!$V26</f>
        <v>3.2674918902005854</v>
      </c>
      <c r="AS26">
        <f>'Implied Productivity Ratios'!AT26/'Implied Productivity Ratios'!$V26</f>
        <v>3.4288365562879162</v>
      </c>
      <c r="AT26">
        <f>'Implied Productivity Ratios'!AU26/'Implied Productivity Ratios'!$V26</f>
        <v>3.6032211558405041</v>
      </c>
      <c r="AU26">
        <f>'Implied Productivity Ratios'!AV26/'Implied Productivity Ratios'!$V26</f>
        <v>3.7918771358057604</v>
      </c>
      <c r="AV26">
        <f>'Implied Productivity Ratios'!AW26/'Implied Productivity Ratios'!$V26</f>
        <v>3.992433939702325</v>
      </c>
      <c r="AW26">
        <f>'Implied Productivity Ratios'!AX26/'Implied Productivity Ratios'!$V26</f>
        <v>4.2040428146369111</v>
      </c>
      <c r="AX26">
        <f>'Implied Productivity Ratios'!AY26/'Implied Productivity Ratios'!$V26</f>
        <v>4.4261169771799969</v>
      </c>
      <c r="AY26">
        <f>'Implied Productivity Ratios'!AZ26/'Implied Productivity Ratios'!$V26</f>
        <v>4.6625809311911794</v>
      </c>
      <c r="AZ26">
        <f>'Implied Productivity Ratios'!BA26/'Implied Productivity Ratios'!$V26</f>
        <v>4.9163018192794681</v>
      </c>
      <c r="BA26">
        <f>'Implied Productivity Ratios'!BB26/'Implied Productivity Ratios'!$V26</f>
        <v>5.1892333751771433</v>
      </c>
      <c r="BB26">
        <f>'Implied Productivity Ratios'!BC26/'Implied Productivity Ratios'!$V26</f>
        <v>5.4814099267249272</v>
      </c>
      <c r="BC26" s="5">
        <f>'Implied Productivity Ratios'!BD26/'Implied Productivity Ratios'!$V26</f>
        <v>5.7368833491425315</v>
      </c>
      <c r="BD26" s="5">
        <f>'Implied Productivity Ratios'!BE26/'Implied Productivity Ratios'!$V26</f>
        <v>5.9923567715601349</v>
      </c>
      <c r="BE26" s="5">
        <f>'Implied Productivity Ratios'!BF26/'Implied Productivity Ratios'!$V26</f>
        <v>6.2478301939777383</v>
      </c>
      <c r="BF26" s="5">
        <f>'Implied Productivity Ratios'!BG26/'Implied Productivity Ratios'!$V26</f>
        <v>6.5033036163953426</v>
      </c>
      <c r="BG26" s="5">
        <f>'Implied Productivity Ratios'!BH26/'Implied Productivity Ratios'!$V26</f>
        <v>6.758777038812946</v>
      </c>
    </row>
    <row r="27" spans="2:59">
      <c r="B27">
        <v>332</v>
      </c>
      <c r="C27" t="s">
        <v>91</v>
      </c>
      <c r="D27">
        <f>'Implied Productivity Ratios'!E27/'Implied Productivity Ratios'!$V27</f>
        <v>1.1003718508559626</v>
      </c>
      <c r="E27">
        <f>'Implied Productivity Ratios'!F27/'Implied Productivity Ratios'!$V27</f>
        <v>1.1149796620529604</v>
      </c>
      <c r="F27">
        <f>'Implied Productivity Ratios'!G27/'Implied Productivity Ratios'!$V27</f>
        <v>1.1555899538274754</v>
      </c>
      <c r="G27">
        <f>'Implied Productivity Ratios'!H27/'Implied Productivity Ratios'!$V27</f>
        <v>1.1161251442886722</v>
      </c>
      <c r="H27">
        <f>'Implied Productivity Ratios'!I27/'Implied Productivity Ratios'!$V27</f>
        <v>0.98972888518100932</v>
      </c>
      <c r="I27">
        <f>'Implied Productivity Ratios'!J27/'Implied Productivity Ratios'!$V27</f>
        <v>1.119043660003838</v>
      </c>
      <c r="J27">
        <f>'Implied Productivity Ratios'!K27/'Implied Productivity Ratios'!$V27</f>
        <v>1.1291003233921275</v>
      </c>
      <c r="K27">
        <f>'Implied Productivity Ratios'!L27/'Implied Productivity Ratios'!$V27</f>
        <v>1.1214368641891101</v>
      </c>
      <c r="L27">
        <f>'Implied Productivity Ratios'!M27/'Implied Productivity Ratios'!$V27</f>
        <v>1.0997270346946375</v>
      </c>
      <c r="M27">
        <f>'Implied Productivity Ratios'!N27/'Implied Productivity Ratios'!$V27</f>
        <v>1.0916233695676874</v>
      </c>
      <c r="N27">
        <f>'Implied Productivity Ratios'!O27/'Implied Productivity Ratios'!$V27</f>
        <v>1.0423815684567759</v>
      </c>
      <c r="O27">
        <f>'Implied Productivity Ratios'!P27/'Implied Productivity Ratios'!$V27</f>
        <v>1.0319443589325188</v>
      </c>
      <c r="P27">
        <f>'Implied Productivity Ratios'!Q27/'Implied Productivity Ratios'!$V27</f>
        <v>1.0871165571526333</v>
      </c>
      <c r="Q27">
        <f>'Implied Productivity Ratios'!R27/'Implied Productivity Ratios'!$V27</f>
        <v>1.0988151783041555</v>
      </c>
      <c r="R27">
        <f>'Implied Productivity Ratios'!S27/'Implied Productivity Ratios'!$V27</f>
        <v>1.0766757226866419</v>
      </c>
      <c r="S27">
        <f>'Implied Productivity Ratios'!T27/'Implied Productivity Ratios'!$V27</f>
        <v>1.0524245329049788</v>
      </c>
      <c r="T27">
        <f>'Implied Productivity Ratios'!U27/'Implied Productivity Ratios'!$V27</f>
        <v>1.075441360930381</v>
      </c>
      <c r="U27">
        <f>'Implied Productivity Ratios'!V27/'Implied Productivity Ratios'!$V27</f>
        <v>1</v>
      </c>
      <c r="V27">
        <f>'Implied Productivity Ratios'!W27/'Implied Productivity Ratios'!$V27</f>
        <v>0.9218126358570794</v>
      </c>
      <c r="W27">
        <f>'Implied Productivity Ratios'!X27/'Implied Productivity Ratios'!$V27</f>
        <v>0.88364919522302088</v>
      </c>
      <c r="X27">
        <f>'Implied Productivity Ratios'!Y27/'Implied Productivity Ratios'!$V27</f>
        <v>0.87448790214856031</v>
      </c>
      <c r="Y27">
        <f>'Implied Productivity Ratios'!Z27/'Implied Productivity Ratios'!$V27</f>
        <v>0.85939896312867703</v>
      </c>
      <c r="Z27">
        <f>'Implied Productivity Ratios'!AA27/'Implied Productivity Ratios'!$V27</f>
        <v>0.86123607794554713</v>
      </c>
      <c r="AA27">
        <f>'Implied Productivity Ratios'!AB27/'Implied Productivity Ratios'!$V27</f>
        <v>0.87412376619967525</v>
      </c>
      <c r="AB27">
        <f>'Implied Productivity Ratios'!AC27/'Implied Productivity Ratios'!$V27</f>
        <v>0.89141415839225113</v>
      </c>
      <c r="AC27">
        <f>'Implied Productivity Ratios'!AD27/'Implied Productivity Ratios'!$V27</f>
        <v>0.90980473455996147</v>
      </c>
      <c r="AD27">
        <f>'Implied Productivity Ratios'!AE27/'Implied Productivity Ratios'!$V27</f>
        <v>0.92563063646105881</v>
      </c>
      <c r="AE27">
        <f>'Implied Productivity Ratios'!AF27/'Implied Productivity Ratios'!$V27</f>
        <v>0.94076781146181299</v>
      </c>
      <c r="AF27">
        <f>'Implied Productivity Ratios'!AG27/'Implied Productivity Ratios'!$V27</f>
        <v>0.95522011829975539</v>
      </c>
      <c r="AG27">
        <f>'Implied Productivity Ratios'!AH27/'Implied Productivity Ratios'!$V27</f>
        <v>0.96751019013356654</v>
      </c>
      <c r="AH27">
        <f>'Implied Productivity Ratios'!AI27/'Implied Productivity Ratios'!$V27</f>
        <v>0.97816649435259573</v>
      </c>
      <c r="AI27">
        <f>'Implied Productivity Ratios'!AJ27/'Implied Productivity Ratios'!$V27</f>
        <v>0.98941114309013045</v>
      </c>
      <c r="AJ27">
        <f>'Implied Productivity Ratios'!AK27/'Implied Productivity Ratios'!$V27</f>
        <v>1.0016696953739603</v>
      </c>
      <c r="AK27">
        <f>'Implied Productivity Ratios'!AL27/'Implied Productivity Ratios'!$V27</f>
        <v>1.0142921836543255</v>
      </c>
      <c r="AL27">
        <f>'Implied Productivity Ratios'!AM27/'Implied Productivity Ratios'!$V27</f>
        <v>1.0275362264509562</v>
      </c>
      <c r="AM27">
        <f>'Implied Productivity Ratios'!AN27/'Implied Productivity Ratios'!$V27</f>
        <v>1.0404603990051895</v>
      </c>
      <c r="AN27">
        <f>'Implied Productivity Ratios'!AO27/'Implied Productivity Ratios'!$V27</f>
        <v>1.0525129466645624</v>
      </c>
      <c r="AO27">
        <f>'Implied Productivity Ratios'!AP27/'Implied Productivity Ratios'!$V27</f>
        <v>1.0644312059333583</v>
      </c>
      <c r="AP27">
        <f>'Implied Productivity Ratios'!AQ27/'Implied Productivity Ratios'!$V27</f>
        <v>1.0762993612708054</v>
      </c>
      <c r="AQ27">
        <f>'Implied Productivity Ratios'!AR27/'Implied Productivity Ratios'!$V27</f>
        <v>1.0885112864200561</v>
      </c>
      <c r="AR27">
        <f>'Implied Productivity Ratios'!AS27/'Implied Productivity Ratios'!$V27</f>
        <v>1.1013037484325545</v>
      </c>
      <c r="AS27">
        <f>'Implied Productivity Ratios'!AT27/'Implied Productivity Ratios'!$V27</f>
        <v>1.1149205143267944</v>
      </c>
      <c r="AT27">
        <f>'Implied Productivity Ratios'!AU27/'Implied Productivity Ratios'!$V27</f>
        <v>1.1300360723576037</v>
      </c>
      <c r="AU27">
        <f>'Implied Productivity Ratios'!AV27/'Implied Productivity Ratios'!$V27</f>
        <v>1.1466750059419994</v>
      </c>
      <c r="AV27">
        <f>'Implied Productivity Ratios'!AW27/'Implied Productivity Ratios'!$V27</f>
        <v>1.1640628777865465</v>
      </c>
      <c r="AW27">
        <f>'Implied Productivity Ratios'!AX27/'Implied Productivity Ratios'!$V27</f>
        <v>1.182096658999072</v>
      </c>
      <c r="AX27">
        <f>'Implied Productivity Ratios'!AY27/'Implied Productivity Ratios'!$V27</f>
        <v>1.2000754349590788</v>
      </c>
      <c r="AY27">
        <f>'Implied Productivity Ratios'!AZ27/'Implied Productivity Ratios'!$V27</f>
        <v>1.2190113876200719</v>
      </c>
      <c r="AZ27">
        <f>'Implied Productivity Ratios'!BA27/'Implied Productivity Ratios'!$V27</f>
        <v>1.2393402864520733</v>
      </c>
      <c r="BA27">
        <f>'Implied Productivity Ratios'!BB27/'Implied Productivity Ratios'!$V27</f>
        <v>1.2614733809166516</v>
      </c>
      <c r="BB27">
        <f>'Implied Productivity Ratios'!BC27/'Implied Productivity Ratios'!$V27</f>
        <v>1.2850295202828528</v>
      </c>
      <c r="BC27" s="5">
        <f>'Implied Productivity Ratios'!BD27/'Implied Productivity Ratios'!$V27</f>
        <v>1.3056160925396088</v>
      </c>
      <c r="BD27" s="5">
        <f>'Implied Productivity Ratios'!BE27/'Implied Productivity Ratios'!$V27</f>
        <v>1.3262026647963649</v>
      </c>
      <c r="BE27" s="5">
        <f>'Implied Productivity Ratios'!BF27/'Implied Productivity Ratios'!$V27</f>
        <v>1.3467892370531209</v>
      </c>
      <c r="BF27" s="5">
        <f>'Implied Productivity Ratios'!BG27/'Implied Productivity Ratios'!$V27</f>
        <v>1.3673758093098771</v>
      </c>
      <c r="BG27" s="5">
        <f>'Implied Productivity Ratios'!BH27/'Implied Productivity Ratios'!$V27</f>
        <v>1.3879623815666331</v>
      </c>
    </row>
    <row r="28" spans="2:59">
      <c r="B28">
        <v>333</v>
      </c>
      <c r="C28" t="s">
        <v>95</v>
      </c>
      <c r="D28">
        <f>'Implied Productivity Ratios'!E28/'Implied Productivity Ratios'!$V28</f>
        <v>0.87848936054706173</v>
      </c>
      <c r="E28">
        <f>'Implied Productivity Ratios'!F28/'Implied Productivity Ratios'!$V28</f>
        <v>0.92049562968458276</v>
      </c>
      <c r="F28">
        <f>'Implied Productivity Ratios'!G28/'Implied Productivity Ratios'!$V28</f>
        <v>0.9598601033830263</v>
      </c>
      <c r="G28">
        <f>'Implied Productivity Ratios'!H28/'Implied Productivity Ratios'!$V28</f>
        <v>0.98322706832511275</v>
      </c>
      <c r="H28">
        <f>'Implied Productivity Ratios'!I28/'Implied Productivity Ratios'!$V28</f>
        <v>0.9061948345525036</v>
      </c>
      <c r="I28">
        <f>'Implied Productivity Ratios'!J28/'Implied Productivity Ratios'!$V28</f>
        <v>1.0543784453949683</v>
      </c>
      <c r="J28">
        <f>'Implied Productivity Ratios'!K28/'Implied Productivity Ratios'!$V28</f>
        <v>1.1391836975906333</v>
      </c>
      <c r="K28">
        <f>'Implied Productivity Ratios'!L28/'Implied Productivity Ratios'!$V28</f>
        <v>1.1094060404688524</v>
      </c>
      <c r="L28">
        <f>'Implied Productivity Ratios'!M28/'Implied Productivity Ratios'!$V28</f>
        <v>1.0925832040860939</v>
      </c>
      <c r="M28">
        <f>'Implied Productivity Ratios'!N28/'Implied Productivity Ratios'!$V28</f>
        <v>1.0564025339748195</v>
      </c>
      <c r="N28">
        <f>'Implied Productivity Ratios'!O28/'Implied Productivity Ratios'!$V28</f>
        <v>0.9426613071535086</v>
      </c>
      <c r="O28">
        <f>'Implied Productivity Ratios'!P28/'Implied Productivity Ratios'!$V28</f>
        <v>0.89509046206652876</v>
      </c>
      <c r="P28">
        <f>'Implied Productivity Ratios'!Q28/'Implied Productivity Ratios'!$V28</f>
        <v>0.96634162924228406</v>
      </c>
      <c r="Q28">
        <f>'Implied Productivity Ratios'!R28/'Implied Productivity Ratios'!$V28</f>
        <v>0.98986195813685229</v>
      </c>
      <c r="R28">
        <f>'Implied Productivity Ratios'!S28/'Implied Productivity Ratios'!$V28</f>
        <v>0.96673325411332445</v>
      </c>
      <c r="S28">
        <f>'Implied Productivity Ratios'!T28/'Implied Productivity Ratios'!$V28</f>
        <v>0.93374773600190997</v>
      </c>
      <c r="T28">
        <f>'Implied Productivity Ratios'!U28/'Implied Productivity Ratios'!$V28</f>
        <v>1.042074963883308</v>
      </c>
      <c r="U28">
        <f>'Implied Productivity Ratios'!V28/'Implied Productivity Ratios'!$V28</f>
        <v>1</v>
      </c>
      <c r="V28">
        <f>'Implied Productivity Ratios'!W28/'Implied Productivity Ratios'!$V28</f>
        <v>0.9182998460197308</v>
      </c>
      <c r="W28">
        <f>'Implied Productivity Ratios'!X28/'Implied Productivity Ratios'!$V28</f>
        <v>0.91300666749727966</v>
      </c>
      <c r="X28">
        <f>'Implied Productivity Ratios'!Y28/'Implied Productivity Ratios'!$V28</f>
        <v>0.90995362683535463</v>
      </c>
      <c r="Y28">
        <f>'Implied Productivity Ratios'!Z28/'Implied Productivity Ratios'!$V28</f>
        <v>0.88926096987780601</v>
      </c>
      <c r="Z28">
        <f>'Implied Productivity Ratios'!AA28/'Implied Productivity Ratios'!$V28</f>
        <v>0.88799866784178993</v>
      </c>
      <c r="AA28">
        <f>'Implied Productivity Ratios'!AB28/'Implied Productivity Ratios'!$V28</f>
        <v>0.89975954632126531</v>
      </c>
      <c r="AB28">
        <f>'Implied Productivity Ratios'!AC28/'Implied Productivity Ratios'!$V28</f>
        <v>0.91508849880102605</v>
      </c>
      <c r="AC28">
        <f>'Implied Productivity Ratios'!AD28/'Implied Productivity Ratios'!$V28</f>
        <v>0.93231813225631432</v>
      </c>
      <c r="AD28">
        <f>'Implied Productivity Ratios'!AE28/'Implied Productivity Ratios'!$V28</f>
        <v>0.94913466174082195</v>
      </c>
      <c r="AE28">
        <f>'Implied Productivity Ratios'!AF28/'Implied Productivity Ratios'!$V28</f>
        <v>0.96572759995394364</v>
      </c>
      <c r="AF28">
        <f>'Implied Productivity Ratios'!AG28/'Implied Productivity Ratios'!$V28</f>
        <v>0.98204043884919845</v>
      </c>
      <c r="AG28">
        <f>'Implied Productivity Ratios'!AH28/'Implied Productivity Ratios'!$V28</f>
        <v>0.99562040134112428</v>
      </c>
      <c r="AH28">
        <f>'Implied Productivity Ratios'!AI28/'Implied Productivity Ratios'!$V28</f>
        <v>1.0062333954622518</v>
      </c>
      <c r="AI28">
        <f>'Implied Productivity Ratios'!AJ28/'Implied Productivity Ratios'!$V28</f>
        <v>1.0174888487332789</v>
      </c>
      <c r="AJ28">
        <f>'Implied Productivity Ratios'!AK28/'Implied Productivity Ratios'!$V28</f>
        <v>1.0284092544881014</v>
      </c>
      <c r="AK28">
        <f>'Implied Productivity Ratios'!AL28/'Implied Productivity Ratios'!$V28</f>
        <v>1.0388196686994025</v>
      </c>
      <c r="AL28">
        <f>'Implied Productivity Ratios'!AM28/'Implied Productivity Ratios'!$V28</f>
        <v>1.0499480209509167</v>
      </c>
      <c r="AM28">
        <f>'Implied Productivity Ratios'!AN28/'Implied Productivity Ratios'!$V28</f>
        <v>1.0616725323768827</v>
      </c>
      <c r="AN28">
        <f>'Implied Productivity Ratios'!AO28/'Implied Productivity Ratios'!$V28</f>
        <v>1.0729587346561968</v>
      </c>
      <c r="AO28">
        <f>'Implied Productivity Ratios'!AP28/'Implied Productivity Ratios'!$V28</f>
        <v>1.084086414717631</v>
      </c>
      <c r="AP28">
        <f>'Implied Productivity Ratios'!AQ28/'Implied Productivity Ratios'!$V28</f>
        <v>1.0954850857902374</v>
      </c>
      <c r="AQ28">
        <f>'Implied Productivity Ratios'!AR28/'Implied Productivity Ratios'!$V28</f>
        <v>1.1073284852803416</v>
      </c>
      <c r="AR28">
        <f>'Implied Productivity Ratios'!AS28/'Implied Productivity Ratios'!$V28</f>
        <v>1.1202694478422162</v>
      </c>
      <c r="AS28">
        <f>'Implied Productivity Ratios'!AT28/'Implied Productivity Ratios'!$V28</f>
        <v>1.1343003349697094</v>
      </c>
      <c r="AT28">
        <f>'Implied Productivity Ratios'!AU28/'Implied Productivity Ratios'!$V28</f>
        <v>1.1498446492493475</v>
      </c>
      <c r="AU28">
        <f>'Implied Productivity Ratios'!AV28/'Implied Productivity Ratios'!$V28</f>
        <v>1.1672067222928248</v>
      </c>
      <c r="AV28">
        <f>'Implied Productivity Ratios'!AW28/'Implied Productivity Ratios'!$V28</f>
        <v>1.1854572455649655</v>
      </c>
      <c r="AW28">
        <f>'Implied Productivity Ratios'!AX28/'Implied Productivity Ratios'!$V28</f>
        <v>1.2036212278484593</v>
      </c>
      <c r="AX28">
        <f>'Implied Productivity Ratios'!AY28/'Implied Productivity Ratios'!$V28</f>
        <v>1.2217916353792495</v>
      </c>
      <c r="AY28">
        <f>'Implied Productivity Ratios'!AZ28/'Implied Productivity Ratios'!$V28</f>
        <v>1.2410482106973664</v>
      </c>
      <c r="AZ28">
        <f>'Implied Productivity Ratios'!BA28/'Implied Productivity Ratios'!$V28</f>
        <v>1.2616492335366942</v>
      </c>
      <c r="BA28">
        <f>'Implied Productivity Ratios'!BB28/'Implied Productivity Ratios'!$V28</f>
        <v>1.2839722720542162</v>
      </c>
      <c r="BB28">
        <f>'Implied Productivity Ratios'!BC28/'Implied Productivity Ratios'!$V28</f>
        <v>1.307825567721953</v>
      </c>
      <c r="BC28" s="5">
        <f>'Implied Productivity Ratios'!BD28/'Implied Productivity Ratios'!$V28</f>
        <v>1.3286664356966518</v>
      </c>
      <c r="BD28" s="5">
        <f>'Implied Productivity Ratios'!BE28/'Implied Productivity Ratios'!$V28</f>
        <v>1.3495073036713505</v>
      </c>
      <c r="BE28" s="5">
        <f>'Implied Productivity Ratios'!BF28/'Implied Productivity Ratios'!$V28</f>
        <v>1.3703481716460493</v>
      </c>
      <c r="BF28" s="5">
        <f>'Implied Productivity Ratios'!BG28/'Implied Productivity Ratios'!$V28</f>
        <v>1.391189039620748</v>
      </c>
      <c r="BG28" s="5">
        <f>'Implied Productivity Ratios'!BH28/'Implied Productivity Ratios'!$V28</f>
        <v>1.4120299075954468</v>
      </c>
    </row>
    <row r="29" spans="2:59">
      <c r="B29">
        <v>334</v>
      </c>
      <c r="C29" t="s">
        <v>99</v>
      </c>
      <c r="D29">
        <f>'Implied Productivity Ratios'!E29/'Implied Productivity Ratios'!$V29</f>
        <v>0.29841447556251299</v>
      </c>
      <c r="E29">
        <f>'Implied Productivity Ratios'!F29/'Implied Productivity Ratios'!$V29</f>
        <v>0.35844107317393459</v>
      </c>
      <c r="F29">
        <f>'Implied Productivity Ratios'!G29/'Implied Productivity Ratios'!$V29</f>
        <v>0.41938371400774543</v>
      </c>
      <c r="G29">
        <f>'Implied Productivity Ratios'!H29/'Implied Productivity Ratios'!$V29</f>
        <v>0.49385445714376969</v>
      </c>
      <c r="H29">
        <f>'Implied Productivity Ratios'!I29/'Implied Productivity Ratios'!$V29</f>
        <v>0.5489535755733348</v>
      </c>
      <c r="I29">
        <f>'Implied Productivity Ratios'!J29/'Implied Productivity Ratios'!$V29</f>
        <v>0.63031238414162227</v>
      </c>
      <c r="J29">
        <f>'Implied Productivity Ratios'!K29/'Implied Productivity Ratios'!$V29</f>
        <v>0.64480317617171345</v>
      </c>
      <c r="K29">
        <f>'Implied Productivity Ratios'!L29/'Implied Productivity Ratios'!$V29</f>
        <v>0.67114314080027571</v>
      </c>
      <c r="L29">
        <f>'Implied Productivity Ratios'!M29/'Implied Productivity Ratios'!$V29</f>
        <v>0.70134585721032638</v>
      </c>
      <c r="M29">
        <f>'Implied Productivity Ratios'!N29/'Implied Productivity Ratios'!$V29</f>
        <v>0.7413526137665547</v>
      </c>
      <c r="N29">
        <f>'Implied Productivity Ratios'!O29/'Implied Productivity Ratios'!$V29</f>
        <v>0.7890468708080618</v>
      </c>
      <c r="O29">
        <f>'Implied Productivity Ratios'!P29/'Implied Productivity Ratios'!$V29</f>
        <v>0.81595448852218155</v>
      </c>
      <c r="P29">
        <f>'Implied Productivity Ratios'!Q29/'Implied Productivity Ratios'!$V29</f>
        <v>0.8568167417771948</v>
      </c>
      <c r="Q29">
        <f>'Implied Productivity Ratios'!R29/'Implied Productivity Ratios'!$V29</f>
        <v>0.89938558324486073</v>
      </c>
      <c r="R29">
        <f>'Implied Productivity Ratios'!S29/'Implied Productivity Ratios'!$V29</f>
        <v>0.91451925404291889</v>
      </c>
      <c r="S29">
        <f>'Implied Productivity Ratios'!T29/'Implied Productivity Ratios'!$V29</f>
        <v>0.95564371479314003</v>
      </c>
      <c r="T29">
        <f>'Implied Productivity Ratios'!U29/'Implied Productivity Ratios'!$V29</f>
        <v>1.0428904177530134</v>
      </c>
      <c r="U29">
        <f>'Implied Productivity Ratios'!V29/'Implied Productivity Ratios'!$V29</f>
        <v>1</v>
      </c>
      <c r="V29">
        <f>'Implied Productivity Ratios'!W29/'Implied Productivity Ratios'!$V29</f>
        <v>0.98634262679885787</v>
      </c>
      <c r="W29">
        <f>'Implied Productivity Ratios'!X29/'Implied Productivity Ratios'!$V29</f>
        <v>0.9751903525275718</v>
      </c>
      <c r="X29">
        <f>'Implied Productivity Ratios'!Y29/'Implied Productivity Ratios'!$V29</f>
        <v>1.0283772272048399</v>
      </c>
      <c r="Y29">
        <f>'Implied Productivity Ratios'!Z29/'Implied Productivity Ratios'!$V29</f>
        <v>1.0694192461120746</v>
      </c>
      <c r="Z29">
        <f>'Implied Productivity Ratios'!AA29/'Implied Productivity Ratios'!$V29</f>
        <v>1.119339426863232</v>
      </c>
      <c r="AA29">
        <f>'Implied Productivity Ratios'!AB29/'Implied Productivity Ratios'!$V29</f>
        <v>1.1872698684986993</v>
      </c>
      <c r="AB29">
        <f>'Implied Productivity Ratios'!AC29/'Implied Productivity Ratios'!$V29</f>
        <v>1.2674809801244653</v>
      </c>
      <c r="AC29">
        <f>'Implied Productivity Ratios'!AD29/'Implied Productivity Ratios'!$V29</f>
        <v>1.3548357354070089</v>
      </c>
      <c r="AD29">
        <f>'Implied Productivity Ratios'!AE29/'Implied Productivity Ratios'!$V29</f>
        <v>1.4439647793879238</v>
      </c>
      <c r="AE29">
        <f>'Implied Productivity Ratios'!AF29/'Implied Productivity Ratios'!$V29</f>
        <v>1.5336354503976084</v>
      </c>
      <c r="AF29">
        <f>'Implied Productivity Ratios'!AG29/'Implied Productivity Ratios'!$V29</f>
        <v>1.6269111711599324</v>
      </c>
      <c r="AG29">
        <f>'Implied Productivity Ratios'!AH29/'Implied Productivity Ratios'!$V29</f>
        <v>1.7167781118182504</v>
      </c>
      <c r="AH29">
        <f>'Implied Productivity Ratios'!AI29/'Implied Productivity Ratios'!$V29</f>
        <v>1.8000274344770151</v>
      </c>
      <c r="AI29">
        <f>'Implied Productivity Ratios'!AJ29/'Implied Productivity Ratios'!$V29</f>
        <v>1.8854270299124141</v>
      </c>
      <c r="AJ29">
        <f>'Implied Productivity Ratios'!AK29/'Implied Productivity Ratios'!$V29</f>
        <v>1.9773475403947576</v>
      </c>
      <c r="AK29">
        <f>'Implied Productivity Ratios'!AL29/'Implied Productivity Ratios'!$V29</f>
        <v>2.0737106477090403</v>
      </c>
      <c r="AL29">
        <f>'Implied Productivity Ratios'!AM29/'Implied Productivity Ratios'!$V29</f>
        <v>2.1741885076218104</v>
      </c>
      <c r="AM29">
        <f>'Implied Productivity Ratios'!AN29/'Implied Productivity Ratios'!$V29</f>
        <v>2.2790145625369842</v>
      </c>
      <c r="AN29">
        <f>'Implied Productivity Ratios'!AO29/'Implied Productivity Ratios'!$V29</f>
        <v>2.386525809202674</v>
      </c>
      <c r="AO29">
        <f>'Implied Productivity Ratios'!AP29/'Implied Productivity Ratios'!$V29</f>
        <v>2.4961967173076833</v>
      </c>
      <c r="AP29">
        <f>'Implied Productivity Ratios'!AQ29/'Implied Productivity Ratios'!$V29</f>
        <v>2.6093479401027819</v>
      </c>
      <c r="AQ29">
        <f>'Implied Productivity Ratios'!AR29/'Implied Productivity Ratios'!$V29</f>
        <v>2.7266136704649249</v>
      </c>
      <c r="AR29">
        <f>'Implied Productivity Ratios'!AS29/'Implied Productivity Ratios'!$V29</f>
        <v>2.8492664919184056</v>
      </c>
      <c r="AS29">
        <f>'Implied Productivity Ratios'!AT29/'Implied Productivity Ratios'!$V29</f>
        <v>2.9774249782888758</v>
      </c>
      <c r="AT29">
        <f>'Implied Productivity Ratios'!AU29/'Implied Productivity Ratios'!$V29</f>
        <v>3.1127634678979228</v>
      </c>
      <c r="AU29">
        <f>'Implied Productivity Ratios'!AV29/'Implied Productivity Ratios'!$V29</f>
        <v>3.2566966371742385</v>
      </c>
      <c r="AV29">
        <f>'Implied Productivity Ratios'!AW29/'Implied Productivity Ratios'!$V29</f>
        <v>3.4062209130085614</v>
      </c>
      <c r="AW29">
        <f>'Implied Productivity Ratios'!AX29/'Implied Productivity Ratios'!$V29</f>
        <v>3.5592249993008553</v>
      </c>
      <c r="AX29">
        <f>'Implied Productivity Ratios'!AY29/'Implied Productivity Ratios'!$V29</f>
        <v>3.7161890667313</v>
      </c>
      <c r="AY29">
        <f>'Implied Productivity Ratios'!AZ29/'Implied Productivity Ratios'!$V29</f>
        <v>3.8787088665092666</v>
      </c>
      <c r="AZ29">
        <f>'Implied Productivity Ratios'!BA29/'Implied Productivity Ratios'!$V29</f>
        <v>4.0478373016962541</v>
      </c>
      <c r="BA29">
        <f>'Implied Productivity Ratios'!BB29/'Implied Productivity Ratios'!$V29</f>
        <v>4.2275617761208117</v>
      </c>
      <c r="BB29">
        <f>'Implied Productivity Ratios'!BC29/'Implied Productivity Ratios'!$V29</f>
        <v>4.4198946133004426</v>
      </c>
      <c r="BC29" s="5">
        <f>'Implied Productivity Ratios'!BD29/'Implied Productivity Ratios'!$V29</f>
        <v>4.5920285361003605</v>
      </c>
      <c r="BD29" s="5">
        <f>'Implied Productivity Ratios'!BE29/'Implied Productivity Ratios'!$V29</f>
        <v>4.7641624589002776</v>
      </c>
      <c r="BE29" s="5">
        <f>'Implied Productivity Ratios'!BF29/'Implied Productivity Ratios'!$V29</f>
        <v>4.9362963817001946</v>
      </c>
      <c r="BF29" s="5">
        <f>'Implied Productivity Ratios'!BG29/'Implied Productivity Ratios'!$V29</f>
        <v>5.1084303045001125</v>
      </c>
      <c r="BG29" s="5">
        <f>'Implied Productivity Ratios'!BH29/'Implied Productivity Ratios'!$V29</f>
        <v>5.2805642273000295</v>
      </c>
    </row>
    <row r="30" spans="2:59">
      <c r="B30">
        <v>335</v>
      </c>
      <c r="C30" t="s">
        <v>103</v>
      </c>
      <c r="D30">
        <f>'Implied Productivity Ratios'!E30/'Implied Productivity Ratios'!$V30</f>
        <v>0.88441864495407441</v>
      </c>
      <c r="E30">
        <f>'Implied Productivity Ratios'!F30/'Implied Productivity Ratios'!$V30</f>
        <v>1.0197605726064813</v>
      </c>
      <c r="F30">
        <f>'Implied Productivity Ratios'!G30/'Implied Productivity Ratios'!$V30</f>
        <v>0.96626287090489549</v>
      </c>
      <c r="G30">
        <f>'Implied Productivity Ratios'!H30/'Implied Productivity Ratios'!$V30</f>
        <v>1.0482992215354752</v>
      </c>
      <c r="H30">
        <f>'Implied Productivity Ratios'!I30/'Implied Productivity Ratios'!$V30</f>
        <v>0.99808865931877055</v>
      </c>
      <c r="I30">
        <f>'Implied Productivity Ratios'!J30/'Implied Productivity Ratios'!$V30</f>
        <v>1.0735092521198208</v>
      </c>
      <c r="J30">
        <f>'Implied Productivity Ratios'!K30/'Implied Productivity Ratios'!$V30</f>
        <v>1.0080736082887101</v>
      </c>
      <c r="K30">
        <f>'Implied Productivity Ratios'!L30/'Implied Productivity Ratios'!$V30</f>
        <v>1.0141716427345839</v>
      </c>
      <c r="L30">
        <f>'Implied Productivity Ratios'!M30/'Implied Productivity Ratios'!$V30</f>
        <v>1.1096469351948526</v>
      </c>
      <c r="M30">
        <f>'Implied Productivity Ratios'!N30/'Implied Productivity Ratios'!$V30</f>
        <v>1.0177898994988057</v>
      </c>
      <c r="N30">
        <f>'Implied Productivity Ratios'!O30/'Implied Productivity Ratios'!$V30</f>
        <v>1.1431668447261669</v>
      </c>
      <c r="O30">
        <f>'Implied Productivity Ratios'!P30/'Implied Productivity Ratios'!$V30</f>
        <v>1.051554082001104</v>
      </c>
      <c r="P30">
        <f>'Implied Productivity Ratios'!Q30/'Implied Productivity Ratios'!$V30</f>
        <v>1.0881289980446296</v>
      </c>
      <c r="Q30">
        <f>'Implied Productivity Ratios'!R30/'Implied Productivity Ratios'!$V30</f>
        <v>1.0581995917274212</v>
      </c>
      <c r="R30">
        <f>'Implied Productivity Ratios'!S30/'Implied Productivity Ratios'!$V30</f>
        <v>1.0106305445852231</v>
      </c>
      <c r="S30">
        <f>'Implied Productivity Ratios'!T30/'Implied Productivity Ratios'!$V30</f>
        <v>1.0146037410033457</v>
      </c>
      <c r="T30">
        <f>'Implied Productivity Ratios'!U30/'Implied Productivity Ratios'!$V30</f>
        <v>1.0606701258148135</v>
      </c>
      <c r="U30">
        <f>'Implied Productivity Ratios'!V30/'Implied Productivity Ratios'!$V30</f>
        <v>1</v>
      </c>
      <c r="V30">
        <f>'Implied Productivity Ratios'!W30/'Implied Productivity Ratios'!$V30</f>
        <v>0.88864943356353454</v>
      </c>
      <c r="W30">
        <f>'Implied Productivity Ratios'!X30/'Implied Productivity Ratios'!$V30</f>
        <v>0.86662265481559586</v>
      </c>
      <c r="X30">
        <f>'Implied Productivity Ratios'!Y30/'Implied Productivity Ratios'!$V30</f>
        <v>0.88503637323116591</v>
      </c>
      <c r="Y30">
        <f>'Implied Productivity Ratios'!Z30/'Implied Productivity Ratios'!$V30</f>
        <v>0.90565838681263244</v>
      </c>
      <c r="Z30">
        <f>'Implied Productivity Ratios'!AA30/'Implied Productivity Ratios'!$V30</f>
        <v>0.93581847554998498</v>
      </c>
      <c r="AA30">
        <f>'Implied Productivity Ratios'!AB30/'Implied Productivity Ratios'!$V30</f>
        <v>0.97960861753659034</v>
      </c>
      <c r="AB30">
        <f>'Implied Productivity Ratios'!AC30/'Implied Productivity Ratios'!$V30</f>
        <v>1.0309289140798041</v>
      </c>
      <c r="AC30">
        <f>'Implied Productivity Ratios'!AD30/'Implied Productivity Ratios'!$V30</f>
        <v>1.085942919286534</v>
      </c>
      <c r="AD30">
        <f>'Implied Productivity Ratios'!AE30/'Implied Productivity Ratios'!$V30</f>
        <v>1.1384875718619563</v>
      </c>
      <c r="AE30">
        <f>'Implied Productivity Ratios'!AF30/'Implied Productivity Ratios'!$V30</f>
        <v>1.1885533020911874</v>
      </c>
      <c r="AF30">
        <f>'Implied Productivity Ratios'!AG30/'Implied Productivity Ratios'!$V30</f>
        <v>1.2378325691836771</v>
      </c>
      <c r="AG30">
        <f>'Implied Productivity Ratios'!AH30/'Implied Productivity Ratios'!$V30</f>
        <v>1.2863850302633351</v>
      </c>
      <c r="AH30">
        <f>'Implied Productivity Ratios'!AI30/'Implied Productivity Ratios'!$V30</f>
        <v>1.3345161427348631</v>
      </c>
      <c r="AI30">
        <f>'Implied Productivity Ratios'!AJ30/'Implied Productivity Ratios'!$V30</f>
        <v>1.3851447271455317</v>
      </c>
      <c r="AJ30">
        <f>'Implied Productivity Ratios'!AK30/'Implied Productivity Ratios'!$V30</f>
        <v>1.4387416625259386</v>
      </c>
      <c r="AK30">
        <f>'Implied Productivity Ratios'!AL30/'Implied Productivity Ratios'!$V30</f>
        <v>1.493838445004859</v>
      </c>
      <c r="AL30">
        <f>'Implied Productivity Ratios'!AM30/'Implied Productivity Ratios'!$V30</f>
        <v>1.5498270213126315</v>
      </c>
      <c r="AM30">
        <f>'Implied Productivity Ratios'!AN30/'Implied Productivity Ratios'!$V30</f>
        <v>1.6067989269830574</v>
      </c>
      <c r="AN30">
        <f>'Implied Productivity Ratios'!AO30/'Implied Productivity Ratios'!$V30</f>
        <v>1.6655114396666733</v>
      </c>
      <c r="AO30">
        <f>'Implied Productivity Ratios'!AP30/'Implied Productivity Ratios'!$V30</f>
        <v>1.7257282959095579</v>
      </c>
      <c r="AP30">
        <f>'Implied Productivity Ratios'!AQ30/'Implied Productivity Ratios'!$V30</f>
        <v>1.7865893241636925</v>
      </c>
      <c r="AQ30">
        <f>'Implied Productivity Ratios'!AR30/'Implied Productivity Ratios'!$V30</f>
        <v>1.8491747139262737</v>
      </c>
      <c r="AR30">
        <f>'Implied Productivity Ratios'!AS30/'Implied Productivity Ratios'!$V30</f>
        <v>1.9161825774620607</v>
      </c>
      <c r="AS30">
        <f>'Implied Productivity Ratios'!AT30/'Implied Productivity Ratios'!$V30</f>
        <v>1.9872375381659342</v>
      </c>
      <c r="AT30">
        <f>'Implied Productivity Ratios'!AU30/'Implied Productivity Ratios'!$V30</f>
        <v>2.0624699870100622</v>
      </c>
      <c r="AU30">
        <f>'Implied Productivity Ratios'!AV30/'Implied Productivity Ratios'!$V30</f>
        <v>2.1429983836523476</v>
      </c>
      <c r="AV30">
        <f>'Implied Productivity Ratios'!AW30/'Implied Productivity Ratios'!$V30</f>
        <v>2.2268671606148267</v>
      </c>
      <c r="AW30">
        <f>'Implied Productivity Ratios'!AX30/'Implied Productivity Ratios'!$V30</f>
        <v>2.3136152260097704</v>
      </c>
      <c r="AX30">
        <f>'Implied Productivity Ratios'!AY30/'Implied Productivity Ratios'!$V30</f>
        <v>2.4026081331629618</v>
      </c>
      <c r="AY30">
        <f>'Implied Productivity Ratios'!AZ30/'Implied Productivity Ratios'!$V30</f>
        <v>2.4948186867711764</v>
      </c>
      <c r="AZ30">
        <f>'Implied Productivity Ratios'!BA30/'Implied Productivity Ratios'!$V30</f>
        <v>2.5910552094021608</v>
      </c>
      <c r="BA30">
        <f>'Implied Productivity Ratios'!BB30/'Implied Productivity Ratios'!$V30</f>
        <v>2.6935009747219429</v>
      </c>
      <c r="BB30">
        <f>'Implied Productivity Ratios'!BC30/'Implied Productivity Ratios'!$V30</f>
        <v>2.8023778089682345</v>
      </c>
      <c r="BC30" s="5">
        <f>'Implied Productivity Ratios'!BD30/'Implied Productivity Ratios'!$V30</f>
        <v>2.9001303255599273</v>
      </c>
      <c r="BD30" s="5">
        <f>'Implied Productivity Ratios'!BE30/'Implied Productivity Ratios'!$V30</f>
        <v>2.9978828421516202</v>
      </c>
      <c r="BE30" s="5">
        <f>'Implied Productivity Ratios'!BF30/'Implied Productivity Ratios'!$V30</f>
        <v>3.095635358743313</v>
      </c>
      <c r="BF30" s="5">
        <f>'Implied Productivity Ratios'!BG30/'Implied Productivity Ratios'!$V30</f>
        <v>3.1933878753350058</v>
      </c>
      <c r="BG30" s="5">
        <f>'Implied Productivity Ratios'!BH30/'Implied Productivity Ratios'!$V30</f>
        <v>3.2911403919266986</v>
      </c>
    </row>
    <row r="31" spans="2:59">
      <c r="B31">
        <v>336</v>
      </c>
      <c r="C31" t="s">
        <v>107</v>
      </c>
      <c r="D31">
        <f>'Implied Productivity Ratios'!E31/'Implied Productivity Ratios'!$V31</f>
        <v>0.67269396963322869</v>
      </c>
      <c r="E31">
        <f>'Implied Productivity Ratios'!F31/'Implied Productivity Ratios'!$V31</f>
        <v>0.73661340232528727</v>
      </c>
      <c r="F31">
        <f>'Implied Productivity Ratios'!G31/'Implied Productivity Ratios'!$V31</f>
        <v>0.80083016516751793</v>
      </c>
      <c r="G31">
        <f>'Implied Productivity Ratios'!H31/'Implied Productivity Ratios'!$V31</f>
        <v>0.74879666215310492</v>
      </c>
      <c r="H31">
        <f>'Implied Productivity Ratios'!I31/'Implied Productivity Ratios'!$V31</f>
        <v>0.6201284506490472</v>
      </c>
      <c r="I31">
        <f>'Implied Productivity Ratios'!J31/'Implied Productivity Ratios'!$V31</f>
        <v>0.82356736465718061</v>
      </c>
      <c r="J31">
        <f>'Implied Productivity Ratios'!K31/'Implied Productivity Ratios'!$V31</f>
        <v>0.89654439532234731</v>
      </c>
      <c r="K31">
        <f>'Implied Productivity Ratios'!L31/'Implied Productivity Ratios'!$V31</f>
        <v>0.86529000065150596</v>
      </c>
      <c r="L31">
        <f>'Implied Productivity Ratios'!M31/'Implied Productivity Ratios'!$V31</f>
        <v>0.87763181513347432</v>
      </c>
      <c r="M31">
        <f>'Implied Productivity Ratios'!N31/'Implied Productivity Ratios'!$V31</f>
        <v>0.87563096640917748</v>
      </c>
      <c r="N31">
        <f>'Implied Productivity Ratios'!O31/'Implied Productivity Ratios'!$V31</f>
        <v>0.85987663591443841</v>
      </c>
      <c r="O31">
        <f>'Implied Productivity Ratios'!P31/'Implied Productivity Ratios'!$V31</f>
        <v>0.86403668452354154</v>
      </c>
      <c r="P31">
        <f>'Implied Productivity Ratios'!Q31/'Implied Productivity Ratios'!$V31</f>
        <v>0.8863190056050132</v>
      </c>
      <c r="Q31">
        <f>'Implied Productivity Ratios'!R31/'Implied Productivity Ratios'!$V31</f>
        <v>0.90241662233468123</v>
      </c>
      <c r="R31">
        <f>'Implied Productivity Ratios'!S31/'Implied Productivity Ratios'!$V31</f>
        <v>0.89984277751053265</v>
      </c>
      <c r="S31">
        <f>'Implied Productivity Ratios'!T31/'Implied Productivity Ratios'!$V31</f>
        <v>0.85026429225631994</v>
      </c>
      <c r="T31">
        <f>'Implied Productivity Ratios'!U31/'Implied Productivity Ratios'!$V31</f>
        <v>0.9445426861880053</v>
      </c>
      <c r="U31">
        <f>'Implied Productivity Ratios'!V31/'Implied Productivity Ratios'!$V31</f>
        <v>1</v>
      </c>
      <c r="V31">
        <f>'Implied Productivity Ratios'!W31/'Implied Productivity Ratios'!$V31</f>
        <v>0.99350279682671871</v>
      </c>
      <c r="W31">
        <f>'Implied Productivity Ratios'!X31/'Implied Productivity Ratios'!$V31</f>
        <v>1.0270443323921488</v>
      </c>
      <c r="X31">
        <f>'Implied Productivity Ratios'!Y31/'Implied Productivity Ratios'!$V31</f>
        <v>1.0728451537643235</v>
      </c>
      <c r="Y31">
        <f>'Implied Productivity Ratios'!Z31/'Implied Productivity Ratios'!$V31</f>
        <v>1.0216239216311753</v>
      </c>
      <c r="Z31">
        <f>'Implied Productivity Ratios'!AA31/'Implied Productivity Ratios'!$V31</f>
        <v>1.0232742177942877</v>
      </c>
      <c r="AA31">
        <f>'Implied Productivity Ratios'!AB31/'Implied Productivity Ratios'!$V31</f>
        <v>1.0531555590385098</v>
      </c>
      <c r="AB31">
        <f>'Implied Productivity Ratios'!AC31/'Implied Productivity Ratios'!$V31</f>
        <v>1.0885139181622041</v>
      </c>
      <c r="AC31">
        <f>'Implied Productivity Ratios'!AD31/'Implied Productivity Ratios'!$V31</f>
        <v>1.1233293176988333</v>
      </c>
      <c r="AD31">
        <f>'Implied Productivity Ratios'!AE31/'Implied Productivity Ratios'!$V31</f>
        <v>1.1563743621919844</v>
      </c>
      <c r="AE31">
        <f>'Implied Productivity Ratios'!AF31/'Implied Productivity Ratios'!$V31</f>
        <v>1.188838489782313</v>
      </c>
      <c r="AF31">
        <f>'Implied Productivity Ratios'!AG31/'Implied Productivity Ratios'!$V31</f>
        <v>1.2177701609723888</v>
      </c>
      <c r="AG31">
        <f>'Implied Productivity Ratios'!AH31/'Implied Productivity Ratios'!$V31</f>
        <v>1.2381715234247987</v>
      </c>
      <c r="AH31">
        <f>'Implied Productivity Ratios'!AI31/'Implied Productivity Ratios'!$V31</f>
        <v>1.2547683473615086</v>
      </c>
      <c r="AI31">
        <f>'Implied Productivity Ratios'!AJ31/'Implied Productivity Ratios'!$V31</f>
        <v>1.2749389098733777</v>
      </c>
      <c r="AJ31">
        <f>'Implied Productivity Ratios'!AK31/'Implied Productivity Ratios'!$V31</f>
        <v>1.2977793888496856</v>
      </c>
      <c r="AK31">
        <f>'Implied Productivity Ratios'!AL31/'Implied Productivity Ratios'!$V31</f>
        <v>1.3215630568183208</v>
      </c>
      <c r="AL31">
        <f>'Implied Productivity Ratios'!AM31/'Implied Productivity Ratios'!$V31</f>
        <v>1.3448634374238111</v>
      </c>
      <c r="AM31">
        <f>'Implied Productivity Ratios'!AN31/'Implied Productivity Ratios'!$V31</f>
        <v>1.3662344349608866</v>
      </c>
      <c r="AN31">
        <f>'Implied Productivity Ratios'!AO31/'Implied Productivity Ratios'!$V31</f>
        <v>1.3834756492990437</v>
      </c>
      <c r="AO31">
        <f>'Implied Productivity Ratios'!AP31/'Implied Productivity Ratios'!$V31</f>
        <v>1.4001183846210197</v>
      </c>
      <c r="AP31">
        <f>'Implied Productivity Ratios'!AQ31/'Implied Productivity Ratios'!$V31</f>
        <v>1.4164049972907502</v>
      </c>
      <c r="AQ31">
        <f>'Implied Productivity Ratios'!AR31/'Implied Productivity Ratios'!$V31</f>
        <v>1.4348527596305767</v>
      </c>
      <c r="AR31">
        <f>'Implied Productivity Ratios'!AS31/'Implied Productivity Ratios'!$V31</f>
        <v>1.4543979609230382</v>
      </c>
      <c r="AS31">
        <f>'Implied Productivity Ratios'!AT31/'Implied Productivity Ratios'!$V31</f>
        <v>1.473310686817535</v>
      </c>
      <c r="AT31">
        <f>'Implied Productivity Ratios'!AU31/'Implied Productivity Ratios'!$V31</f>
        <v>1.4950457937988753</v>
      </c>
      <c r="AU31">
        <f>'Implied Productivity Ratios'!AV31/'Implied Productivity Ratios'!$V31</f>
        <v>1.5198408266498074</v>
      </c>
      <c r="AV31">
        <f>'Implied Productivity Ratios'!AW31/'Implied Productivity Ratios'!$V31</f>
        <v>1.5450173792689785</v>
      </c>
      <c r="AW31">
        <f>'Implied Productivity Ratios'!AX31/'Implied Productivity Ratios'!$V31</f>
        <v>1.5705351969904637</v>
      </c>
      <c r="AX31">
        <f>'Implied Productivity Ratios'!AY31/'Implied Productivity Ratios'!$V31</f>
        <v>1.5956441725245865</v>
      </c>
      <c r="AY31">
        <f>'Implied Productivity Ratios'!AZ31/'Implied Productivity Ratios'!$V31</f>
        <v>1.6222912939202601</v>
      </c>
      <c r="AZ31">
        <f>'Implied Productivity Ratios'!BA31/'Implied Productivity Ratios'!$V31</f>
        <v>1.649819661615441</v>
      </c>
      <c r="BA31">
        <f>'Implied Productivity Ratios'!BB31/'Implied Productivity Ratios'!$V31</f>
        <v>1.6783798013337419</v>
      </c>
      <c r="BB31">
        <f>'Implied Productivity Ratios'!BC31/'Implied Productivity Ratios'!$V31</f>
        <v>1.7087581661875588</v>
      </c>
      <c r="BC31" s="5">
        <f>'Implied Productivity Ratios'!BD31/'Implied Productivity Ratios'!$V31</f>
        <v>1.736402760026978</v>
      </c>
      <c r="BD31" s="5">
        <f>'Implied Productivity Ratios'!BE31/'Implied Productivity Ratios'!$V31</f>
        <v>1.764047353866397</v>
      </c>
      <c r="BE31" s="5">
        <f>'Implied Productivity Ratios'!BF31/'Implied Productivity Ratios'!$V31</f>
        <v>1.7916919477058162</v>
      </c>
      <c r="BF31" s="5">
        <f>'Implied Productivity Ratios'!BG31/'Implied Productivity Ratios'!$V31</f>
        <v>1.8193365415452354</v>
      </c>
      <c r="BG31" s="5">
        <f>'Implied Productivity Ratios'!BH31/'Implied Productivity Ratios'!$V31</f>
        <v>1.8469811353846544</v>
      </c>
    </row>
    <row r="32" spans="2:59">
      <c r="B32">
        <v>337</v>
      </c>
      <c r="C32" t="s">
        <v>111</v>
      </c>
      <c r="D32">
        <f>'Implied Productivity Ratios'!E32/'Implied Productivity Ratios'!$V32</f>
        <v>1.0028015131507226</v>
      </c>
      <c r="E32">
        <f>'Implied Productivity Ratios'!F32/'Implied Productivity Ratios'!$V32</f>
        <v>1.0308082442530124</v>
      </c>
      <c r="F32">
        <f>'Implied Productivity Ratios'!G32/'Implied Productivity Ratios'!$V32</f>
        <v>0.99710086212004523</v>
      </c>
      <c r="G32">
        <f>'Implied Productivity Ratios'!H32/'Implied Productivity Ratios'!$V32</f>
        <v>0.93811048560486177</v>
      </c>
      <c r="H32">
        <f>'Implied Productivity Ratios'!I32/'Implied Productivity Ratios'!$V32</f>
        <v>0.85549480356657248</v>
      </c>
      <c r="I32">
        <f>'Implied Productivity Ratios'!J32/'Implied Productivity Ratios'!$V32</f>
        <v>0.92929485967804826</v>
      </c>
      <c r="J32">
        <f>'Implied Productivity Ratios'!K32/'Implied Productivity Ratios'!$V32</f>
        <v>0.95200859855052999</v>
      </c>
      <c r="K32">
        <f>'Implied Productivity Ratios'!L32/'Implied Productivity Ratios'!$V32</f>
        <v>0.92394587633847847</v>
      </c>
      <c r="L32">
        <f>'Implied Productivity Ratios'!M32/'Implied Productivity Ratios'!$V32</f>
        <v>0.98562377550711955</v>
      </c>
      <c r="M32">
        <f>'Implied Productivity Ratios'!N32/'Implied Productivity Ratios'!$V32</f>
        <v>1.0192905550940452</v>
      </c>
      <c r="N32">
        <f>'Implied Productivity Ratios'!O32/'Implied Productivity Ratios'!$V32</f>
        <v>1.0642994341466019</v>
      </c>
      <c r="O32">
        <f>'Implied Productivity Ratios'!P32/'Implied Productivity Ratios'!$V32</f>
        <v>1.0519615917815788</v>
      </c>
      <c r="P32">
        <f>'Implied Productivity Ratios'!Q32/'Implied Productivity Ratios'!$V32</f>
        <v>1.0358523847880357</v>
      </c>
      <c r="Q32">
        <f>'Implied Productivity Ratios'!R32/'Implied Productivity Ratios'!$V32</f>
        <v>1.079607947663882</v>
      </c>
      <c r="R32">
        <f>'Implied Productivity Ratios'!S32/'Implied Productivity Ratios'!$V32</f>
        <v>1.041355632963151</v>
      </c>
      <c r="S32">
        <f>'Implied Productivity Ratios'!T32/'Implied Productivity Ratios'!$V32</f>
        <v>1.0437816557610804</v>
      </c>
      <c r="T32">
        <f>'Implied Productivity Ratios'!U32/'Implied Productivity Ratios'!$V32</f>
        <v>1.0734924270363213</v>
      </c>
      <c r="U32">
        <f>'Implied Productivity Ratios'!V32/'Implied Productivity Ratios'!$V32</f>
        <v>1</v>
      </c>
      <c r="V32">
        <f>'Implied Productivity Ratios'!W32/'Implied Productivity Ratios'!$V32</f>
        <v>0.85501184640567107</v>
      </c>
      <c r="W32">
        <f>'Implied Productivity Ratios'!X32/'Implied Productivity Ratios'!$V32</f>
        <v>0.8514987795919684</v>
      </c>
      <c r="X32">
        <f>'Implied Productivity Ratios'!Y32/'Implied Productivity Ratios'!$V32</f>
        <v>0.86012936093794368</v>
      </c>
      <c r="Y32">
        <f>'Implied Productivity Ratios'!Z32/'Implied Productivity Ratios'!$V32</f>
        <v>0.87258412660508577</v>
      </c>
      <c r="Z32">
        <f>'Implied Productivity Ratios'!AA32/'Implied Productivity Ratios'!$V32</f>
        <v>0.88170476873510695</v>
      </c>
      <c r="AA32">
        <f>'Implied Productivity Ratios'!AB32/'Implied Productivity Ratios'!$V32</f>
        <v>0.8907030239446394</v>
      </c>
      <c r="AB32">
        <f>'Implied Productivity Ratios'!AC32/'Implied Productivity Ratios'!$V32</f>
        <v>0.90392917810664963</v>
      </c>
      <c r="AC32">
        <f>'Implied Productivity Ratios'!AD32/'Implied Productivity Ratios'!$V32</f>
        <v>0.91837260146270028</v>
      </c>
      <c r="AD32">
        <f>'Implied Productivity Ratios'!AE32/'Implied Productivity Ratios'!$V32</f>
        <v>0.92930673764704774</v>
      </c>
      <c r="AE32">
        <f>'Implied Productivity Ratios'!AF32/'Implied Productivity Ratios'!$V32</f>
        <v>0.94095721585682812</v>
      </c>
      <c r="AF32">
        <f>'Implied Productivity Ratios'!AG32/'Implied Productivity Ratios'!$V32</f>
        <v>0.95375928003355903</v>
      </c>
      <c r="AG32">
        <f>'Implied Productivity Ratios'!AH32/'Implied Productivity Ratios'!$V32</f>
        <v>0.96614239225126242</v>
      </c>
      <c r="AH32">
        <f>'Implied Productivity Ratios'!AI32/'Implied Productivity Ratios'!$V32</f>
        <v>0.97880892906068806</v>
      </c>
      <c r="AI32">
        <f>'Implied Productivity Ratios'!AJ32/'Implied Productivity Ratios'!$V32</f>
        <v>0.99312164721924856</v>
      </c>
      <c r="AJ32">
        <f>'Implied Productivity Ratios'!AK32/'Implied Productivity Ratios'!$V32</f>
        <v>1.0082289978359318</v>
      </c>
      <c r="AK32">
        <f>'Implied Productivity Ratios'!AL32/'Implied Productivity Ratios'!$V32</f>
        <v>1.0232341304040389</v>
      </c>
      <c r="AL32">
        <f>'Implied Productivity Ratios'!AM32/'Implied Productivity Ratios'!$V32</f>
        <v>1.0395266137859469</v>
      </c>
      <c r="AM32">
        <f>'Implied Productivity Ratios'!AN32/'Implied Productivity Ratios'!$V32</f>
        <v>1.0546928741460115</v>
      </c>
      <c r="AN32">
        <f>'Implied Productivity Ratios'!AO32/'Implied Productivity Ratios'!$V32</f>
        <v>1.0685991661274676</v>
      </c>
      <c r="AO32">
        <f>'Implied Productivity Ratios'!AP32/'Implied Productivity Ratios'!$V32</f>
        <v>1.0829910839838515</v>
      </c>
      <c r="AP32">
        <f>'Implied Productivity Ratios'!AQ32/'Implied Productivity Ratios'!$V32</f>
        <v>1.0974547960115584</v>
      </c>
      <c r="AQ32">
        <f>'Implied Productivity Ratios'!AR32/'Implied Productivity Ratios'!$V32</f>
        <v>1.1133795973639042</v>
      </c>
      <c r="AR32">
        <f>'Implied Productivity Ratios'!AS32/'Implied Productivity Ratios'!$V32</f>
        <v>1.1295206102475071</v>
      </c>
      <c r="AS32">
        <f>'Implied Productivity Ratios'!AT32/'Implied Productivity Ratios'!$V32</f>
        <v>1.1450278626855359</v>
      </c>
      <c r="AT32">
        <f>'Implied Productivity Ratios'!AU32/'Implied Productivity Ratios'!$V32</f>
        <v>1.1623938427111404</v>
      </c>
      <c r="AU32">
        <f>'Implied Productivity Ratios'!AV32/'Implied Productivity Ratios'!$V32</f>
        <v>1.1817140309433849</v>
      </c>
      <c r="AV32">
        <f>'Implied Productivity Ratios'!AW32/'Implied Productivity Ratios'!$V32</f>
        <v>1.2017088187868727</v>
      </c>
      <c r="AW32">
        <f>'Implied Productivity Ratios'!AX32/'Implied Productivity Ratios'!$V32</f>
        <v>1.2236813942936942</v>
      </c>
      <c r="AX32">
        <f>'Implied Productivity Ratios'!AY32/'Implied Productivity Ratios'!$V32</f>
        <v>1.2462194606066517</v>
      </c>
      <c r="AY32">
        <f>'Implied Productivity Ratios'!AZ32/'Implied Productivity Ratios'!$V32</f>
        <v>1.2695202353732231</v>
      </c>
      <c r="AZ32">
        <f>'Implied Productivity Ratios'!BA32/'Implied Productivity Ratios'!$V32</f>
        <v>1.2936053747339968</v>
      </c>
      <c r="BA32">
        <f>'Implied Productivity Ratios'!BB32/'Implied Productivity Ratios'!$V32</f>
        <v>1.3190401544005608</v>
      </c>
      <c r="BB32">
        <f>'Implied Productivity Ratios'!BC32/'Implied Productivity Ratios'!$V32</f>
        <v>1.3457068123041265</v>
      </c>
      <c r="BC32" s="5">
        <f>'Implied Productivity Ratios'!BD32/'Implied Productivity Ratios'!$V32</f>
        <v>1.3701118959062129</v>
      </c>
      <c r="BD32" s="5">
        <f>'Implied Productivity Ratios'!BE32/'Implied Productivity Ratios'!$V32</f>
        <v>1.3945169795082994</v>
      </c>
      <c r="BE32" s="5">
        <f>'Implied Productivity Ratios'!BF32/'Implied Productivity Ratios'!$V32</f>
        <v>1.4189220631103858</v>
      </c>
      <c r="BF32" s="5">
        <f>'Implied Productivity Ratios'!BG32/'Implied Productivity Ratios'!$V32</f>
        <v>1.4433271467124722</v>
      </c>
      <c r="BG32" s="5">
        <f>'Implied Productivity Ratios'!BH32/'Implied Productivity Ratios'!$V32</f>
        <v>1.4677322303145588</v>
      </c>
    </row>
    <row r="33" spans="2:59">
      <c r="B33">
        <v>339</v>
      </c>
      <c r="C33" t="s">
        <v>115</v>
      </c>
      <c r="D33">
        <f>'Implied Productivity Ratios'!E33/'Implied Productivity Ratios'!$V33</f>
        <v>0.66818770569442443</v>
      </c>
      <c r="E33">
        <f>'Implied Productivity Ratios'!F33/'Implied Productivity Ratios'!$V33</f>
        <v>0.71827577113562457</v>
      </c>
      <c r="F33">
        <f>'Implied Productivity Ratios'!G33/'Implied Productivity Ratios'!$V33</f>
        <v>0.73930504996791579</v>
      </c>
      <c r="G33">
        <f>'Implied Productivity Ratios'!H33/'Implied Productivity Ratios'!$V33</f>
        <v>0.80490694121492246</v>
      </c>
      <c r="H33">
        <f>'Implied Productivity Ratios'!I33/'Implied Productivity Ratios'!$V33</f>
        <v>0.88878852192668967</v>
      </c>
      <c r="I33">
        <f>'Implied Productivity Ratios'!J33/'Implied Productivity Ratios'!$V33</f>
        <v>0.94705349532840155</v>
      </c>
      <c r="J33">
        <f>'Implied Productivity Ratios'!K33/'Implied Productivity Ratios'!$V33</f>
        <v>0.91327220736474579</v>
      </c>
      <c r="K33">
        <f>'Implied Productivity Ratios'!L33/'Implied Productivity Ratios'!$V33</f>
        <v>0.9018893312339693</v>
      </c>
      <c r="L33">
        <f>'Implied Productivity Ratios'!M33/'Implied Productivity Ratios'!$V33</f>
        <v>0.87150982510303554</v>
      </c>
      <c r="M33">
        <f>'Implied Productivity Ratios'!N33/'Implied Productivity Ratios'!$V33</f>
        <v>0.87020810213683453</v>
      </c>
      <c r="N33">
        <f>'Implied Productivity Ratios'!O33/'Implied Productivity Ratios'!$V33</f>
        <v>0.82675922694131021</v>
      </c>
      <c r="O33">
        <f>'Implied Productivity Ratios'!P33/'Implied Productivity Ratios'!$V33</f>
        <v>0.86192062448978157</v>
      </c>
      <c r="P33">
        <f>'Implied Productivity Ratios'!Q33/'Implied Productivity Ratios'!$V33</f>
        <v>0.88976698610717742</v>
      </c>
      <c r="Q33">
        <f>'Implied Productivity Ratios'!R33/'Implied Productivity Ratios'!$V33</f>
        <v>0.92657436573815743</v>
      </c>
      <c r="R33">
        <f>'Implied Productivity Ratios'!S33/'Implied Productivity Ratios'!$V33</f>
        <v>0.88356605027224289</v>
      </c>
      <c r="S33">
        <f>'Implied Productivity Ratios'!T33/'Implied Productivity Ratios'!$V33</f>
        <v>0.92424423878263362</v>
      </c>
      <c r="T33">
        <f>'Implied Productivity Ratios'!U33/'Implied Productivity Ratios'!$V33</f>
        <v>0.99121011477071019</v>
      </c>
      <c r="U33">
        <f>'Implied Productivity Ratios'!V33/'Implied Productivity Ratios'!$V33</f>
        <v>1</v>
      </c>
      <c r="V33">
        <f>'Implied Productivity Ratios'!W33/'Implied Productivity Ratios'!$V33</f>
        <v>1.0138084106433747</v>
      </c>
      <c r="W33">
        <f>'Implied Productivity Ratios'!X33/'Implied Productivity Ratios'!$V33</f>
        <v>1.0376290156729739</v>
      </c>
      <c r="X33">
        <f>'Implied Productivity Ratios'!Y33/'Implied Productivity Ratios'!$V33</f>
        <v>1.0370839325469006</v>
      </c>
      <c r="Y33">
        <f>'Implied Productivity Ratios'!Z33/'Implied Productivity Ratios'!$V33</f>
        <v>1.0340902303813297</v>
      </c>
      <c r="Z33">
        <f>'Implied Productivity Ratios'!AA33/'Implied Productivity Ratios'!$V33</f>
        <v>1.0388889346241525</v>
      </c>
      <c r="AA33">
        <f>'Implied Productivity Ratios'!AB33/'Implied Productivity Ratios'!$V33</f>
        <v>1.0496181121201669</v>
      </c>
      <c r="AB33">
        <f>'Implied Productivity Ratios'!AC33/'Implied Productivity Ratios'!$V33</f>
        <v>1.0634997915250184</v>
      </c>
      <c r="AC33">
        <f>'Implied Productivity Ratios'!AD33/'Implied Productivity Ratios'!$V33</f>
        <v>1.0796040992261908</v>
      </c>
      <c r="AD33">
        <f>'Implied Productivity Ratios'!AE33/'Implied Productivity Ratios'!$V33</f>
        <v>1.0971469565657725</v>
      </c>
      <c r="AE33">
        <f>'Implied Productivity Ratios'!AF33/'Implied Productivity Ratios'!$V33</f>
        <v>1.1163103647513353</v>
      </c>
      <c r="AF33">
        <f>'Implied Productivity Ratios'!AG33/'Implied Productivity Ratios'!$V33</f>
        <v>1.1375670922934042</v>
      </c>
      <c r="AG33">
        <f>'Implied Productivity Ratios'!AH33/'Implied Productivity Ratios'!$V33</f>
        <v>1.1586275692513033</v>
      </c>
      <c r="AH33">
        <f>'Implied Productivity Ratios'!AI33/'Implied Productivity Ratios'!$V33</f>
        <v>1.1798548679585794</v>
      </c>
      <c r="AI33">
        <f>'Implied Productivity Ratios'!AJ33/'Implied Productivity Ratios'!$V33</f>
        <v>1.2025067272749699</v>
      </c>
      <c r="AJ33">
        <f>'Implied Productivity Ratios'!AK33/'Implied Productivity Ratios'!$V33</f>
        <v>1.2266256593609839</v>
      </c>
      <c r="AK33">
        <f>'Implied Productivity Ratios'!AL33/'Implied Productivity Ratios'!$V33</f>
        <v>1.2517504371291062</v>
      </c>
      <c r="AL33">
        <f>'Implied Productivity Ratios'!AM33/'Implied Productivity Ratios'!$V33</f>
        <v>1.2773327479944983</v>
      </c>
      <c r="AM33">
        <f>'Implied Productivity Ratios'!AN33/'Implied Productivity Ratios'!$V33</f>
        <v>1.3040298043799332</v>
      </c>
      <c r="AN33">
        <f>'Implied Productivity Ratios'!AO33/'Implied Productivity Ratios'!$V33</f>
        <v>1.3324716782655508</v>
      </c>
      <c r="AO33">
        <f>'Implied Productivity Ratios'!AP33/'Implied Productivity Ratios'!$V33</f>
        <v>1.3618865125444786</v>
      </c>
      <c r="AP33">
        <f>'Implied Productivity Ratios'!AQ33/'Implied Productivity Ratios'!$V33</f>
        <v>1.3922197779868368</v>
      </c>
      <c r="AQ33">
        <f>'Implied Productivity Ratios'!AR33/'Implied Productivity Ratios'!$V33</f>
        <v>1.4239426092125147</v>
      </c>
      <c r="AR33">
        <f>'Implied Productivity Ratios'!AS33/'Implied Productivity Ratios'!$V33</f>
        <v>1.4574184076829573</v>
      </c>
      <c r="AS33">
        <f>'Implied Productivity Ratios'!AT33/'Implied Productivity Ratios'!$V33</f>
        <v>1.4921417142779441</v>
      </c>
      <c r="AT33">
        <f>'Implied Productivity Ratios'!AU33/'Implied Productivity Ratios'!$V33</f>
        <v>1.5282549534584831</v>
      </c>
      <c r="AU33">
        <f>'Implied Productivity Ratios'!AV33/'Implied Productivity Ratios'!$V33</f>
        <v>1.5662860451977139</v>
      </c>
      <c r="AV33">
        <f>'Implied Productivity Ratios'!AW33/'Implied Productivity Ratios'!$V33</f>
        <v>1.6051985917039602</v>
      </c>
      <c r="AW33">
        <f>'Implied Productivity Ratios'!AX33/'Implied Productivity Ratios'!$V33</f>
        <v>1.6449559465892241</v>
      </c>
      <c r="AX33">
        <f>'Implied Productivity Ratios'!AY33/'Implied Productivity Ratios'!$V33</f>
        <v>1.6852092347008469</v>
      </c>
      <c r="AY33">
        <f>'Implied Productivity Ratios'!AZ33/'Implied Productivity Ratios'!$V33</f>
        <v>1.7269092976696676</v>
      </c>
      <c r="AZ33">
        <f>'Implied Productivity Ratios'!BA33/'Implied Productivity Ratios'!$V33</f>
        <v>1.7710961833361532</v>
      </c>
      <c r="BA33">
        <f>'Implied Productivity Ratios'!BB33/'Implied Productivity Ratios'!$V33</f>
        <v>1.8176404808924695</v>
      </c>
      <c r="BB33">
        <f>'Implied Productivity Ratios'!BC33/'Implied Productivity Ratios'!$V33</f>
        <v>1.8663402034155157</v>
      </c>
      <c r="BC33" s="5">
        <f>'Implied Productivity Ratios'!BD33/'Implied Productivity Ratios'!$V33</f>
        <v>1.9106170547807741</v>
      </c>
      <c r="BD33" s="5">
        <f>'Implied Productivity Ratios'!BE33/'Implied Productivity Ratios'!$V33</f>
        <v>1.9548939061460324</v>
      </c>
      <c r="BE33" s="5">
        <f>'Implied Productivity Ratios'!BF33/'Implied Productivity Ratios'!$V33</f>
        <v>1.9991707575112909</v>
      </c>
      <c r="BF33" s="5">
        <f>'Implied Productivity Ratios'!BG33/'Implied Productivity Ratios'!$V33</f>
        <v>2.0434476088765492</v>
      </c>
      <c r="BG33" s="5">
        <f>'Implied Productivity Ratios'!BH33/'Implied Productivity Ratios'!$V33</f>
        <v>2.0877244602418075</v>
      </c>
    </row>
    <row r="34" spans="2:59">
      <c r="B34">
        <v>423</v>
      </c>
      <c r="C34" t="s">
        <v>334</v>
      </c>
      <c r="D34">
        <f>'Implied Productivity Ratios'!E34/'Implied Productivity Ratios'!$V34</f>
        <v>0.94213590784489099</v>
      </c>
      <c r="E34">
        <f>'Implied Productivity Ratios'!F34/'Implied Productivity Ratios'!$V34</f>
        <v>0.96651715958199336</v>
      </c>
      <c r="F34">
        <f>'Implied Productivity Ratios'!G34/'Implied Productivity Ratios'!$V34</f>
        <v>1.0003810111974409</v>
      </c>
      <c r="G34">
        <f>'Implied Productivity Ratios'!H34/'Implied Productivity Ratios'!$V34</f>
        <v>1.0081686966072583</v>
      </c>
      <c r="H34">
        <f>'Implied Productivity Ratios'!I34/'Implied Productivity Ratios'!$V34</f>
        <v>0.97030747625338076</v>
      </c>
      <c r="I34">
        <f>'Implied Productivity Ratios'!J34/'Implied Productivity Ratios'!$V34</f>
        <v>1.1152772516948566</v>
      </c>
      <c r="J34">
        <f>'Implied Productivity Ratios'!K34/'Implied Productivity Ratios'!$V34</f>
        <v>1.1282448669869221</v>
      </c>
      <c r="K34">
        <f>'Implied Productivity Ratios'!L34/'Implied Productivity Ratios'!$V34</f>
        <v>1.1483964897256127</v>
      </c>
      <c r="L34">
        <f>'Implied Productivity Ratios'!M34/'Implied Productivity Ratios'!$V34</f>
        <v>1.1585210766164338</v>
      </c>
      <c r="M34">
        <f>'Implied Productivity Ratios'!N34/'Implied Productivity Ratios'!$V34</f>
        <v>1.2022713147674564</v>
      </c>
      <c r="N34">
        <f>'Implied Productivity Ratios'!O34/'Implied Productivity Ratios'!$V34</f>
        <v>1.248572950513108</v>
      </c>
      <c r="O34">
        <f>'Implied Productivity Ratios'!P34/'Implied Productivity Ratios'!$V34</f>
        <v>1.1858223763327795</v>
      </c>
      <c r="P34">
        <f>'Implied Productivity Ratios'!Q34/'Implied Productivity Ratios'!$V34</f>
        <v>1.1789784250620596</v>
      </c>
      <c r="Q34">
        <f>'Implied Productivity Ratios'!R34/'Implied Productivity Ratios'!$V34</f>
        <v>1.1745298932574844</v>
      </c>
      <c r="R34">
        <f>'Implied Productivity Ratios'!S34/'Implied Productivity Ratios'!$V34</f>
        <v>1.1576869352394126</v>
      </c>
      <c r="S34">
        <f>'Implied Productivity Ratios'!T34/'Implied Productivity Ratios'!$V34</f>
        <v>1.2027006954596975</v>
      </c>
      <c r="T34">
        <f>'Implied Productivity Ratios'!U34/'Implied Productivity Ratios'!$V34</f>
        <v>1.0804975614843757</v>
      </c>
      <c r="U34">
        <f>'Implied Productivity Ratios'!V34/'Implied Productivity Ratios'!$V34</f>
        <v>1</v>
      </c>
      <c r="V34">
        <f>'Implied Productivity Ratios'!W34/'Implied Productivity Ratios'!$V34</f>
        <v>0.97932320200816281</v>
      </c>
      <c r="W34">
        <f>'Implied Productivity Ratios'!X34/'Implied Productivity Ratios'!$V34</f>
        <v>0.9798367289363783</v>
      </c>
      <c r="X34">
        <f>'Implied Productivity Ratios'!Y34/'Implied Productivity Ratios'!$V34</f>
        <v>0.99257672550059151</v>
      </c>
      <c r="Y34">
        <f>'Implied Productivity Ratios'!Z34/'Implied Productivity Ratios'!$V34</f>
        <v>1.0109542413348389</v>
      </c>
      <c r="Z34">
        <f>'Implied Productivity Ratios'!AA34/'Implied Productivity Ratios'!$V34</f>
        <v>1.0388487337170349</v>
      </c>
      <c r="AA34">
        <f>'Implied Productivity Ratios'!AB34/'Implied Productivity Ratios'!$V34</f>
        <v>1.0722733142517047</v>
      </c>
      <c r="AB34">
        <f>'Implied Productivity Ratios'!AC34/'Implied Productivity Ratios'!$V34</f>
        <v>1.1093560115560737</v>
      </c>
      <c r="AC34">
        <f>'Implied Productivity Ratios'!AD34/'Implied Productivity Ratios'!$V34</f>
        <v>1.1488923556890522</v>
      </c>
      <c r="AD34">
        <f>'Implied Productivity Ratios'!AE34/'Implied Productivity Ratios'!$V34</f>
        <v>1.1902012972170972</v>
      </c>
      <c r="AE34">
        <f>'Implied Productivity Ratios'!AF34/'Implied Productivity Ratios'!$V34</f>
        <v>1.2334691279991361</v>
      </c>
      <c r="AF34">
        <f>'Implied Productivity Ratios'!AG34/'Implied Productivity Ratios'!$V34</f>
        <v>1.2798437946057459</v>
      </c>
      <c r="AG34">
        <f>'Implied Productivity Ratios'!AH34/'Implied Productivity Ratios'!$V34</f>
        <v>1.3256245113015077</v>
      </c>
      <c r="AH34">
        <f>'Implied Productivity Ratios'!AI34/'Implied Productivity Ratios'!$V34</f>
        <v>1.3710801742428089</v>
      </c>
      <c r="AI34">
        <f>'Implied Productivity Ratios'!AJ34/'Implied Productivity Ratios'!$V34</f>
        <v>1.4178289908127037</v>
      </c>
      <c r="AJ34">
        <f>'Implied Productivity Ratios'!AK34/'Implied Productivity Ratios'!$V34</f>
        <v>1.4665842298587999</v>
      </c>
      <c r="AK34">
        <f>'Implied Productivity Ratios'!AL34/'Implied Productivity Ratios'!$V34</f>
        <v>1.5165129151879295</v>
      </c>
      <c r="AL34">
        <f>'Implied Productivity Ratios'!AM34/'Implied Productivity Ratios'!$V34</f>
        <v>1.5678622971756138</v>
      </c>
      <c r="AM34">
        <f>'Implied Productivity Ratios'!AN34/'Implied Productivity Ratios'!$V34</f>
        <v>1.6206749521444777</v>
      </c>
      <c r="AN34">
        <f>'Implied Productivity Ratios'!AO34/'Implied Productivity Ratios'!$V34</f>
        <v>1.6744781739925485</v>
      </c>
      <c r="AO34">
        <f>'Implied Productivity Ratios'!AP34/'Implied Productivity Ratios'!$V34</f>
        <v>1.7295919715025518</v>
      </c>
      <c r="AP34">
        <f>'Implied Productivity Ratios'!AQ34/'Implied Productivity Ratios'!$V34</f>
        <v>1.7870617301846321</v>
      </c>
      <c r="AQ34">
        <f>'Implied Productivity Ratios'!AR34/'Implied Productivity Ratios'!$V34</f>
        <v>1.847259575297028</v>
      </c>
      <c r="AR34">
        <f>'Implied Productivity Ratios'!AS34/'Implied Productivity Ratios'!$V34</f>
        <v>1.9099035497509429</v>
      </c>
      <c r="AS34">
        <f>'Implied Productivity Ratios'!AT34/'Implied Productivity Ratios'!$V34</f>
        <v>1.97343405836509</v>
      </c>
      <c r="AT34">
        <f>'Implied Productivity Ratios'!AU34/'Implied Productivity Ratios'!$V34</f>
        <v>2.0389692975852158</v>
      </c>
      <c r="AU34">
        <f>'Implied Productivity Ratios'!AV34/'Implied Productivity Ratios'!$V34</f>
        <v>2.108328081845388</v>
      </c>
      <c r="AV34">
        <f>'Implied Productivity Ratios'!AW34/'Implied Productivity Ratios'!$V34</f>
        <v>2.179947592564436</v>
      </c>
      <c r="AW34">
        <f>'Implied Productivity Ratios'!AX34/'Implied Productivity Ratios'!$V34</f>
        <v>2.2533260851111456</v>
      </c>
      <c r="AX34">
        <f>'Implied Productivity Ratios'!AY34/'Implied Productivity Ratios'!$V34</f>
        <v>2.3282267307276006</v>
      </c>
      <c r="AY34">
        <f>'Implied Productivity Ratios'!AZ34/'Implied Productivity Ratios'!$V34</f>
        <v>2.4063041173274597</v>
      </c>
      <c r="AZ34">
        <f>'Implied Productivity Ratios'!BA34/'Implied Productivity Ratios'!$V34</f>
        <v>2.487644278351941</v>
      </c>
      <c r="BA34">
        <f>'Implied Productivity Ratios'!BB34/'Implied Productivity Ratios'!$V34</f>
        <v>2.5735629577089787</v>
      </c>
      <c r="BB34">
        <f>'Implied Productivity Ratios'!BC34/'Implied Productivity Ratios'!$V34</f>
        <v>2.6647769205106222</v>
      </c>
      <c r="BC34" s="5">
        <f>'Implied Productivity Ratios'!BD34/'Implied Productivity Ratios'!$V34</f>
        <v>2.7470670875905174</v>
      </c>
      <c r="BD34" s="5">
        <f>'Implied Productivity Ratios'!BE34/'Implied Productivity Ratios'!$V34</f>
        <v>2.8293572546704127</v>
      </c>
      <c r="BE34" s="5">
        <f>'Implied Productivity Ratios'!BF34/'Implied Productivity Ratios'!$V34</f>
        <v>2.9116474217503079</v>
      </c>
      <c r="BF34" s="5">
        <f>'Implied Productivity Ratios'!BG34/'Implied Productivity Ratios'!$V34</f>
        <v>2.9939375888302036</v>
      </c>
      <c r="BG34" s="5">
        <f>'Implied Productivity Ratios'!BH34/'Implied Productivity Ratios'!$V34</f>
        <v>3.0762277559100988</v>
      </c>
    </row>
    <row r="35" spans="2:59">
      <c r="B35">
        <v>424</v>
      </c>
      <c r="C35" t="s">
        <v>338</v>
      </c>
      <c r="D35">
        <f>'Implied Productivity Ratios'!E35/'Implied Productivity Ratios'!$V35</f>
        <v>0.87547307599884283</v>
      </c>
      <c r="E35">
        <f>'Implied Productivity Ratios'!F35/'Implied Productivity Ratios'!$V35</f>
        <v>0.87745229192096896</v>
      </c>
      <c r="F35">
        <f>'Implied Productivity Ratios'!G35/'Implied Productivity Ratios'!$V35</f>
        <v>0.88550705110657046</v>
      </c>
      <c r="G35">
        <f>'Implied Productivity Ratios'!H35/'Implied Productivity Ratios'!$V35</f>
        <v>0.87956777711157308</v>
      </c>
      <c r="H35">
        <f>'Implied Productivity Ratios'!I35/'Implied Productivity Ratios'!$V35</f>
        <v>0.80357120960868034</v>
      </c>
      <c r="I35">
        <f>'Implied Productivity Ratios'!J35/'Implied Productivity Ratios'!$V35</f>
        <v>0.80037279737487299</v>
      </c>
      <c r="J35">
        <f>'Implied Productivity Ratios'!K35/'Implied Productivity Ratios'!$V35</f>
        <v>0.80229899190602016</v>
      </c>
      <c r="K35">
        <f>'Implied Productivity Ratios'!L35/'Implied Productivity Ratios'!$V35</f>
        <v>0.80930962932602923</v>
      </c>
      <c r="L35">
        <f>'Implied Productivity Ratios'!M35/'Implied Productivity Ratios'!$V35</f>
        <v>0.82465337304104203</v>
      </c>
      <c r="M35">
        <f>'Implied Productivity Ratios'!N35/'Implied Productivity Ratios'!$V35</f>
        <v>0.83669709219671606</v>
      </c>
      <c r="N35">
        <f>'Implied Productivity Ratios'!O35/'Implied Productivity Ratios'!$V35</f>
        <v>0.8728106991793837</v>
      </c>
      <c r="O35">
        <f>'Implied Productivity Ratios'!P35/'Implied Productivity Ratios'!$V35</f>
        <v>0.91662022993549408</v>
      </c>
      <c r="P35">
        <f>'Implied Productivity Ratios'!Q35/'Implied Productivity Ratios'!$V35</f>
        <v>0.9287505395025748</v>
      </c>
      <c r="Q35">
        <f>'Implied Productivity Ratios'!R35/'Implied Productivity Ratios'!$V35</f>
        <v>0.93220546199366228</v>
      </c>
      <c r="R35">
        <f>'Implied Productivity Ratios'!S35/'Implied Productivity Ratios'!$V35</f>
        <v>0.94843283584898619</v>
      </c>
      <c r="S35">
        <f>'Implied Productivity Ratios'!T35/'Implied Productivity Ratios'!$V35</f>
        <v>1.0256984274980969</v>
      </c>
      <c r="T35">
        <f>'Implied Productivity Ratios'!U35/'Implied Productivity Ratios'!$V35</f>
        <v>1.0605803042169846</v>
      </c>
      <c r="U35">
        <f>'Implied Productivity Ratios'!V35/'Implied Productivity Ratios'!$V35</f>
        <v>1</v>
      </c>
      <c r="V35">
        <f>'Implied Productivity Ratios'!W35/'Implied Productivity Ratios'!$V35</f>
        <v>0.96866120948902912</v>
      </c>
      <c r="W35">
        <f>'Implied Productivity Ratios'!X35/'Implied Productivity Ratios'!$V35</f>
        <v>0.97235612163655172</v>
      </c>
      <c r="X35">
        <f>'Implied Productivity Ratios'!Y35/'Implied Productivity Ratios'!$V35</f>
        <v>0.99111135158734665</v>
      </c>
      <c r="Y35">
        <f>'Implied Productivity Ratios'!Z35/'Implied Productivity Ratios'!$V35</f>
        <v>1.0108371730167052</v>
      </c>
      <c r="Z35">
        <f>'Implied Productivity Ratios'!AA35/'Implied Productivity Ratios'!$V35</f>
        <v>1.0399480752784904</v>
      </c>
      <c r="AA35">
        <f>'Implied Productivity Ratios'!AB35/'Implied Productivity Ratios'!$V35</f>
        <v>1.0744996919488781</v>
      </c>
      <c r="AB35">
        <f>'Implied Productivity Ratios'!AC35/'Implied Productivity Ratios'!$V35</f>
        <v>1.1126629920879856</v>
      </c>
      <c r="AC35">
        <f>'Implied Productivity Ratios'!AD35/'Implied Productivity Ratios'!$V35</f>
        <v>1.1532520659939189</v>
      </c>
      <c r="AD35">
        <f>'Implied Productivity Ratios'!AE35/'Implied Productivity Ratios'!$V35</f>
        <v>1.1956157813642896</v>
      </c>
      <c r="AE35">
        <f>'Implied Productivity Ratios'!AF35/'Implied Productivity Ratios'!$V35</f>
        <v>1.2399539029816216</v>
      </c>
      <c r="AF35">
        <f>'Implied Productivity Ratios'!AG35/'Implied Productivity Ratios'!$V35</f>
        <v>1.287405932839305</v>
      </c>
      <c r="AG35">
        <f>'Implied Productivity Ratios'!AH35/'Implied Productivity Ratios'!$V35</f>
        <v>1.3342678924616327</v>
      </c>
      <c r="AH35">
        <f>'Implied Productivity Ratios'!AI35/'Implied Productivity Ratios'!$V35</f>
        <v>1.3807994857896544</v>
      </c>
      <c r="AI35">
        <f>'Implied Productivity Ratios'!AJ35/'Implied Productivity Ratios'!$V35</f>
        <v>1.4286188114396419</v>
      </c>
      <c r="AJ35">
        <f>'Implied Productivity Ratios'!AK35/'Implied Productivity Ratios'!$V35</f>
        <v>1.4783936387557048</v>
      </c>
      <c r="AK35">
        <f>'Implied Productivity Ratios'!AL35/'Implied Productivity Ratios'!$V35</f>
        <v>1.529293165693095</v>
      </c>
      <c r="AL35">
        <f>'Implied Productivity Ratios'!AM35/'Implied Productivity Ratios'!$V35</f>
        <v>1.5815795598880462</v>
      </c>
      <c r="AM35">
        <f>'Implied Productivity Ratios'!AN35/'Implied Productivity Ratios'!$V35</f>
        <v>1.6352781539917594</v>
      </c>
      <c r="AN35">
        <f>'Implied Productivity Ratios'!AO35/'Implied Productivity Ratios'!$V35</f>
        <v>1.6899163964796613</v>
      </c>
      <c r="AO35">
        <f>'Implied Productivity Ratios'!AP35/'Implied Productivity Ratios'!$V35</f>
        <v>1.7457942150036834</v>
      </c>
      <c r="AP35">
        <f>'Implied Productivity Ratios'!AQ35/'Implied Productivity Ratios'!$V35</f>
        <v>1.8039563109069447</v>
      </c>
      <c r="AQ35">
        <f>'Implied Productivity Ratios'!AR35/'Implied Productivity Ratios'!$V35</f>
        <v>1.8647866720721873</v>
      </c>
      <c r="AR35">
        <f>'Implied Productivity Ratios'!AS35/'Implied Productivity Ratios'!$V35</f>
        <v>1.927992771612401</v>
      </c>
      <c r="AS35">
        <f>'Implied Productivity Ratios'!AT35/'Implied Productivity Ratios'!$V35</f>
        <v>1.9919940294594198</v>
      </c>
      <c r="AT35">
        <f>'Implied Productivity Ratios'!AU35/'Implied Productivity Ratios'!$V35</f>
        <v>2.0578866401892837</v>
      </c>
      <c r="AU35">
        <f>'Implied Productivity Ratios'!AV35/'Implied Productivity Ratios'!$V35</f>
        <v>2.1275106385268541</v>
      </c>
      <c r="AV35">
        <f>'Implied Productivity Ratios'!AW35/'Implied Productivity Ratios'!$V35</f>
        <v>2.1992975498571412</v>
      </c>
      <c r="AW35">
        <f>'Implied Productivity Ratios'!AX35/'Implied Productivity Ratios'!$V35</f>
        <v>2.27274595235134</v>
      </c>
      <c r="AX35">
        <f>'Implied Productivity Ratios'!AY35/'Implied Productivity Ratios'!$V35</f>
        <v>2.3476080592702218</v>
      </c>
      <c r="AY35">
        <f>'Implied Productivity Ratios'!AZ35/'Implied Productivity Ratios'!$V35</f>
        <v>2.4255441524034169</v>
      </c>
      <c r="AZ35">
        <f>'Implied Productivity Ratios'!BA35/'Implied Productivity Ratios'!$V35</f>
        <v>2.5066442195774443</v>
      </c>
      <c r="BA35">
        <f>'Implied Productivity Ratios'!BB35/'Implied Productivity Ratios'!$V35</f>
        <v>2.5921990360898377</v>
      </c>
      <c r="BB35">
        <f>'Implied Productivity Ratios'!BC35/'Implied Productivity Ratios'!$V35</f>
        <v>2.6828987815633853</v>
      </c>
      <c r="BC35" s="5">
        <f>'Implied Productivity Ratios'!BD35/'Implied Productivity Ratios'!$V35</f>
        <v>2.7649293474057948</v>
      </c>
      <c r="BD35" s="5">
        <f>'Implied Productivity Ratios'!BE35/'Implied Productivity Ratios'!$V35</f>
        <v>2.8469599132482037</v>
      </c>
      <c r="BE35" s="5">
        <f>'Implied Productivity Ratios'!BF35/'Implied Productivity Ratios'!$V35</f>
        <v>2.9289904790906127</v>
      </c>
      <c r="BF35" s="5">
        <f>'Implied Productivity Ratios'!BG35/'Implied Productivity Ratios'!$V35</f>
        <v>3.0110210449330221</v>
      </c>
      <c r="BG35" s="5">
        <f>'Implied Productivity Ratios'!BH35/'Implied Productivity Ratios'!$V35</f>
        <v>3.0930516107754311</v>
      </c>
    </row>
    <row r="36" spans="2:59">
      <c r="B36">
        <v>425</v>
      </c>
      <c r="C36" t="s">
        <v>342</v>
      </c>
      <c r="D36">
        <f>'Implied Productivity Ratios'!E36/'Implied Productivity Ratios'!$V36</f>
        <v>1.1530492676089461</v>
      </c>
      <c r="E36">
        <f>'Implied Productivity Ratios'!F36/'Implied Productivity Ratios'!$V36</f>
        <v>1.05606551186613</v>
      </c>
      <c r="F36">
        <f>'Implied Productivity Ratios'!G36/'Implied Productivity Ratios'!$V36</f>
        <v>1.0562146152904097</v>
      </c>
      <c r="G36">
        <f>'Implied Productivity Ratios'!H36/'Implied Productivity Ratios'!$V36</f>
        <v>1.3404382791466698</v>
      </c>
      <c r="H36">
        <f>'Implied Productivity Ratios'!I36/'Implied Productivity Ratios'!$V36</f>
        <v>1.2133719216567875</v>
      </c>
      <c r="I36">
        <f>'Implied Productivity Ratios'!J36/'Implied Productivity Ratios'!$V36</f>
        <v>1.6803755712998305</v>
      </c>
      <c r="J36">
        <f>'Implied Productivity Ratios'!K36/'Implied Productivity Ratios'!$V36</f>
        <v>1.7382781019024645</v>
      </c>
      <c r="K36">
        <f>'Implied Productivity Ratios'!L36/'Implied Productivity Ratios'!$V36</f>
        <v>1.9027742987593292</v>
      </c>
      <c r="L36">
        <f>'Implied Productivity Ratios'!M36/'Implied Productivity Ratios'!$V36</f>
        <v>1.9254735391541327</v>
      </c>
      <c r="M36">
        <f>'Implied Productivity Ratios'!N36/'Implied Productivity Ratios'!$V36</f>
        <v>1.8901743098418151</v>
      </c>
      <c r="N36">
        <f>'Implied Productivity Ratios'!O36/'Implied Productivity Ratios'!$V36</f>
        <v>1.7505624374987656</v>
      </c>
      <c r="O36">
        <f>'Implied Productivity Ratios'!P36/'Implied Productivity Ratios'!$V36</f>
        <v>1.4460812283270545</v>
      </c>
      <c r="P36">
        <f>'Implied Productivity Ratios'!Q36/'Implied Productivity Ratios'!$V36</f>
        <v>1.1753913057711292</v>
      </c>
      <c r="Q36">
        <f>'Implied Productivity Ratios'!R36/'Implied Productivity Ratios'!$V36</f>
        <v>0.98747896375103428</v>
      </c>
      <c r="R36">
        <f>'Implied Productivity Ratios'!S36/'Implied Productivity Ratios'!$V36</f>
        <v>1.033368853163237</v>
      </c>
      <c r="S36">
        <f>'Implied Productivity Ratios'!T36/'Implied Productivity Ratios'!$V36</f>
        <v>0.98859078276272028</v>
      </c>
      <c r="T36">
        <f>'Implied Productivity Ratios'!U36/'Implied Productivity Ratios'!$V36</f>
        <v>1.1020022289248943</v>
      </c>
      <c r="U36">
        <f>'Implied Productivity Ratios'!V36/'Implied Productivity Ratios'!$V36</f>
        <v>1</v>
      </c>
      <c r="V36">
        <f>'Implied Productivity Ratios'!W36/'Implied Productivity Ratios'!$V36</f>
        <v>0.88254175817103064</v>
      </c>
      <c r="W36">
        <f>'Implied Productivity Ratios'!X36/'Implied Productivity Ratios'!$V36</f>
        <v>0.84449468045771725</v>
      </c>
      <c r="X36">
        <f>'Implied Productivity Ratios'!Y36/'Implied Productivity Ratios'!$V36</f>
        <v>0.8503642045273655</v>
      </c>
      <c r="Y36">
        <f>'Implied Productivity Ratios'!Z36/'Implied Productivity Ratios'!$V36</f>
        <v>0.8535540240751861</v>
      </c>
      <c r="Z36">
        <f>'Implied Productivity Ratios'!AA36/'Implied Productivity Ratios'!$V36</f>
        <v>0.86481619083010652</v>
      </c>
      <c r="AA36">
        <f>'Implied Productivity Ratios'!AB36/'Implied Productivity Ratios'!$V36</f>
        <v>0.88060679281543641</v>
      </c>
      <c r="AB36">
        <f>'Implied Productivity Ratios'!AC36/'Implied Productivity Ratios'!$V36</f>
        <v>0.89919004114815682</v>
      </c>
      <c r="AC36">
        <f>'Implied Productivity Ratios'!AD36/'Implied Productivity Ratios'!$V36</f>
        <v>0.91941088312545804</v>
      </c>
      <c r="AD36">
        <f>'Implied Productivity Ratios'!AE36/'Implied Productivity Ratios'!$V36</f>
        <v>0.94076396862874156</v>
      </c>
      <c r="AE36">
        <f>'Implied Productivity Ratios'!AF36/'Implied Productivity Ratios'!$V36</f>
        <v>0.96343996403457755</v>
      </c>
      <c r="AF36">
        <f>'Implied Productivity Ratios'!AG36/'Implied Productivity Ratios'!$V36</f>
        <v>0.98833251059786664</v>
      </c>
      <c r="AG36">
        <f>'Implied Productivity Ratios'!AH36/'Implied Productivity Ratios'!$V36</f>
        <v>1.012574412405941</v>
      </c>
      <c r="AH36">
        <f>'Implied Productivity Ratios'!AI36/'Implied Productivity Ratios'!$V36</f>
        <v>1.0364067864121567</v>
      </c>
      <c r="AI36">
        <f>'Implied Productivity Ratios'!AJ36/'Implied Productivity Ratios'!$V36</f>
        <v>1.0611033393388418</v>
      </c>
      <c r="AJ36">
        <f>'Implied Productivity Ratios'!AK36/'Implied Productivity Ratios'!$V36</f>
        <v>1.0872101068094375</v>
      </c>
      <c r="AK36">
        <f>'Implied Productivity Ratios'!AL36/'Implied Productivity Ratios'!$V36</f>
        <v>1.1141467032453745</v>
      </c>
      <c r="AL36">
        <f>'Implied Productivity Ratios'!AM36/'Implied Productivity Ratios'!$V36</f>
        <v>1.1421175842880518</v>
      </c>
      <c r="AM36">
        <f>'Implied Productivity Ratios'!AN36/'Implied Productivity Ratios'!$V36</f>
        <v>1.1711667142904005</v>
      </c>
      <c r="AN36">
        <f>'Implied Productivity Ratios'!AO36/'Implied Productivity Ratios'!$V36</f>
        <v>1.200976312918173</v>
      </c>
      <c r="AO36">
        <f>'Implied Productivity Ratios'!AP36/'Implied Productivity Ratios'!$V36</f>
        <v>1.2317985953041899</v>
      </c>
      <c r="AP36">
        <f>'Implied Productivity Ratios'!AQ36/'Implied Productivity Ratios'!$V36</f>
        <v>1.2644130422394819</v>
      </c>
      <c r="AQ36">
        <f>'Implied Productivity Ratios'!AR36/'Implied Productivity Ratios'!$V36</f>
        <v>1.2991133778474524</v>
      </c>
      <c r="AR36">
        <f>'Implied Productivity Ratios'!AS36/'Implied Productivity Ratios'!$V36</f>
        <v>1.3357226396749022</v>
      </c>
      <c r="AS36">
        <f>'Implied Productivity Ratios'!AT36/'Implied Productivity Ratios'!$V36</f>
        <v>1.3731788055360126</v>
      </c>
      <c r="AT36">
        <f>'Implied Productivity Ratios'!AU36/'Implied Productivity Ratios'!$V36</f>
        <v>1.4123050282832141</v>
      </c>
      <c r="AU36">
        <f>'Implied Productivity Ratios'!AV36/'Implied Productivity Ratios'!$V36</f>
        <v>1.4543908580069542</v>
      </c>
      <c r="AV36">
        <f>'Implied Productivity Ratios'!AW36/'Implied Productivity Ratios'!$V36</f>
        <v>1.4983991582624736</v>
      </c>
      <c r="AW36">
        <f>'Implied Productivity Ratios'!AX36/'Implied Productivity Ratios'!$V36</f>
        <v>1.5440571939774681</v>
      </c>
      <c r="AX36">
        <f>'Implied Productivity Ratios'!AY36/'Implied Productivity Ratios'!$V36</f>
        <v>1.5912553055243548</v>
      </c>
      <c r="AY36">
        <f>'Implied Productivity Ratios'!AZ36/'Implied Productivity Ratios'!$V36</f>
        <v>1.6411746538764287</v>
      </c>
      <c r="AZ36">
        <f>'Implied Productivity Ratios'!BA36/'Implied Productivity Ratios'!$V36</f>
        <v>1.6939463073024155</v>
      </c>
      <c r="BA36">
        <f>'Implied Productivity Ratios'!BB36/'Implied Productivity Ratios'!$V36</f>
        <v>1.7505210533701256</v>
      </c>
      <c r="BB36">
        <f>'Implied Productivity Ratios'!BC36/'Implied Productivity Ratios'!$V36</f>
        <v>1.8114626474453701</v>
      </c>
      <c r="BC36" s="5">
        <f>'Implied Productivity Ratios'!BD36/'Implied Productivity Ratios'!$V36</f>
        <v>1.8649437381389506</v>
      </c>
      <c r="BD36" s="5">
        <f>'Implied Productivity Ratios'!BE36/'Implied Productivity Ratios'!$V36</f>
        <v>1.918424828832531</v>
      </c>
      <c r="BE36" s="5">
        <f>'Implied Productivity Ratios'!BF36/'Implied Productivity Ratios'!$V36</f>
        <v>1.9719059195261113</v>
      </c>
      <c r="BF36" s="5">
        <f>'Implied Productivity Ratios'!BG36/'Implied Productivity Ratios'!$V36</f>
        <v>2.0253870102196916</v>
      </c>
      <c r="BG36" s="5">
        <f>'Implied Productivity Ratios'!BH36/'Implied Productivity Ratios'!$V36</f>
        <v>2.0788681009132723</v>
      </c>
    </row>
    <row r="37" spans="2:59">
      <c r="B37">
        <v>441</v>
      </c>
      <c r="C37" t="s">
        <v>119</v>
      </c>
      <c r="D37">
        <f>'Implied Productivity Ratios'!E37/'Implied Productivity Ratios'!$V37</f>
        <v>0.95935157943008431</v>
      </c>
      <c r="E37">
        <f>'Implied Productivity Ratios'!F37/'Implied Productivity Ratios'!$V37</f>
        <v>0.93718006381027297</v>
      </c>
      <c r="F37">
        <f>'Implied Productivity Ratios'!G37/'Implied Productivity Ratios'!$V37</f>
        <v>0.94712613577189497</v>
      </c>
      <c r="G37">
        <f>'Implied Productivity Ratios'!H37/'Implied Productivity Ratios'!$V37</f>
        <v>0.89120024794156982</v>
      </c>
      <c r="H37">
        <f>'Implied Productivity Ratios'!I37/'Implied Productivity Ratios'!$V37</f>
        <v>0.83487794204422661</v>
      </c>
      <c r="I37">
        <f>'Implied Productivity Ratios'!J37/'Implied Productivity Ratios'!$V37</f>
        <v>0.92365807687255252</v>
      </c>
      <c r="J37">
        <f>'Implied Productivity Ratios'!K37/'Implied Productivity Ratios'!$V37</f>
        <v>0.91077485974183603</v>
      </c>
      <c r="K37">
        <f>'Implied Productivity Ratios'!L37/'Implied Productivity Ratios'!$V37</f>
        <v>0.96197513352952368</v>
      </c>
      <c r="L37">
        <f>'Implied Productivity Ratios'!M37/'Implied Productivity Ratios'!$V37</f>
        <v>1.0492360438501089</v>
      </c>
      <c r="M37">
        <f>'Implied Productivity Ratios'!N37/'Implied Productivity Ratios'!$V37</f>
        <v>1.0985020798915555</v>
      </c>
      <c r="N37">
        <f>'Implied Productivity Ratios'!O37/'Implied Productivity Ratios'!$V37</f>
        <v>1.1761932288650243</v>
      </c>
      <c r="O37">
        <f>'Implied Productivity Ratios'!P37/'Implied Productivity Ratios'!$V37</f>
        <v>1.3392421382994728</v>
      </c>
      <c r="P37">
        <f>'Implied Productivity Ratios'!Q37/'Implied Productivity Ratios'!$V37</f>
        <v>1.4660203028505545</v>
      </c>
      <c r="Q37">
        <f>'Implied Productivity Ratios'!R37/'Implied Productivity Ratios'!$V37</f>
        <v>1.5070239199101398</v>
      </c>
      <c r="R37">
        <f>'Implied Productivity Ratios'!S37/'Implied Productivity Ratios'!$V37</f>
        <v>1.5991332915355065</v>
      </c>
      <c r="S37">
        <f>'Implied Productivity Ratios'!T37/'Implied Productivity Ratios'!$V37</f>
        <v>1.4859084905824325</v>
      </c>
      <c r="T37">
        <f>'Implied Productivity Ratios'!U37/'Implied Productivity Ratios'!$V37</f>
        <v>1.2076475629747945</v>
      </c>
      <c r="U37">
        <f>'Implied Productivity Ratios'!V37/'Implied Productivity Ratios'!$V37</f>
        <v>1</v>
      </c>
      <c r="V37">
        <f>'Implied Productivity Ratios'!W37/'Implied Productivity Ratios'!$V37</f>
        <v>1.3690155302528053</v>
      </c>
      <c r="W37">
        <f>'Implied Productivity Ratios'!X37/'Implied Productivity Ratios'!$V37</f>
        <v>1.7853172199439333</v>
      </c>
      <c r="X37">
        <f>'Implied Productivity Ratios'!Y37/'Implied Productivity Ratios'!$V37</f>
        <v>1.8577331677023821</v>
      </c>
      <c r="Y37">
        <f>'Implied Productivity Ratios'!Z37/'Implied Productivity Ratios'!$V37</f>
        <v>1.9152172580842695</v>
      </c>
      <c r="Z37">
        <f>'Implied Productivity Ratios'!AA37/'Implied Productivity Ratios'!$V37</f>
        <v>1.9728714092660382</v>
      </c>
      <c r="AA37">
        <f>'Implied Productivity Ratios'!AB37/'Implied Productivity Ratios'!$V37</f>
        <v>2.0303220144657477</v>
      </c>
      <c r="AB37">
        <f>'Implied Productivity Ratios'!AC37/'Implied Productivity Ratios'!$V37</f>
        <v>2.089215839984631</v>
      </c>
      <c r="AC37">
        <f>'Implied Productivity Ratios'!AD37/'Implied Productivity Ratios'!$V37</f>
        <v>2.1502107807525364</v>
      </c>
      <c r="AD37">
        <f>'Implied Productivity Ratios'!AE37/'Implied Productivity Ratios'!$V37</f>
        <v>2.2072901343134066</v>
      </c>
      <c r="AE37">
        <f>'Implied Productivity Ratios'!AF37/'Implied Productivity Ratios'!$V37</f>
        <v>2.2626706537838568</v>
      </c>
      <c r="AF37">
        <f>'Implied Productivity Ratios'!AG37/'Implied Productivity Ratios'!$V37</f>
        <v>2.3161928520930126</v>
      </c>
      <c r="AG37">
        <f>'Implied Productivity Ratios'!AH37/'Implied Productivity Ratios'!$V37</f>
        <v>2.3641855314549707</v>
      </c>
      <c r="AH37">
        <f>'Implied Productivity Ratios'!AI37/'Implied Productivity Ratios'!$V37</f>
        <v>2.4098526230873785</v>
      </c>
      <c r="AI37">
        <f>'Implied Productivity Ratios'!AJ37/'Implied Productivity Ratios'!$V37</f>
        <v>2.4586447258178565</v>
      </c>
      <c r="AJ37">
        <f>'Implied Productivity Ratios'!AK37/'Implied Productivity Ratios'!$V37</f>
        <v>2.5100779464198757</v>
      </c>
      <c r="AK37">
        <f>'Implied Productivity Ratios'!AL37/'Implied Productivity Ratios'!$V37</f>
        <v>2.5680803360126343</v>
      </c>
      <c r="AL37">
        <f>'Implied Productivity Ratios'!AM37/'Implied Productivity Ratios'!$V37</f>
        <v>2.6277342352061464</v>
      </c>
      <c r="AM37">
        <f>'Implied Productivity Ratios'!AN37/'Implied Productivity Ratios'!$V37</f>
        <v>2.6867452092109709</v>
      </c>
      <c r="AN37">
        <f>'Implied Productivity Ratios'!AO37/'Implied Productivity Ratios'!$V37</f>
        <v>2.7435220604276638</v>
      </c>
      <c r="AO37">
        <f>'Implied Productivity Ratios'!AP37/'Implied Productivity Ratios'!$V37</f>
        <v>2.7995279476737678</v>
      </c>
      <c r="AP37">
        <f>'Implied Productivity Ratios'!AQ37/'Implied Productivity Ratios'!$V37</f>
        <v>2.8559271764897418</v>
      </c>
      <c r="AQ37">
        <f>'Implied Productivity Ratios'!AR37/'Implied Productivity Ratios'!$V37</f>
        <v>2.9135534091940913</v>
      </c>
      <c r="AR37">
        <f>'Implied Productivity Ratios'!AS37/'Implied Productivity Ratios'!$V37</f>
        <v>2.9719044892084154</v>
      </c>
      <c r="AS37">
        <f>'Implied Productivity Ratios'!AT37/'Implied Productivity Ratios'!$V37</f>
        <v>3.0303013170993434</v>
      </c>
      <c r="AT37">
        <f>'Implied Productivity Ratios'!AU37/'Implied Productivity Ratios'!$V37</f>
        <v>3.0906659922679358</v>
      </c>
      <c r="AU37">
        <f>'Implied Productivity Ratios'!AV37/'Implied Productivity Ratios'!$V37</f>
        <v>3.1543518728662696</v>
      </c>
      <c r="AV37">
        <f>'Implied Productivity Ratios'!AW37/'Implied Productivity Ratios'!$V37</f>
        <v>3.2193121503291278</v>
      </c>
      <c r="AW37">
        <f>'Implied Productivity Ratios'!AX37/'Implied Productivity Ratios'!$V37</f>
        <v>3.2858228327308603</v>
      </c>
      <c r="AX37">
        <f>'Implied Productivity Ratios'!AY37/'Implied Productivity Ratios'!$V37</f>
        <v>3.3542310446300645</v>
      </c>
      <c r="AY37">
        <f>'Implied Productivity Ratios'!AZ37/'Implied Productivity Ratios'!$V37</f>
        <v>3.4257332270965937</v>
      </c>
      <c r="AZ37">
        <f>'Implied Productivity Ratios'!BA37/'Implied Productivity Ratios'!$V37</f>
        <v>3.5012818890820756</v>
      </c>
      <c r="BA37">
        <f>'Implied Productivity Ratios'!BB37/'Implied Productivity Ratios'!$V37</f>
        <v>3.5803438130412308</v>
      </c>
      <c r="BB37">
        <f>'Implied Productivity Ratios'!BC37/'Implied Productivity Ratios'!$V37</f>
        <v>3.6630612486999792</v>
      </c>
      <c r="BC37" s="5">
        <f>'Implied Productivity Ratios'!BD37/'Implied Productivity Ratios'!$V37</f>
        <v>3.7385089318938034</v>
      </c>
      <c r="BD37" s="5">
        <f>'Implied Productivity Ratios'!BE37/'Implied Productivity Ratios'!$V37</f>
        <v>3.8139566150876276</v>
      </c>
      <c r="BE37" s="5">
        <f>'Implied Productivity Ratios'!BF37/'Implied Productivity Ratios'!$V37</f>
        <v>3.8894042982814518</v>
      </c>
      <c r="BF37" s="5">
        <f>'Implied Productivity Ratios'!BG37/'Implied Productivity Ratios'!$V37</f>
        <v>3.9648519814752756</v>
      </c>
      <c r="BG37" s="5">
        <f>'Implied Productivity Ratios'!BH37/'Implied Productivity Ratios'!$V37</f>
        <v>4.0402996646691003</v>
      </c>
    </row>
    <row r="38" spans="2:59">
      <c r="B38">
        <v>442</v>
      </c>
      <c r="C38" t="s">
        <v>123</v>
      </c>
      <c r="D38">
        <f>'Implied Productivity Ratios'!E38/'Implied Productivity Ratios'!$V38</f>
        <v>0.70596160725620316</v>
      </c>
      <c r="E38">
        <f>'Implied Productivity Ratios'!F38/'Implied Productivity Ratios'!$V38</f>
        <v>0.72768448625827298</v>
      </c>
      <c r="F38">
        <f>'Implied Productivity Ratios'!G38/'Implied Productivity Ratios'!$V38</f>
        <v>0.72740758610676104</v>
      </c>
      <c r="G38">
        <f>'Implied Productivity Ratios'!H38/'Implied Productivity Ratios'!$V38</f>
        <v>0.69850559123920397</v>
      </c>
      <c r="H38">
        <f>'Implied Productivity Ratios'!I38/'Implied Productivity Ratios'!$V38</f>
        <v>0.69872426456109638</v>
      </c>
      <c r="I38">
        <f>'Implied Productivity Ratios'!J38/'Implied Productivity Ratios'!$V38</f>
        <v>0.71869541432888251</v>
      </c>
      <c r="J38">
        <f>'Implied Productivity Ratios'!K38/'Implied Productivity Ratios'!$V38</f>
        <v>0.72276792380151589</v>
      </c>
      <c r="K38">
        <f>'Implied Productivity Ratios'!L38/'Implied Productivity Ratios'!$V38</f>
        <v>0.7377337658826022</v>
      </c>
      <c r="L38">
        <f>'Implied Productivity Ratios'!M38/'Implied Productivity Ratios'!$V38</f>
        <v>0.76135756808200916</v>
      </c>
      <c r="M38">
        <f>'Implied Productivity Ratios'!N38/'Implied Productivity Ratios'!$V38</f>
        <v>0.79459422649816447</v>
      </c>
      <c r="N38">
        <f>'Implied Productivity Ratios'!O38/'Implied Productivity Ratios'!$V38</f>
        <v>0.84305799573882134</v>
      </c>
      <c r="O38">
        <f>'Implied Productivity Ratios'!P38/'Implied Productivity Ratios'!$V38</f>
        <v>0.8992676225936479</v>
      </c>
      <c r="P38">
        <f>'Implied Productivity Ratios'!Q38/'Implied Productivity Ratios'!$V38</f>
        <v>0.89376436873195186</v>
      </c>
      <c r="Q38">
        <f>'Implied Productivity Ratios'!R38/'Implied Productivity Ratios'!$V38</f>
        <v>0.95179687760587972</v>
      </c>
      <c r="R38">
        <f>'Implied Productivity Ratios'!S38/'Implied Productivity Ratios'!$V38</f>
        <v>1.0308025276696464</v>
      </c>
      <c r="S38">
        <f>'Implied Productivity Ratios'!T38/'Implied Productivity Ratios'!$V38</f>
        <v>1.026607395728159</v>
      </c>
      <c r="T38">
        <f>'Implied Productivity Ratios'!U38/'Implied Productivity Ratios'!$V38</f>
        <v>1.0705464841556678</v>
      </c>
      <c r="U38">
        <f>'Implied Productivity Ratios'!V38/'Implied Productivity Ratios'!$V38</f>
        <v>1</v>
      </c>
      <c r="V38">
        <f>'Implied Productivity Ratios'!W38/'Implied Productivity Ratios'!$V38</f>
        <v>0.97964455377616488</v>
      </c>
      <c r="W38">
        <f>'Implied Productivity Ratios'!X38/'Implied Productivity Ratios'!$V38</f>
        <v>0.96490843273121474</v>
      </c>
      <c r="X38">
        <f>'Implied Productivity Ratios'!Y38/'Implied Productivity Ratios'!$V38</f>
        <v>0.97141593542274762</v>
      </c>
      <c r="Y38">
        <f>'Implied Productivity Ratios'!Z38/'Implied Productivity Ratios'!$V38</f>
        <v>0.97681336318030143</v>
      </c>
      <c r="Z38">
        <f>'Implied Productivity Ratios'!AA38/'Implied Productivity Ratios'!$V38</f>
        <v>0.98222370328651754</v>
      </c>
      <c r="AA38">
        <f>'Implied Productivity Ratios'!AB38/'Implied Productivity Ratios'!$V38</f>
        <v>0.9875619318577793</v>
      </c>
      <c r="AB38">
        <f>'Implied Productivity Ratios'!AC38/'Implied Productivity Ratios'!$V38</f>
        <v>0.99367072977023485</v>
      </c>
      <c r="AC38">
        <f>'Implied Productivity Ratios'!AD38/'Implied Productivity Ratios'!$V38</f>
        <v>1.0008711134293329</v>
      </c>
      <c r="AD38">
        <f>'Implied Productivity Ratios'!AE38/'Implied Productivity Ratios'!$V38</f>
        <v>1.0063652798252025</v>
      </c>
      <c r="AE38">
        <f>'Implied Productivity Ratios'!AF38/'Implied Productivity Ratios'!$V38</f>
        <v>1.0112979942467484</v>
      </c>
      <c r="AF38">
        <f>'Implied Productivity Ratios'!AG38/'Implied Productivity Ratios'!$V38</f>
        <v>1.0156692440914283</v>
      </c>
      <c r="AG38">
        <f>'Implied Productivity Ratios'!AH38/'Implied Productivity Ratios'!$V38</f>
        <v>1.0179680312199093</v>
      </c>
      <c r="AH38">
        <f>'Implied Productivity Ratios'!AI38/'Implied Productivity Ratios'!$V38</f>
        <v>1.0197082639653261</v>
      </c>
      <c r="AI38">
        <f>'Implied Productivity Ratios'!AJ38/'Implied Productivity Ratios'!$V38</f>
        <v>1.0232493599697978</v>
      </c>
      <c r="AJ38">
        <f>'Implied Productivity Ratios'!AK38/'Implied Productivity Ratios'!$V38</f>
        <v>1.0283469604311333</v>
      </c>
      <c r="AK38">
        <f>'Implied Productivity Ratios'!AL38/'Implied Productivity Ratios'!$V38</f>
        <v>1.0365512557435537</v>
      </c>
      <c r="AL38">
        <f>'Implied Productivity Ratios'!AM38/'Implied Productivity Ratios'!$V38</f>
        <v>1.0458228910349314</v>
      </c>
      <c r="AM38">
        <f>'Implied Productivity Ratios'!AN38/'Implied Productivity Ratios'!$V38</f>
        <v>1.055264672013432</v>
      </c>
      <c r="AN38">
        <f>'Implied Productivity Ratios'!AO38/'Implied Productivity Ratios'!$V38</f>
        <v>1.0643001520275857</v>
      </c>
      <c r="AO38">
        <f>'Implied Productivity Ratios'!AP38/'Implied Productivity Ratios'!$V38</f>
        <v>1.0735607049813447</v>
      </c>
      <c r="AP38">
        <f>'Implied Productivity Ratios'!AQ38/'Implied Productivity Ratios'!$V38</f>
        <v>1.0835229197056937</v>
      </c>
      <c r="AQ38">
        <f>'Implied Productivity Ratios'!AR38/'Implied Productivity Ratios'!$V38</f>
        <v>1.0945367257287699</v>
      </c>
      <c r="AR38">
        <f>'Implied Productivity Ratios'!AS38/'Implied Productivity Ratios'!$V38</f>
        <v>1.1064297600521165</v>
      </c>
      <c r="AS38">
        <f>'Implied Productivity Ratios'!AT38/'Implied Productivity Ratios'!$V38</f>
        <v>1.1189788112076837</v>
      </c>
      <c r="AT38">
        <f>'Implied Productivity Ratios'!AU38/'Implied Productivity Ratios'!$V38</f>
        <v>1.1329223893390241</v>
      </c>
      <c r="AU38">
        <f>'Implied Productivity Ratios'!AV38/'Implied Productivity Ratios'!$V38</f>
        <v>1.1487862190539571</v>
      </c>
      <c r="AV38">
        <f>'Implied Productivity Ratios'!AW38/'Implied Productivity Ratios'!$V38</f>
        <v>1.165842046864269</v>
      </c>
      <c r="AW38">
        <f>'Implied Productivity Ratios'!AX38/'Implied Productivity Ratios'!$V38</f>
        <v>1.1842213416115337</v>
      </c>
      <c r="AX38">
        <f>'Implied Productivity Ratios'!AY38/'Implied Productivity Ratios'!$V38</f>
        <v>1.2040880619455281</v>
      </c>
      <c r="AY38">
        <f>'Implied Productivity Ratios'!AZ38/'Implied Productivity Ratios'!$V38</f>
        <v>1.2259193736008422</v>
      </c>
      <c r="AZ38">
        <f>'Implied Productivity Ratios'!BA38/'Implied Productivity Ratios'!$V38</f>
        <v>1.2501024412114179</v>
      </c>
      <c r="BA38">
        <f>'Implied Productivity Ratios'!BB38/'Implied Productivity Ratios'!$V38</f>
        <v>1.2764999725486366</v>
      </c>
      <c r="BB38">
        <f>'Implied Productivity Ratios'!BC38/'Implied Productivity Ratios'!$V38</f>
        <v>1.305217430195984</v>
      </c>
      <c r="BC38" s="5">
        <f>'Implied Productivity Ratios'!BD38/'Implied Productivity Ratios'!$V38</f>
        <v>1.3294166479128739</v>
      </c>
      <c r="BD38" s="5">
        <f>'Implied Productivity Ratios'!BE38/'Implied Productivity Ratios'!$V38</f>
        <v>1.3536158656297639</v>
      </c>
      <c r="BE38" s="5">
        <f>'Implied Productivity Ratios'!BF38/'Implied Productivity Ratios'!$V38</f>
        <v>1.377815083346654</v>
      </c>
      <c r="BF38" s="5">
        <f>'Implied Productivity Ratios'!BG38/'Implied Productivity Ratios'!$V38</f>
        <v>1.402014301063544</v>
      </c>
      <c r="BG38" s="5">
        <f>'Implied Productivity Ratios'!BH38/'Implied Productivity Ratios'!$V38</f>
        <v>1.4262135187804339</v>
      </c>
    </row>
    <row r="39" spans="2:59">
      <c r="B39">
        <v>443</v>
      </c>
      <c r="C39" t="s">
        <v>127</v>
      </c>
      <c r="D39">
        <f>'Implied Productivity Ratios'!E39/'Implied Productivity Ratios'!$V39</f>
        <v>0.69064746014011169</v>
      </c>
      <c r="E39">
        <f>'Implied Productivity Ratios'!F39/'Implied Productivity Ratios'!$V39</f>
        <v>0.70353699538035241</v>
      </c>
      <c r="F39">
        <f>'Implied Productivity Ratios'!G39/'Implied Productivity Ratios'!$V39</f>
        <v>0.72292781570143194</v>
      </c>
      <c r="G39">
        <f>'Implied Productivity Ratios'!H39/'Implied Productivity Ratios'!$V39</f>
        <v>0.71064429722677303</v>
      </c>
      <c r="H39">
        <f>'Implied Productivity Ratios'!I39/'Implied Productivity Ratios'!$V39</f>
        <v>0.71518019393230414</v>
      </c>
      <c r="I39">
        <f>'Implied Productivity Ratios'!J39/'Implied Productivity Ratios'!$V39</f>
        <v>0.76319327134986026</v>
      </c>
      <c r="J39">
        <f>'Implied Productivity Ratios'!K39/'Implied Productivity Ratios'!$V39</f>
        <v>0.76947308434750739</v>
      </c>
      <c r="K39">
        <f>'Implied Productivity Ratios'!L39/'Implied Productivity Ratios'!$V39</f>
        <v>0.81634816879813454</v>
      </c>
      <c r="L39">
        <f>'Implied Productivity Ratios'!M39/'Implied Productivity Ratios'!$V39</f>
        <v>0.80793319588567813</v>
      </c>
      <c r="M39">
        <f>'Implied Productivity Ratios'!N39/'Implied Productivity Ratios'!$V39</f>
        <v>0.83166449644733809</v>
      </c>
      <c r="N39">
        <f>'Implied Productivity Ratios'!O39/'Implied Productivity Ratios'!$V39</f>
        <v>0.91190230740861944</v>
      </c>
      <c r="O39">
        <f>'Implied Productivity Ratios'!P39/'Implied Productivity Ratios'!$V39</f>
        <v>0.91598438716143848</v>
      </c>
      <c r="P39">
        <f>'Implied Productivity Ratios'!Q39/'Implied Productivity Ratios'!$V39</f>
        <v>0.91569333711240164</v>
      </c>
      <c r="Q39">
        <f>'Implied Productivity Ratios'!R39/'Implied Productivity Ratios'!$V39</f>
        <v>0.97258293885418268</v>
      </c>
      <c r="R39">
        <f>'Implied Productivity Ratios'!S39/'Implied Productivity Ratios'!$V39</f>
        <v>1.0614853044425576</v>
      </c>
      <c r="S39">
        <f>'Implied Productivity Ratios'!T39/'Implied Productivity Ratios'!$V39</f>
        <v>1.0259670590979508</v>
      </c>
      <c r="T39">
        <f>'Implied Productivity Ratios'!U39/'Implied Productivity Ratios'!$V39</f>
        <v>1.0959983558666833</v>
      </c>
      <c r="U39">
        <f>'Implied Productivity Ratios'!V39/'Implied Productivity Ratios'!$V39</f>
        <v>1</v>
      </c>
      <c r="V39">
        <f>'Implied Productivity Ratios'!W39/'Implied Productivity Ratios'!$V39</f>
        <v>0.98879842032921361</v>
      </c>
      <c r="W39">
        <f>'Implied Productivity Ratios'!X39/'Implied Productivity Ratios'!$V39</f>
        <v>0.97862364734432106</v>
      </c>
      <c r="X39">
        <f>'Implied Productivity Ratios'!Y39/'Implied Productivity Ratios'!$V39</f>
        <v>1.0041017137422878</v>
      </c>
      <c r="Y39">
        <f>'Implied Productivity Ratios'!Z39/'Implied Productivity Ratios'!$V39</f>
        <v>1.0320260142054545</v>
      </c>
      <c r="Z39">
        <f>'Implied Productivity Ratios'!AA39/'Implied Productivity Ratios'!$V39</f>
        <v>1.059959336293695</v>
      </c>
      <c r="AA39">
        <f>'Implied Productivity Ratios'!AB39/'Implied Productivity Ratios'!$V39</f>
        <v>1.0877237468208718</v>
      </c>
      <c r="AB39">
        <f>'Implied Productivity Ratios'!AC39/'Implied Productivity Ratios'!$V39</f>
        <v>1.1161955735824101</v>
      </c>
      <c r="AC39">
        <f>'Implied Productivity Ratios'!AD39/'Implied Productivity Ratios'!$V39</f>
        <v>1.1457364722736019</v>
      </c>
      <c r="AD39">
        <f>'Implied Productivity Ratios'!AE39/'Implied Productivity Ratios'!$V39</f>
        <v>1.1731265545880785</v>
      </c>
      <c r="AE39">
        <f>'Implied Productivity Ratios'!AF39/'Implied Productivity Ratios'!$V39</f>
        <v>1.1995885495291041</v>
      </c>
      <c r="AF39">
        <f>'Implied Productivity Ratios'!AG39/'Implied Productivity Ratios'!$V39</f>
        <v>1.2250362295778447</v>
      </c>
      <c r="AG39">
        <f>'Implied Productivity Ratios'!AH39/'Implied Productivity Ratios'!$V39</f>
        <v>1.2475437051719436</v>
      </c>
      <c r="AH39">
        <f>'Implied Productivity Ratios'!AI39/'Implied Productivity Ratios'!$V39</f>
        <v>1.2688245787206587</v>
      </c>
      <c r="AI39">
        <f>'Implied Productivity Ratios'!AJ39/'Implied Productivity Ratios'!$V39</f>
        <v>1.2918014790437842</v>
      </c>
      <c r="AJ39">
        <f>'Implied Productivity Ratios'!AK39/'Implied Productivity Ratios'!$V39</f>
        <v>1.3161820796707884</v>
      </c>
      <c r="AK39">
        <f>'Implied Productivity Ratios'!AL39/'Implied Productivity Ratios'!$V39</f>
        <v>1.3440394429301801</v>
      </c>
      <c r="AL39">
        <f>'Implied Productivity Ratios'!AM39/'Implied Productivity Ratios'!$V39</f>
        <v>1.3727836966502569</v>
      </c>
      <c r="AM39">
        <f>'Implied Productivity Ratios'!AN39/'Implied Productivity Ratios'!$V39</f>
        <v>1.4012265079170327</v>
      </c>
      <c r="AN39">
        <f>'Implied Productivity Ratios'!AO39/'Implied Productivity Ratios'!$V39</f>
        <v>1.4285437880117022</v>
      </c>
      <c r="AO39">
        <f>'Implied Productivity Ratios'!AP39/'Implied Productivity Ratios'!$V39</f>
        <v>1.4555055703737756</v>
      </c>
      <c r="AP39">
        <f>'Implied Productivity Ratios'!AQ39/'Implied Productivity Ratios'!$V39</f>
        <v>1.4827333528697153</v>
      </c>
      <c r="AQ39">
        <f>'Implied Productivity Ratios'!AR39/'Implied Productivity Ratios'!$V39</f>
        <v>1.5106614822201307</v>
      </c>
      <c r="AR39">
        <f>'Implied Productivity Ratios'!AS39/'Implied Productivity Ratios'!$V39</f>
        <v>1.5390474715060034</v>
      </c>
      <c r="AS39">
        <f>'Implied Productivity Ratios'!AT39/'Implied Productivity Ratios'!$V39</f>
        <v>1.5675392446493468</v>
      </c>
      <c r="AT39">
        <f>'Implied Productivity Ratios'!AU39/'Implied Productivity Ratios'!$V39</f>
        <v>1.5971390115655937</v>
      </c>
      <c r="AU39">
        <f>'Implied Productivity Ratios'!AV39/'Implied Productivity Ratios'!$V39</f>
        <v>1.6285730686586857</v>
      </c>
      <c r="AV39">
        <f>'Implied Productivity Ratios'!AW39/'Implied Productivity Ratios'!$V39</f>
        <v>1.6607814868122242</v>
      </c>
      <c r="AW39">
        <f>'Implied Productivity Ratios'!AX39/'Implied Productivity Ratios'!$V39</f>
        <v>1.6939057087475995</v>
      </c>
      <c r="AX39">
        <f>'Implied Productivity Ratios'!AY39/'Implied Productivity Ratios'!$V39</f>
        <v>1.7281333314633116</v>
      </c>
      <c r="AY39">
        <f>'Implied Productivity Ratios'!AZ39/'Implied Productivity Ratios'!$V39</f>
        <v>1.7640899397481915</v>
      </c>
      <c r="AZ39">
        <f>'Implied Productivity Ratios'!BA39/'Implied Productivity Ratios'!$V39</f>
        <v>1.8022763913830133</v>
      </c>
      <c r="BA39">
        <f>'Implied Productivity Ratios'!BB39/'Implied Productivity Ratios'!$V39</f>
        <v>1.8424287441195804</v>
      </c>
      <c r="BB39">
        <f>'Implied Productivity Ratios'!BC39/'Implied Productivity Ratios'!$V39</f>
        <v>1.884625150430117</v>
      </c>
      <c r="BC39" s="5">
        <f>'Implied Productivity Ratios'!BD39/'Implied Productivity Ratios'!$V39</f>
        <v>1.9227690387666208</v>
      </c>
      <c r="BD39" s="5">
        <f>'Implied Productivity Ratios'!BE39/'Implied Productivity Ratios'!$V39</f>
        <v>1.9609129271031243</v>
      </c>
      <c r="BE39" s="5">
        <f>'Implied Productivity Ratios'!BF39/'Implied Productivity Ratios'!$V39</f>
        <v>1.999056815439628</v>
      </c>
      <c r="BF39" s="5">
        <f>'Implied Productivity Ratios'!BG39/'Implied Productivity Ratios'!$V39</f>
        <v>2.0372007037761315</v>
      </c>
      <c r="BG39" s="5">
        <f>'Implied Productivity Ratios'!BH39/'Implied Productivity Ratios'!$V39</f>
        <v>2.0753445921126352</v>
      </c>
    </row>
    <row r="40" spans="2:59">
      <c r="B40">
        <v>444</v>
      </c>
      <c r="C40" t="s">
        <v>131</v>
      </c>
      <c r="D40">
        <f>'Implied Productivity Ratios'!E40/'Implied Productivity Ratios'!$V40</f>
        <v>1.4896094986356017</v>
      </c>
      <c r="E40">
        <f>'Implied Productivity Ratios'!F40/'Implied Productivity Ratios'!$V40</f>
        <v>1.3670690050438346</v>
      </c>
      <c r="F40">
        <f>'Implied Productivity Ratios'!G40/'Implied Productivity Ratios'!$V40</f>
        <v>1.3284868164188823</v>
      </c>
      <c r="G40">
        <f>'Implied Productivity Ratios'!H40/'Implied Productivity Ratios'!$V40</f>
        <v>1.3748458027702977</v>
      </c>
      <c r="H40">
        <f>'Implied Productivity Ratios'!I40/'Implied Productivity Ratios'!$V40</f>
        <v>1.3980652559021094</v>
      </c>
      <c r="I40">
        <f>'Implied Productivity Ratios'!J40/'Implied Productivity Ratios'!$V40</f>
        <v>1.4479528739631968</v>
      </c>
      <c r="J40">
        <f>'Implied Productivity Ratios'!K40/'Implied Productivity Ratios'!$V40</f>
        <v>1.4389291110610525</v>
      </c>
      <c r="K40">
        <f>'Implied Productivity Ratios'!L40/'Implied Productivity Ratios'!$V40</f>
        <v>1.3980790756481527</v>
      </c>
      <c r="L40">
        <f>'Implied Productivity Ratios'!M40/'Implied Productivity Ratios'!$V40</f>
        <v>1.3558602063705079</v>
      </c>
      <c r="M40">
        <f>'Implied Productivity Ratios'!N40/'Implied Productivity Ratios'!$V40</f>
        <v>1.4027699588697211</v>
      </c>
      <c r="N40">
        <f>'Implied Productivity Ratios'!O40/'Implied Productivity Ratios'!$V40</f>
        <v>1.4224727834532902</v>
      </c>
      <c r="O40">
        <f>'Implied Productivity Ratios'!P40/'Implied Productivity Ratios'!$V40</f>
        <v>1.4536305236664333</v>
      </c>
      <c r="P40">
        <f>'Implied Productivity Ratios'!Q40/'Implied Productivity Ratios'!$V40</f>
        <v>1.4264698453628795</v>
      </c>
      <c r="Q40">
        <f>'Implied Productivity Ratios'!R40/'Implied Productivity Ratios'!$V40</f>
        <v>1.3800278197167297</v>
      </c>
      <c r="R40">
        <f>'Implied Productivity Ratios'!S40/'Implied Productivity Ratios'!$V40</f>
        <v>1.412890241727909</v>
      </c>
      <c r="S40">
        <f>'Implied Productivity Ratios'!T40/'Implied Productivity Ratios'!$V40</f>
        <v>1.3181269710567203</v>
      </c>
      <c r="T40">
        <f>'Implied Productivity Ratios'!U40/'Implied Productivity Ratios'!$V40</f>
        <v>1.0620003844020345</v>
      </c>
      <c r="U40">
        <f>'Implied Productivity Ratios'!V40/'Implied Productivity Ratios'!$V40</f>
        <v>1</v>
      </c>
      <c r="V40">
        <f>'Implied Productivity Ratios'!W40/'Implied Productivity Ratios'!$V40</f>
        <v>1.147879085854252</v>
      </c>
      <c r="W40">
        <f>'Implied Productivity Ratios'!X40/'Implied Productivity Ratios'!$V40</f>
        <v>1.1941921520089516</v>
      </c>
      <c r="X40">
        <f>'Implied Productivity Ratios'!Y40/'Implied Productivity Ratios'!$V40</f>
        <v>1.1906816169686916</v>
      </c>
      <c r="Y40">
        <f>'Implied Productivity Ratios'!Z40/'Implied Productivity Ratios'!$V40</f>
        <v>1.1829785469114797</v>
      </c>
      <c r="Z40">
        <f>'Implied Productivity Ratios'!AA40/'Implied Productivity Ratios'!$V40</f>
        <v>1.1758004032706462</v>
      </c>
      <c r="AA40">
        <f>'Implied Productivity Ratios'!AB40/'Implied Productivity Ratios'!$V40</f>
        <v>1.1689632219515791</v>
      </c>
      <c r="AB40">
        <f>'Implied Productivity Ratios'!AC40/'Implied Productivity Ratios'!$V40</f>
        <v>1.1634684619683389</v>
      </c>
      <c r="AC40">
        <f>'Implied Productivity Ratios'!AD40/'Implied Productivity Ratios'!$V40</f>
        <v>1.1596254903169181</v>
      </c>
      <c r="AD40">
        <f>'Implied Productivity Ratios'!AE40/'Implied Productivity Ratios'!$V40</f>
        <v>1.1542202507549262</v>
      </c>
      <c r="AE40">
        <f>'Implied Productivity Ratios'!AF40/'Implied Productivity Ratios'!$V40</f>
        <v>1.1486303567644616</v>
      </c>
      <c r="AF40">
        <f>'Implied Productivity Ratios'!AG40/'Implied Productivity Ratios'!$V40</f>
        <v>1.1428823951404459</v>
      </c>
      <c r="AG40">
        <f>'Implied Productivity Ratios'!AH40/'Implied Productivity Ratios'!$V40</f>
        <v>1.1352935583055392</v>
      </c>
      <c r="AH40">
        <f>'Implied Productivity Ratios'!AI40/'Implied Productivity Ratios'!$V40</f>
        <v>1.12758531721314</v>
      </c>
      <c r="AI40">
        <f>'Implied Productivity Ratios'!AJ40/'Implied Productivity Ratios'!$V40</f>
        <v>1.1223562507621423</v>
      </c>
      <c r="AJ40">
        <f>'Implied Productivity Ratios'!AK40/'Implied Productivity Ratios'!$V40</f>
        <v>1.1192787821440715</v>
      </c>
      <c r="AK40">
        <f>'Implied Productivity Ratios'!AL40/'Implied Productivity Ratios'!$V40</f>
        <v>1.1199811713731076</v>
      </c>
      <c r="AL40">
        <f>'Implied Productivity Ratios'!AM40/'Implied Productivity Ratios'!$V40</f>
        <v>1.1222089915406435</v>
      </c>
      <c r="AM40">
        <f>'Implied Productivity Ratios'!AN40/'Implied Productivity Ratios'!$V40</f>
        <v>1.1249864469118638</v>
      </c>
      <c r="AN40">
        <f>'Implied Productivity Ratios'!AO40/'Implied Productivity Ratios'!$V40</f>
        <v>1.127701382775435</v>
      </c>
      <c r="AO40">
        <f>'Implied Productivity Ratios'!AP40/'Implied Productivity Ratios'!$V40</f>
        <v>1.1310253214966224</v>
      </c>
      <c r="AP40">
        <f>'Implied Productivity Ratios'!AQ40/'Implied Productivity Ratios'!$V40</f>
        <v>1.1354654428667856</v>
      </c>
      <c r="AQ40">
        <f>'Implied Productivity Ratios'!AR40/'Implied Productivity Ratios'!$V40</f>
        <v>1.1413726125416059</v>
      </c>
      <c r="AR40">
        <f>'Implied Productivity Ratios'!AS40/'Implied Productivity Ratios'!$V40</f>
        <v>1.1485619731591821</v>
      </c>
      <c r="AS40">
        <f>'Implied Productivity Ratios'!AT40/'Implied Productivity Ratios'!$V40</f>
        <v>1.1568008466468447</v>
      </c>
      <c r="AT40">
        <f>'Implied Productivity Ratios'!AU40/'Implied Productivity Ratios'!$V40</f>
        <v>1.1668542190187374</v>
      </c>
      <c r="AU40">
        <f>'Implied Productivity Ratios'!AV40/'Implied Productivity Ratios'!$V40</f>
        <v>1.1792520782929266</v>
      </c>
      <c r="AV40">
        <f>'Implied Productivity Ratios'!AW40/'Implied Productivity Ratios'!$V40</f>
        <v>1.1932499731578594</v>
      </c>
      <c r="AW40">
        <f>'Implied Productivity Ratios'!AX40/'Implied Productivity Ratios'!$V40</f>
        <v>1.2089921405805022</v>
      </c>
      <c r="AX40">
        <f>'Implied Productivity Ratios'!AY40/'Implied Productivity Ratios'!$V40</f>
        <v>1.2266539416996589</v>
      </c>
      <c r="AY40">
        <f>'Implied Productivity Ratios'!AZ40/'Implied Productivity Ratios'!$V40</f>
        <v>1.246728259504436</v>
      </c>
      <c r="AZ40">
        <f>'Implied Productivity Ratios'!BA40/'Implied Productivity Ratios'!$V40</f>
        <v>1.2695975914688655</v>
      </c>
      <c r="BA40">
        <f>'Implied Productivity Ratios'!BB40/'Implied Productivity Ratios'!$V40</f>
        <v>1.2951581479671321</v>
      </c>
      <c r="BB40">
        <f>'Implied Productivity Ratios'!BC40/'Implied Productivity Ratios'!$V40</f>
        <v>1.3235548471112168</v>
      </c>
      <c r="BC40" s="5">
        <f>'Implied Productivity Ratios'!BD40/'Implied Productivity Ratios'!$V40</f>
        <v>1.3464673884173597</v>
      </c>
      <c r="BD40" s="5">
        <f>'Implied Productivity Ratios'!BE40/'Implied Productivity Ratios'!$V40</f>
        <v>1.3693799297235028</v>
      </c>
      <c r="BE40" s="5">
        <f>'Implied Productivity Ratios'!BF40/'Implied Productivity Ratios'!$V40</f>
        <v>1.3922924710296456</v>
      </c>
      <c r="BF40" s="5">
        <f>'Implied Productivity Ratios'!BG40/'Implied Productivity Ratios'!$V40</f>
        <v>1.4152050123357884</v>
      </c>
      <c r="BG40" s="5">
        <f>'Implied Productivity Ratios'!BH40/'Implied Productivity Ratios'!$V40</f>
        <v>1.4381175536419315</v>
      </c>
    </row>
    <row r="41" spans="2:59">
      <c r="B41">
        <v>445</v>
      </c>
      <c r="C41" t="s">
        <v>135</v>
      </c>
      <c r="D41">
        <f>'Implied Productivity Ratios'!E41/'Implied Productivity Ratios'!$V41</f>
        <v>1.2172465424114858</v>
      </c>
      <c r="E41">
        <f>'Implied Productivity Ratios'!F41/'Implied Productivity Ratios'!$V41</f>
        <v>1.2099640723675256</v>
      </c>
      <c r="F41">
        <f>'Implied Productivity Ratios'!G41/'Implied Productivity Ratios'!$V41</f>
        <v>1.1506280348549807</v>
      </c>
      <c r="G41">
        <f>'Implied Productivity Ratios'!H41/'Implied Productivity Ratios'!$V41</f>
        <v>1.1130316249343493</v>
      </c>
      <c r="H41">
        <f>'Implied Productivity Ratios'!I41/'Implied Productivity Ratios'!$V41</f>
        <v>1.1147742686309561</v>
      </c>
      <c r="I41">
        <f>'Implied Productivity Ratios'!J41/'Implied Productivity Ratios'!$V41</f>
        <v>1.1857072909917861</v>
      </c>
      <c r="J41">
        <f>'Implied Productivity Ratios'!K41/'Implied Productivity Ratios'!$V41</f>
        <v>1.1048777267032071</v>
      </c>
      <c r="K41">
        <f>'Implied Productivity Ratios'!L41/'Implied Productivity Ratios'!$V41</f>
        <v>1.042383413733097</v>
      </c>
      <c r="L41">
        <f>'Implied Productivity Ratios'!M41/'Implied Productivity Ratios'!$V41</f>
        <v>1.0381427242432317</v>
      </c>
      <c r="M41">
        <f>'Implied Productivity Ratios'!N41/'Implied Productivity Ratios'!$V41</f>
        <v>1.0087082175060309</v>
      </c>
      <c r="N41">
        <f>'Implied Productivity Ratios'!O41/'Implied Productivity Ratios'!$V41</f>
        <v>0.97648236712039815</v>
      </c>
      <c r="O41">
        <f>'Implied Productivity Ratios'!P41/'Implied Productivity Ratios'!$V41</f>
        <v>0.95341769901386486</v>
      </c>
      <c r="P41">
        <f>'Implied Productivity Ratios'!Q41/'Implied Productivity Ratios'!$V41</f>
        <v>0.98605409447139114</v>
      </c>
      <c r="Q41">
        <f>'Implied Productivity Ratios'!R41/'Implied Productivity Ratios'!$V41</f>
        <v>0.9713749998450758</v>
      </c>
      <c r="R41">
        <f>'Implied Productivity Ratios'!S41/'Implied Productivity Ratios'!$V41</f>
        <v>0.98469606068494919</v>
      </c>
      <c r="S41">
        <f>'Implied Productivity Ratios'!T41/'Implied Productivity Ratios'!$V41</f>
        <v>1.0607758321865042</v>
      </c>
      <c r="T41">
        <f>'Implied Productivity Ratios'!U41/'Implied Productivity Ratios'!$V41</f>
        <v>1.0871509649430013</v>
      </c>
      <c r="U41">
        <f>'Implied Productivity Ratios'!V41/'Implied Productivity Ratios'!$V41</f>
        <v>1</v>
      </c>
      <c r="V41">
        <f>'Implied Productivity Ratios'!W41/'Implied Productivity Ratios'!$V41</f>
        <v>0.9458475430579032</v>
      </c>
      <c r="W41">
        <f>'Implied Productivity Ratios'!X41/'Implied Productivity Ratios'!$V41</f>
        <v>0.92776745008893968</v>
      </c>
      <c r="X41">
        <f>'Implied Productivity Ratios'!Y41/'Implied Productivity Ratios'!$V41</f>
        <v>0.91074384809439379</v>
      </c>
      <c r="Y41">
        <f>'Implied Productivity Ratios'!Z41/'Implied Productivity Ratios'!$V41</f>
        <v>0.89152914248089554</v>
      </c>
      <c r="Z41">
        <f>'Implied Productivity Ratios'!AA41/'Implied Productivity Ratios'!$V41</f>
        <v>0.87343714097910952</v>
      </c>
      <c r="AA41">
        <f>'Implied Productivity Ratios'!AB41/'Implied Productivity Ratios'!$V41</f>
        <v>0.85633074968179768</v>
      </c>
      <c r="AB41">
        <f>'Implied Productivity Ratios'!AC41/'Implied Productivity Ratios'!$V41</f>
        <v>0.84091512437709326</v>
      </c>
      <c r="AC41">
        <f>'Implied Productivity Ratios'!AD41/'Implied Productivity Ratios'!$V41</f>
        <v>0.82737804274801097</v>
      </c>
      <c r="AD41">
        <f>'Implied Productivity Ratios'!AE41/'Implied Productivity Ratios'!$V41</f>
        <v>0.81334946929243968</v>
      </c>
      <c r="AE41">
        <f>'Implied Productivity Ratios'!AF41/'Implied Productivity Ratios'!$V41</f>
        <v>0.79981024853084126</v>
      </c>
      <c r="AF41">
        <f>'Implied Productivity Ratios'!AG41/'Implied Productivity Ratios'!$V41</f>
        <v>0.78674484410174084</v>
      </c>
      <c r="AG41">
        <f>'Implied Productivity Ratios'!AH41/'Implied Productivity Ratios'!$V41</f>
        <v>0.77298777621395476</v>
      </c>
      <c r="AH41">
        <f>'Implied Productivity Ratios'!AI41/'Implied Productivity Ratios'!$V41</f>
        <v>0.75972867072043115</v>
      </c>
      <c r="AI41">
        <f>'Implied Productivity Ratios'!AJ41/'Implied Productivity Ratios'!$V41</f>
        <v>0.74869514845721696</v>
      </c>
      <c r="AJ41">
        <f>'Implied Productivity Ratios'!AK41/'Implied Productivity Ratios'!$V41</f>
        <v>0.739591016943971</v>
      </c>
      <c r="AK41">
        <f>'Implied Productivity Ratios'!AL41/'Implied Productivity Ratios'!$V41</f>
        <v>0.73343484218384936</v>
      </c>
      <c r="AL41">
        <f>'Implied Productivity Ratios'!AM41/'Implied Productivity Ratios'!$V41</f>
        <v>0.72868976574898492</v>
      </c>
      <c r="AM41">
        <f>'Implied Productivity Ratios'!AN41/'Implied Productivity Ratios'!$V41</f>
        <v>0.72469358339104151</v>
      </c>
      <c r="AN41">
        <f>'Implied Productivity Ratios'!AO41/'Implied Productivity Ratios'!$V41</f>
        <v>0.72104241142045911</v>
      </c>
      <c r="AO41">
        <f>'Implied Productivity Ratios'!AP41/'Implied Productivity Ratios'!$V41</f>
        <v>0.71815597366944173</v>
      </c>
      <c r="AP41">
        <f>'Implied Productivity Ratios'!AQ41/'Implied Productivity Ratios'!$V41</f>
        <v>0.71633830554507127</v>
      </c>
      <c r="AQ41">
        <f>'Implied Productivity Ratios'!AR41/'Implied Productivity Ratios'!$V41</f>
        <v>0.71579560982873913</v>
      </c>
      <c r="AR41">
        <f>'Implied Productivity Ratios'!AS41/'Implied Productivity Ratios'!$V41</f>
        <v>0.71639753486579838</v>
      </c>
      <c r="AS41">
        <f>'Implied Productivity Ratios'!AT41/'Implied Productivity Ratios'!$V41</f>
        <v>0.71798672414329179</v>
      </c>
      <c r="AT41">
        <f>'Implied Productivity Ratios'!AU41/'Implied Productivity Ratios'!$V41</f>
        <v>0.72102579499244912</v>
      </c>
      <c r="AU41">
        <f>'Implied Productivity Ratios'!AV41/'Implied Productivity Ratios'!$V41</f>
        <v>0.7258392587417094</v>
      </c>
      <c r="AV41">
        <f>'Implied Productivity Ratios'!AW41/'Implied Productivity Ratios'!$V41</f>
        <v>0.73196534592785401</v>
      </c>
      <c r="AW41">
        <f>'Implied Productivity Ratios'!AX41/'Implied Productivity Ratios'!$V41</f>
        <v>0.73948474081017224</v>
      </c>
      <c r="AX41">
        <f>'Implied Productivity Ratios'!AY41/'Implied Productivity Ratios'!$V41</f>
        <v>0.74850632917727866</v>
      </c>
      <c r="AY41">
        <f>'Implied Productivity Ratios'!AZ41/'Implied Productivity Ratios'!$V41</f>
        <v>0.75933780234504222</v>
      </c>
      <c r="AZ41">
        <f>'Implied Productivity Ratios'!BA41/'Implied Productivity Ratios'!$V41</f>
        <v>0.77222080861317743</v>
      </c>
      <c r="BA41">
        <f>'Implied Productivity Ratios'!BB41/'Implied Productivity Ratios'!$V41</f>
        <v>0.78710057925197374</v>
      </c>
      <c r="BB41">
        <f>'Implied Productivity Ratios'!BC41/'Implied Productivity Ratios'!$V41</f>
        <v>0.80407733114333191</v>
      </c>
      <c r="BC41" s="5">
        <f>'Implied Productivity Ratios'!BD41/'Implied Productivity Ratios'!$V41</f>
        <v>0.81699584920996382</v>
      </c>
      <c r="BD41" s="5">
        <f>'Implied Productivity Ratios'!BE41/'Implied Productivity Ratios'!$V41</f>
        <v>0.82991436727659562</v>
      </c>
      <c r="BE41" s="5">
        <f>'Implied Productivity Ratios'!BF41/'Implied Productivity Ratios'!$V41</f>
        <v>0.84283288534322753</v>
      </c>
      <c r="BF41" s="5">
        <f>'Implied Productivity Ratios'!BG41/'Implied Productivity Ratios'!$V41</f>
        <v>0.85575140340985945</v>
      </c>
      <c r="BG41" s="5">
        <f>'Implied Productivity Ratios'!BH41/'Implied Productivity Ratios'!$V41</f>
        <v>0.86866992147649125</v>
      </c>
    </row>
    <row r="42" spans="2:59">
      <c r="B42">
        <v>446</v>
      </c>
      <c r="C42" t="s">
        <v>139</v>
      </c>
      <c r="D42">
        <f>'Implied Productivity Ratios'!E42/'Implied Productivity Ratios'!$V42</f>
        <v>0.76449383552479955</v>
      </c>
      <c r="E42">
        <f>'Implied Productivity Ratios'!F42/'Implied Productivity Ratios'!$V42</f>
        <v>0.70077839875324732</v>
      </c>
      <c r="F42">
        <f>'Implied Productivity Ratios'!G42/'Implied Productivity Ratios'!$V42</f>
        <v>0.67355386549285268</v>
      </c>
      <c r="G42">
        <f>'Implied Productivity Ratios'!H42/'Implied Productivity Ratios'!$V42</f>
        <v>0.65422604850281485</v>
      </c>
      <c r="H42">
        <f>'Implied Productivity Ratios'!I42/'Implied Productivity Ratios'!$V42</f>
        <v>0.64845509382316513</v>
      </c>
      <c r="I42">
        <f>'Implied Productivity Ratios'!J42/'Implied Productivity Ratios'!$V42</f>
        <v>0.66908210678259328</v>
      </c>
      <c r="J42">
        <f>'Implied Productivity Ratios'!K42/'Implied Productivity Ratios'!$V42</f>
        <v>0.71501755451692084</v>
      </c>
      <c r="K42">
        <f>'Implied Productivity Ratios'!L42/'Implied Productivity Ratios'!$V42</f>
        <v>0.70468012431282934</v>
      </c>
      <c r="L42">
        <f>'Implied Productivity Ratios'!M42/'Implied Productivity Ratios'!$V42</f>
        <v>0.70883873090001814</v>
      </c>
      <c r="M42">
        <f>'Implied Productivity Ratios'!N42/'Implied Productivity Ratios'!$V42</f>
        <v>0.69962358743685726</v>
      </c>
      <c r="N42">
        <f>'Implied Productivity Ratios'!O42/'Implied Productivity Ratios'!$V42</f>
        <v>0.77279109482319985</v>
      </c>
      <c r="O42">
        <f>'Implied Productivity Ratios'!P42/'Implied Productivity Ratios'!$V42</f>
        <v>0.80767035888942784</v>
      </c>
      <c r="P42">
        <f>'Implied Productivity Ratios'!Q42/'Implied Productivity Ratios'!$V42</f>
        <v>0.85167938214959982</v>
      </c>
      <c r="Q42">
        <f>'Implied Productivity Ratios'!R42/'Implied Productivity Ratios'!$V42</f>
        <v>0.85712519093358441</v>
      </c>
      <c r="R42">
        <f>'Implied Productivity Ratios'!S42/'Implied Productivity Ratios'!$V42</f>
        <v>0.87741884427949834</v>
      </c>
      <c r="S42">
        <f>'Implied Productivity Ratios'!T42/'Implied Productivity Ratios'!$V42</f>
        <v>0.90041427770983884</v>
      </c>
      <c r="T42">
        <f>'Implied Productivity Ratios'!U42/'Implied Productivity Ratios'!$V42</f>
        <v>0.95161195183532921</v>
      </c>
      <c r="U42">
        <f>'Implied Productivity Ratios'!V42/'Implied Productivity Ratios'!$V42</f>
        <v>1</v>
      </c>
      <c r="V42">
        <f>'Implied Productivity Ratios'!W42/'Implied Productivity Ratios'!$V42</f>
        <v>1.1300981805823858</v>
      </c>
      <c r="W42">
        <f>'Implied Productivity Ratios'!X42/'Implied Productivity Ratios'!$V42</f>
        <v>1.1790098207750084</v>
      </c>
      <c r="X42">
        <f>'Implied Productivity Ratios'!Y42/'Implied Productivity Ratios'!$V42</f>
        <v>1.2050760784587475</v>
      </c>
      <c r="Y42">
        <f>'Implied Productivity Ratios'!Z42/'Implied Productivity Ratios'!$V42</f>
        <v>1.2215837080948067</v>
      </c>
      <c r="Z42">
        <f>'Implied Productivity Ratios'!AA42/'Implied Productivity Ratios'!$V42</f>
        <v>1.2379642448659449</v>
      </c>
      <c r="AA42">
        <f>'Implied Productivity Ratios'!AB42/'Implied Productivity Ratios'!$V42</f>
        <v>1.2540186009161955</v>
      </c>
      <c r="AB42">
        <f>'Implied Productivity Ratios'!AC42/'Implied Productivity Ratios'!$V42</f>
        <v>1.2708433485651287</v>
      </c>
      <c r="AC42">
        <f>'Implied Productivity Ratios'!AD42/'Implied Productivity Ratios'!$V42</f>
        <v>1.2888305190150711</v>
      </c>
      <c r="AD42">
        <f>'Implied Productivity Ratios'!AE42/'Implied Productivity Ratios'!$V42</f>
        <v>1.30441159083897</v>
      </c>
      <c r="AE42">
        <f>'Implied Productivity Ratios'!AF42/'Implied Productivity Ratios'!$V42</f>
        <v>1.319041569181516</v>
      </c>
      <c r="AF42">
        <f>'Implied Productivity Ratios'!AG42/'Implied Productivity Ratios'!$V42</f>
        <v>1.3326965907203823</v>
      </c>
      <c r="AG42">
        <f>'Implied Productivity Ratios'!AH42/'Implied Productivity Ratios'!$V42</f>
        <v>1.3433585049014736</v>
      </c>
      <c r="AH42">
        <f>'Implied Productivity Ratios'!AI42/'Implied Productivity Ratios'!$V42</f>
        <v>1.3529907507991734</v>
      </c>
      <c r="AI42">
        <f>'Implied Productivity Ratios'!AJ42/'Implied Productivity Ratios'!$V42</f>
        <v>1.3647180030956141</v>
      </c>
      <c r="AJ42">
        <f>'Implied Productivity Ratios'!AK42/'Implied Productivity Ratios'!$V42</f>
        <v>1.3782106743546108</v>
      </c>
      <c r="AK42">
        <f>'Implied Productivity Ratios'!AL42/'Implied Productivity Ratios'!$V42</f>
        <v>1.3955898033035437</v>
      </c>
      <c r="AL42">
        <f>'Implied Productivity Ratios'!AM42/'Implied Productivity Ratios'!$V42</f>
        <v>1.4141598119099807</v>
      </c>
      <c r="AM42">
        <f>'Implied Productivity Ratios'!AN42/'Implied Productivity Ratios'!$V42</f>
        <v>1.4326994729420468</v>
      </c>
      <c r="AN42">
        <f>'Implied Productivity Ratios'!AO42/'Implied Productivity Ratios'!$V42</f>
        <v>1.4504121932260399</v>
      </c>
      <c r="AO42">
        <f>'Implied Productivity Ratios'!AP42/'Implied Productivity Ratios'!$V42</f>
        <v>1.4681303881424734</v>
      </c>
      <c r="AP42">
        <f>'Implied Productivity Ratios'!AQ42/'Implied Productivity Ratios'!$V42</f>
        <v>1.4864962277964486</v>
      </c>
      <c r="AQ42">
        <f>'Implied Productivity Ratios'!AR42/'Implied Productivity Ratios'!$V42</f>
        <v>1.5059763585563555</v>
      </c>
      <c r="AR42">
        <f>'Implied Productivity Ratios'!AS42/'Implied Productivity Ratios'!$V42</f>
        <v>1.5263326300637696</v>
      </c>
      <c r="AS42">
        <f>'Implied Productivity Ratios'!AT42/'Implied Productivity Ratios'!$V42</f>
        <v>1.5472562703408725</v>
      </c>
      <c r="AT42">
        <f>'Implied Productivity Ratios'!AU42/'Implied Productivity Ratios'!$V42</f>
        <v>1.5697581090832959</v>
      </c>
      <c r="AU42">
        <f>'Implied Productivity Ratios'!AV42/'Implied Productivity Ratios'!$V42</f>
        <v>1.5945551021569062</v>
      </c>
      <c r="AV42">
        <f>'Implied Productivity Ratios'!AW42/'Implied Productivity Ratios'!$V42</f>
        <v>1.6206454237299346</v>
      </c>
      <c r="AW42">
        <f>'Implied Productivity Ratios'!AX42/'Implied Productivity Ratios'!$V42</f>
        <v>1.6481992445987801</v>
      </c>
      <c r="AX42">
        <f>'Implied Productivity Ratios'!AY42/'Implied Productivity Ratios'!$V42</f>
        <v>1.6774252470137148</v>
      </c>
      <c r="AY42">
        <f>'Implied Productivity Ratios'!AZ42/'Implied Productivity Ratios'!$V42</f>
        <v>1.7089635656060191</v>
      </c>
      <c r="AZ42">
        <f>'Implied Productivity Ratios'!BA42/'Implied Productivity Ratios'!$V42</f>
        <v>1.7432928915256776</v>
      </c>
      <c r="BA42">
        <f>'Implied Productivity Ratios'!BB42/'Implied Productivity Ratios'!$V42</f>
        <v>1.7802288665214947</v>
      </c>
      <c r="BB42">
        <f>'Implied Productivity Ratios'!BC42/'Implied Productivity Ratios'!$V42</f>
        <v>1.8199006102436506</v>
      </c>
      <c r="BC42" s="5">
        <f>'Implied Productivity Ratios'!BD42/'Implied Productivity Ratios'!$V42</f>
        <v>1.8542408833726247</v>
      </c>
      <c r="BD42" s="5">
        <f>'Implied Productivity Ratios'!BE42/'Implied Productivity Ratios'!$V42</f>
        <v>1.8885811565015989</v>
      </c>
      <c r="BE42" s="5">
        <f>'Implied Productivity Ratios'!BF42/'Implied Productivity Ratios'!$V42</f>
        <v>1.9229214296305732</v>
      </c>
      <c r="BF42" s="5">
        <f>'Implied Productivity Ratios'!BG42/'Implied Productivity Ratios'!$V42</f>
        <v>1.9572617027595474</v>
      </c>
      <c r="BG42" s="5">
        <f>'Implied Productivity Ratios'!BH42/'Implied Productivity Ratios'!$V42</f>
        <v>1.9916019758885217</v>
      </c>
    </row>
    <row r="43" spans="2:59">
      <c r="B43">
        <v>447</v>
      </c>
      <c r="C43" t="s">
        <v>143</v>
      </c>
      <c r="D43">
        <f>'Implied Productivity Ratios'!E43/'Implied Productivity Ratios'!$V43</f>
        <v>2.8871505619510653</v>
      </c>
      <c r="E43">
        <f>'Implied Productivity Ratios'!F43/'Implied Productivity Ratios'!$V43</f>
        <v>3.1397625611985238</v>
      </c>
      <c r="F43">
        <f>'Implied Productivity Ratios'!G43/'Implied Productivity Ratios'!$V43</f>
        <v>2.1760927398572147</v>
      </c>
      <c r="G43">
        <f>'Implied Productivity Ratios'!H43/'Implied Productivity Ratios'!$V43</f>
        <v>2.3236117465385213</v>
      </c>
      <c r="H43">
        <f>'Implied Productivity Ratios'!I43/'Implied Productivity Ratios'!$V43</f>
        <v>2.185076630729069</v>
      </c>
      <c r="I43">
        <f>'Implied Productivity Ratios'!J43/'Implied Productivity Ratios'!$V43</f>
        <v>2.1180047564234963</v>
      </c>
      <c r="J43">
        <f>'Implied Productivity Ratios'!K43/'Implied Productivity Ratios'!$V43</f>
        <v>1.958398048512924</v>
      </c>
      <c r="K43">
        <f>'Implied Productivity Ratios'!L43/'Implied Productivity Ratios'!$V43</f>
        <v>1.7691617489054918</v>
      </c>
      <c r="L43">
        <f>'Implied Productivity Ratios'!M43/'Implied Productivity Ratios'!$V43</f>
        <v>1.7061935408168165</v>
      </c>
      <c r="M43">
        <f>'Implied Productivity Ratios'!N43/'Implied Productivity Ratios'!$V43</f>
        <v>1.5288046797348946</v>
      </c>
      <c r="N43">
        <f>'Implied Productivity Ratios'!O43/'Implied Productivity Ratios'!$V43</f>
        <v>1.3202758545767539</v>
      </c>
      <c r="O43">
        <f>'Implied Productivity Ratios'!P43/'Implied Productivity Ratios'!$V43</f>
        <v>1.2631501637369487</v>
      </c>
      <c r="P43">
        <f>'Implied Productivity Ratios'!Q43/'Implied Productivity Ratios'!$V43</f>
        <v>1.2591145564740465</v>
      </c>
      <c r="Q43">
        <f>'Implied Productivity Ratios'!R43/'Implied Productivity Ratios'!$V43</f>
        <v>1.3138915906567654</v>
      </c>
      <c r="R43">
        <f>'Implied Productivity Ratios'!S43/'Implied Productivity Ratios'!$V43</f>
        <v>1.3737596587733369</v>
      </c>
      <c r="S43">
        <f>'Implied Productivity Ratios'!T43/'Implied Productivity Ratios'!$V43</f>
        <v>0.98118763388412267</v>
      </c>
      <c r="T43">
        <f>'Implied Productivity Ratios'!U43/'Implied Productivity Ratios'!$V43</f>
        <v>1.14719760542878</v>
      </c>
      <c r="U43">
        <f>'Implied Productivity Ratios'!V43/'Implied Productivity Ratios'!$V43</f>
        <v>1</v>
      </c>
      <c r="V43">
        <f>'Implied Productivity Ratios'!W43/'Implied Productivity Ratios'!$V43</f>
        <v>1.0685078535824117</v>
      </c>
      <c r="W43">
        <f>'Implied Productivity Ratios'!X43/'Implied Productivity Ratios'!$V43</f>
        <v>1.0898282445838661</v>
      </c>
      <c r="X43">
        <f>'Implied Productivity Ratios'!Y43/'Implied Productivity Ratios'!$V43</f>
        <v>1.0527850917143984</v>
      </c>
      <c r="Y43">
        <f>'Implied Productivity Ratios'!Z43/'Implied Productivity Ratios'!$V43</f>
        <v>1.0151691771714331</v>
      </c>
      <c r="Z43">
        <f>'Implied Productivity Ratios'!AA43/'Implied Productivity Ratios'!$V43</f>
        <v>0.98028876420772659</v>
      </c>
      <c r="AA43">
        <f>'Implied Productivity Ratios'!AB43/'Implied Productivity Ratios'!$V43</f>
        <v>0.94780321176574811</v>
      </c>
      <c r="AB43">
        <f>'Implied Productivity Ratios'!AC43/'Implied Productivity Ratios'!$V43</f>
        <v>0.91836311561126449</v>
      </c>
      <c r="AC43">
        <f>'Implied Productivity Ratios'!AD43/'Implied Productivity Ratios'!$V43</f>
        <v>0.89199511216352589</v>
      </c>
      <c r="AD43">
        <f>'Implied Productivity Ratios'!AE43/'Implied Productivity Ratios'!$V43</f>
        <v>0.86608766079362975</v>
      </c>
      <c r="AE43">
        <f>'Implied Productivity Ratios'!AF43/'Implied Productivity Ratios'!$V43</f>
        <v>0.84165779440468935</v>
      </c>
      <c r="AF43">
        <f>'Implied Productivity Ratios'!AG43/'Implied Productivity Ratios'!$V43</f>
        <v>0.81863906372661677</v>
      </c>
      <c r="AG43">
        <f>'Implied Productivity Ratios'!AH43/'Implied Productivity Ratios'!$V43</f>
        <v>0.79575875997884615</v>
      </c>
      <c r="AH43">
        <f>'Implied Productivity Ratios'!AI43/'Implied Productivity Ratios'!$V43</f>
        <v>0.77418952874486524</v>
      </c>
      <c r="AI43">
        <f>'Implied Productivity Ratios'!AJ43/'Implied Productivity Ratios'!$V43</f>
        <v>0.75562136185005302</v>
      </c>
      <c r="AJ43">
        <f>'Implied Productivity Ratios'!AK43/'Implied Productivity Ratios'!$V43</f>
        <v>0.73964969599880503</v>
      </c>
      <c r="AK43">
        <f>'Implied Productivity Ratios'!AL43/'Implied Productivity Ratios'!$V43</f>
        <v>0.72719094275506047</v>
      </c>
      <c r="AL43">
        <f>'Implied Productivity Ratios'!AM43/'Implied Productivity Ratios'!$V43</f>
        <v>0.71665217366465761</v>
      </c>
      <c r="AM43">
        <f>'Implied Productivity Ratios'!AN43/'Implied Productivity Ratios'!$V43</f>
        <v>0.70732311231896317</v>
      </c>
      <c r="AN43">
        <f>'Implied Productivity Ratios'!AO43/'Implied Productivity Ratios'!$V43</f>
        <v>0.69877307532257604</v>
      </c>
      <c r="AO43">
        <f>'Implied Productivity Ratios'!AP43/'Implied Productivity Ratios'!$V43</f>
        <v>0.69138671085816072</v>
      </c>
      <c r="AP43">
        <f>'Implied Productivity Ratios'!AQ43/'Implied Productivity Ratios'!$V43</f>
        <v>0.68543297315354224</v>
      </c>
      <c r="AQ43">
        <f>'Implied Productivity Ratios'!AR43/'Implied Productivity Ratios'!$V43</f>
        <v>0.68107398931921581</v>
      </c>
      <c r="AR43">
        <f>'Implied Productivity Ratios'!AS43/'Implied Productivity Ratios'!$V43</f>
        <v>0.67815273166880685</v>
      </c>
      <c r="AS43">
        <f>'Implied Productivity Ratios'!AT43/'Implied Productivity Ratios'!$V43</f>
        <v>0.67650276915010843</v>
      </c>
      <c r="AT43">
        <f>'Implied Productivity Ratios'!AU43/'Implied Productivity Ratios'!$V43</f>
        <v>0.67654992274133174</v>
      </c>
      <c r="AU43">
        <f>'Implied Productivity Ratios'!AV43/'Implied Productivity Ratios'!$V43</f>
        <v>0.67857299186619402</v>
      </c>
      <c r="AV43">
        <f>'Implied Productivity Ratios'!AW43/'Implied Productivity Ratios'!$V43</f>
        <v>0.68212346899106668</v>
      </c>
      <c r="AW43">
        <f>'Implied Productivity Ratios'!AX43/'Implied Productivity Ratios'!$V43</f>
        <v>0.68727936660309863</v>
      </c>
      <c r="AX43">
        <f>'Implied Productivity Ratios'!AY43/'Implied Productivity Ratios'!$V43</f>
        <v>0.69413818720183018</v>
      </c>
      <c r="AY43">
        <f>'Implied Productivity Ratios'!AZ43/'Implied Productivity Ratios'!$V43</f>
        <v>0.70298077700014838</v>
      </c>
      <c r="AZ43">
        <f>'Implied Productivity Ratios'!BA43/'Implied Productivity Ratios'!$V43</f>
        <v>0.71402879855327273</v>
      </c>
      <c r="BA43">
        <f>'Implied Productivity Ratios'!BB43/'Implied Productivity Ratios'!$V43</f>
        <v>0.72723986614278402</v>
      </c>
      <c r="BB43">
        <f>'Implied Productivity Ratios'!BC43/'Implied Productivity Ratios'!$V43</f>
        <v>0.74273345284347736</v>
      </c>
      <c r="BC43" s="5">
        <f>'Implied Productivity Ratios'!BD43/'Implied Productivity Ratios'!$V43</f>
        <v>0.75382427009155306</v>
      </c>
      <c r="BD43" s="5">
        <f>'Implied Productivity Ratios'!BE43/'Implied Productivity Ratios'!$V43</f>
        <v>0.76491508733962876</v>
      </c>
      <c r="BE43" s="5">
        <f>'Implied Productivity Ratios'!BF43/'Implied Productivity Ratios'!$V43</f>
        <v>0.77600590458770435</v>
      </c>
      <c r="BF43" s="5">
        <f>'Implied Productivity Ratios'!BG43/'Implied Productivity Ratios'!$V43</f>
        <v>0.78709672183578006</v>
      </c>
      <c r="BG43" s="5">
        <f>'Implied Productivity Ratios'!BH43/'Implied Productivity Ratios'!$V43</f>
        <v>0.79818753908385576</v>
      </c>
    </row>
    <row r="44" spans="2:59">
      <c r="B44">
        <v>448</v>
      </c>
      <c r="C44" t="s">
        <v>147</v>
      </c>
      <c r="D44">
        <f>'Implied Productivity Ratios'!E44/'Implied Productivity Ratios'!$V44</f>
        <v>0.72871872374219293</v>
      </c>
      <c r="E44">
        <f>'Implied Productivity Ratios'!F44/'Implied Productivity Ratios'!$V44</f>
        <v>0.69879512732299243</v>
      </c>
      <c r="F44">
        <f>'Implied Productivity Ratios'!G44/'Implied Productivity Ratios'!$V44</f>
        <v>0.66471236108229192</v>
      </c>
      <c r="G44">
        <f>'Implied Productivity Ratios'!H44/'Implied Productivity Ratios'!$V44</f>
        <v>0.65551431007377992</v>
      </c>
      <c r="H44">
        <f>'Implied Productivity Ratios'!I44/'Implied Productivity Ratios'!$V44</f>
        <v>0.67370002474105684</v>
      </c>
      <c r="I44">
        <f>'Implied Productivity Ratios'!J44/'Implied Productivity Ratios'!$V44</f>
        <v>0.67535732997325815</v>
      </c>
      <c r="J44">
        <f>'Implied Productivity Ratios'!K44/'Implied Productivity Ratios'!$V44</f>
        <v>0.64481960393962912</v>
      </c>
      <c r="K44">
        <f>'Implied Productivity Ratios'!L44/'Implied Productivity Ratios'!$V44</f>
        <v>0.67880982731114758</v>
      </c>
      <c r="L44">
        <f>'Implied Productivity Ratios'!M44/'Implied Productivity Ratios'!$V44</f>
        <v>0.72650395386997824</v>
      </c>
      <c r="M44">
        <f>'Implied Productivity Ratios'!N44/'Implied Productivity Ratios'!$V44</f>
        <v>0.71468204794944634</v>
      </c>
      <c r="N44">
        <f>'Implied Productivity Ratios'!O44/'Implied Productivity Ratios'!$V44</f>
        <v>0.72725678584780362</v>
      </c>
      <c r="O44">
        <f>'Implied Productivity Ratios'!P44/'Implied Productivity Ratios'!$V44</f>
        <v>0.73830138942716028</v>
      </c>
      <c r="P44">
        <f>'Implied Productivity Ratios'!Q44/'Implied Productivity Ratios'!$V44</f>
        <v>0.77210932576120572</v>
      </c>
      <c r="Q44">
        <f>'Implied Productivity Ratios'!R44/'Implied Productivity Ratios'!$V44</f>
        <v>0.84704501432537083</v>
      </c>
      <c r="R44">
        <f>'Implied Productivity Ratios'!S44/'Implied Productivity Ratios'!$V44</f>
        <v>0.90472131142854306</v>
      </c>
      <c r="S44">
        <f>'Implied Productivity Ratios'!T44/'Implied Productivity Ratios'!$V44</f>
        <v>0.99992331071506435</v>
      </c>
      <c r="T44">
        <f>'Implied Productivity Ratios'!U44/'Implied Productivity Ratios'!$V44</f>
        <v>1.0492564703900631</v>
      </c>
      <c r="U44">
        <f>'Implied Productivity Ratios'!V44/'Implied Productivity Ratios'!$V44</f>
        <v>1</v>
      </c>
      <c r="V44">
        <f>'Implied Productivity Ratios'!W44/'Implied Productivity Ratios'!$V44</f>
        <v>1.0030807366578123</v>
      </c>
      <c r="W44">
        <f>'Implied Productivity Ratios'!X44/'Implied Productivity Ratios'!$V44</f>
        <v>1.0001213731144072</v>
      </c>
      <c r="X44">
        <f>'Implied Productivity Ratios'!Y44/'Implied Productivity Ratios'!$V44</f>
        <v>1.0100395770801514</v>
      </c>
      <c r="Y44">
        <f>'Implied Productivity Ratios'!Z44/'Implied Productivity Ratios'!$V44</f>
        <v>1.0130172276498526</v>
      </c>
      <c r="Z44">
        <f>'Implied Productivity Ratios'!AA44/'Implied Productivity Ratios'!$V44</f>
        <v>1.0159675001693262</v>
      </c>
      <c r="AA44">
        <f>'Implied Productivity Ratios'!AB44/'Implied Productivity Ratios'!$V44</f>
        <v>1.0188384829239425</v>
      </c>
      <c r="AB44">
        <f>'Implied Productivity Ratios'!AC44/'Implied Productivity Ratios'!$V44</f>
        <v>1.0225379506145664</v>
      </c>
      <c r="AC44">
        <f>'Implied Productivity Ratios'!AD44/'Implied Productivity Ratios'!$V44</f>
        <v>1.0274531427902229</v>
      </c>
      <c r="AD44">
        <f>'Implied Productivity Ratios'!AE44/'Implied Productivity Ratios'!$V44</f>
        <v>1.0306697510919265</v>
      </c>
      <c r="AE44">
        <f>'Implied Productivity Ratios'!AF44/'Implied Productivity Ratios'!$V44</f>
        <v>1.0333633122488008</v>
      </c>
      <c r="AF44">
        <f>'Implied Productivity Ratios'!AG44/'Implied Productivity Ratios'!$V44</f>
        <v>1.0355235581369602</v>
      </c>
      <c r="AG44">
        <f>'Implied Productivity Ratios'!AH44/'Implied Productivity Ratios'!$V44</f>
        <v>1.0356154624784462</v>
      </c>
      <c r="AH44">
        <f>'Implied Productivity Ratios'!AI44/'Implied Productivity Ratios'!$V44</f>
        <v>1.035202964629905</v>
      </c>
      <c r="AI44">
        <f>'Implied Productivity Ratios'!AJ44/'Implied Productivity Ratios'!$V44</f>
        <v>1.036697822099385</v>
      </c>
      <c r="AJ44">
        <f>'Implied Productivity Ratios'!AK44/'Implied Productivity Ratios'!$V44</f>
        <v>1.0398222602521203</v>
      </c>
      <c r="AK44">
        <f>'Implied Productivity Ratios'!AL44/'Implied Productivity Ratios'!$V44</f>
        <v>1.0461476639025371</v>
      </c>
      <c r="AL44">
        <f>'Implied Productivity Ratios'!AM44/'Implied Productivity Ratios'!$V44</f>
        <v>1.0536004604338036</v>
      </c>
      <c r="AM44">
        <f>'Implied Productivity Ratios'!AN44/'Implied Productivity Ratios'!$V44</f>
        <v>1.0612769302804241</v>
      </c>
      <c r="AN44">
        <f>'Implied Productivity Ratios'!AO44/'Implied Productivity Ratios'!$V44</f>
        <v>1.0686034946083629</v>
      </c>
      <c r="AO44">
        <f>'Implied Productivity Ratios'!AP44/'Implied Productivity Ratios'!$V44</f>
        <v>1.0762099956283955</v>
      </c>
      <c r="AP44">
        <f>'Implied Productivity Ratios'!AQ44/'Implied Productivity Ratios'!$V44</f>
        <v>1.0845678882270116</v>
      </c>
      <c r="AQ44">
        <f>'Implied Productivity Ratios'!AR44/'Implied Productivity Ratios'!$V44</f>
        <v>1.0940226373045803</v>
      </c>
      <c r="AR44">
        <f>'Implied Productivity Ratios'!AS44/'Implied Productivity Ratios'!$V44</f>
        <v>1.1044096812073152</v>
      </c>
      <c r="AS44">
        <f>'Implied Productivity Ratios'!AT44/'Implied Productivity Ratios'!$V44</f>
        <v>1.1155070477418854</v>
      </c>
      <c r="AT44">
        <f>'Implied Productivity Ratios'!AU44/'Implied Productivity Ratios'!$V44</f>
        <v>1.1280385933081101</v>
      </c>
      <c r="AU44">
        <f>'Implied Productivity Ratios'!AV44/'Implied Productivity Ratios'!$V44</f>
        <v>1.1425363952512368</v>
      </c>
      <c r="AV44">
        <f>'Implied Productivity Ratios'!AW44/'Implied Productivity Ratios'!$V44</f>
        <v>1.1582917169702838</v>
      </c>
      <c r="AW44">
        <f>'Implied Productivity Ratios'!AX44/'Implied Productivity Ratios'!$V44</f>
        <v>1.1754280375274482</v>
      </c>
      <c r="AX44">
        <f>'Implied Productivity Ratios'!AY44/'Implied Productivity Ratios'!$V44</f>
        <v>1.1941084482019224</v>
      </c>
      <c r="AY44">
        <f>'Implied Productivity Ratios'!AZ44/'Implied Productivity Ratios'!$V44</f>
        <v>1.2148070704472036</v>
      </c>
      <c r="AZ44">
        <f>'Implied Productivity Ratios'!BA44/'Implied Productivity Ratios'!$V44</f>
        <v>1.2378969263679731</v>
      </c>
      <c r="BA44">
        <f>'Implied Productivity Ratios'!BB44/'Implied Productivity Ratios'!$V44</f>
        <v>1.2632495179952619</v>
      </c>
      <c r="BB44">
        <f>'Implied Productivity Ratios'!BC44/'Implied Productivity Ratios'!$V44</f>
        <v>1.2909713509560912</v>
      </c>
      <c r="BC44" s="5">
        <f>'Implied Productivity Ratios'!BD44/'Implied Productivity Ratios'!$V44</f>
        <v>1.3140800136418198</v>
      </c>
      <c r="BD44" s="5">
        <f>'Implied Productivity Ratios'!BE44/'Implied Productivity Ratios'!$V44</f>
        <v>1.3371886763275485</v>
      </c>
      <c r="BE44" s="5">
        <f>'Implied Productivity Ratios'!BF44/'Implied Productivity Ratios'!$V44</f>
        <v>1.3602973390132771</v>
      </c>
      <c r="BF44" s="5">
        <f>'Implied Productivity Ratios'!BG44/'Implied Productivity Ratios'!$V44</f>
        <v>1.3834060016990057</v>
      </c>
      <c r="BG44" s="5">
        <f>'Implied Productivity Ratios'!BH44/'Implied Productivity Ratios'!$V44</f>
        <v>1.4065146643847344</v>
      </c>
    </row>
    <row r="45" spans="2:59">
      <c r="B45">
        <v>451</v>
      </c>
      <c r="C45" t="s">
        <v>151</v>
      </c>
      <c r="D45">
        <f>'Implied Productivity Ratios'!E45/'Implied Productivity Ratios'!$V45</f>
        <v>0.62954531696619553</v>
      </c>
      <c r="E45">
        <f>'Implied Productivity Ratios'!F45/'Implied Productivity Ratios'!$V45</f>
        <v>0.64278992776432853</v>
      </c>
      <c r="F45">
        <f>'Implied Productivity Ratios'!G45/'Implied Productivity Ratios'!$V45</f>
        <v>0.64039493852205143</v>
      </c>
      <c r="G45">
        <f>'Implied Productivity Ratios'!H45/'Implied Productivity Ratios'!$V45</f>
        <v>0.61594463262069832</v>
      </c>
      <c r="H45">
        <f>'Implied Productivity Ratios'!I45/'Implied Productivity Ratios'!$V45</f>
        <v>0.62598059484280277</v>
      </c>
      <c r="I45">
        <f>'Implied Productivity Ratios'!J45/'Implied Productivity Ratios'!$V45</f>
        <v>0.65546846713350082</v>
      </c>
      <c r="J45">
        <f>'Implied Productivity Ratios'!K45/'Implied Productivity Ratios'!$V45</f>
        <v>0.67883871688761821</v>
      </c>
      <c r="K45">
        <f>'Implied Productivity Ratios'!L45/'Implied Productivity Ratios'!$V45</f>
        <v>0.69177889659367053</v>
      </c>
      <c r="L45">
        <f>'Implied Productivity Ratios'!M45/'Implied Productivity Ratios'!$V45</f>
        <v>0.71604470758744421</v>
      </c>
      <c r="M45">
        <f>'Implied Productivity Ratios'!N45/'Implied Productivity Ratios'!$V45</f>
        <v>0.73065697093768434</v>
      </c>
      <c r="N45">
        <f>'Implied Productivity Ratios'!O45/'Implied Productivity Ratios'!$V45</f>
        <v>0.77548473844619248</v>
      </c>
      <c r="O45">
        <f>'Implied Productivity Ratios'!P45/'Implied Productivity Ratios'!$V45</f>
        <v>0.81735447396145766</v>
      </c>
      <c r="P45">
        <f>'Implied Productivity Ratios'!Q45/'Implied Productivity Ratios'!$V45</f>
        <v>0.81973611079810926</v>
      </c>
      <c r="Q45">
        <f>'Implied Productivity Ratios'!R45/'Implied Productivity Ratios'!$V45</f>
        <v>0.87449503928369909</v>
      </c>
      <c r="R45">
        <f>'Implied Productivity Ratios'!S45/'Implied Productivity Ratios'!$V45</f>
        <v>0.95895175703703484</v>
      </c>
      <c r="S45">
        <f>'Implied Productivity Ratios'!T45/'Implied Productivity Ratios'!$V45</f>
        <v>0.9840271729938429</v>
      </c>
      <c r="T45">
        <f>'Implied Productivity Ratios'!U45/'Implied Productivity Ratios'!$V45</f>
        <v>0.97944485491780409</v>
      </c>
      <c r="U45">
        <f>'Implied Productivity Ratios'!V45/'Implied Productivity Ratios'!$V45</f>
        <v>1</v>
      </c>
      <c r="V45">
        <f>'Implied Productivity Ratios'!W45/'Implied Productivity Ratios'!$V45</f>
        <v>0.98192916221309945</v>
      </c>
      <c r="W45">
        <f>'Implied Productivity Ratios'!X45/'Implied Productivity Ratios'!$V45</f>
        <v>0.96526323349014354</v>
      </c>
      <c r="X45">
        <f>'Implied Productivity Ratios'!Y45/'Implied Productivity Ratios'!$V45</f>
        <v>0.98294270638261017</v>
      </c>
      <c r="Y45">
        <f>'Implied Productivity Ratios'!Z45/'Implied Productivity Ratios'!$V45</f>
        <v>1.0000288515632758</v>
      </c>
      <c r="Z45">
        <f>'Implied Productivity Ratios'!AA45/'Implied Productivity Ratios'!$V45</f>
        <v>1.0170168622346616</v>
      </c>
      <c r="AA45">
        <f>'Implied Productivity Ratios'!AB45/'Implied Productivity Ratios'!$V45</f>
        <v>1.0337478678341678</v>
      </c>
      <c r="AB45">
        <f>'Implied Productivity Ratios'!AC45/'Implied Productivity Ratios'!$V45</f>
        <v>1.0510906355865575</v>
      </c>
      <c r="AC45">
        <f>'Implied Productivity Ratios'!AD45/'Implied Productivity Ratios'!$V45</f>
        <v>1.0693822933544122</v>
      </c>
      <c r="AD45">
        <f>'Implied Productivity Ratios'!AE45/'Implied Productivity Ratios'!$V45</f>
        <v>1.0856613174161465</v>
      </c>
      <c r="AE45">
        <f>'Implied Productivity Ratios'!AF45/'Implied Productivity Ratios'!$V45</f>
        <v>1.1011187337619108</v>
      </c>
      <c r="AF45">
        <f>'Implied Productivity Ratios'!AG45/'Implied Productivity Ratios'!$V45</f>
        <v>1.1157233672718889</v>
      </c>
      <c r="AG45">
        <f>'Implied Productivity Ratios'!AH45/'Implied Productivity Ratios'!$V45</f>
        <v>1.1277686843109549</v>
      </c>
      <c r="AH45">
        <f>'Implied Productivity Ratios'!AI45/'Implied Productivity Ratios'!$V45</f>
        <v>1.1388713649823707</v>
      </c>
      <c r="AI45">
        <f>'Implied Productivity Ratios'!AJ45/'Implied Productivity Ratios'!$V45</f>
        <v>1.1516600776639594</v>
      </c>
      <c r="AJ45">
        <f>'Implied Productivity Ratios'!AK45/'Implied Productivity Ratios'!$V45</f>
        <v>1.1658817626371716</v>
      </c>
      <c r="AK45">
        <f>'Implied Productivity Ratios'!AL45/'Implied Productivity Ratios'!$V45</f>
        <v>1.1833396347057463</v>
      </c>
      <c r="AL45">
        <f>'Implied Productivity Ratios'!AM45/'Implied Productivity Ratios'!$V45</f>
        <v>1.201740446154212</v>
      </c>
      <c r="AM45">
        <f>'Implied Productivity Ratios'!AN45/'Implied Productivity Ratios'!$V45</f>
        <v>1.2200554910023318</v>
      </c>
      <c r="AN45">
        <f>'Implied Productivity Ratios'!AO45/'Implied Productivity Ratios'!$V45</f>
        <v>1.2375933039420386</v>
      </c>
      <c r="AO45">
        <f>'Implied Productivity Ratios'!AP45/'Implied Productivity Ratios'!$V45</f>
        <v>1.2550605998655893</v>
      </c>
      <c r="AP45">
        <f>'Implied Productivity Ratios'!AQ45/'Implied Productivity Ratios'!$V45</f>
        <v>1.2730080911223196</v>
      </c>
      <c r="AQ45">
        <f>'Implied Productivity Ratios'!AR45/'Implied Productivity Ratios'!$V45</f>
        <v>1.2918237692266981</v>
      </c>
      <c r="AR45">
        <f>'Implied Productivity Ratios'!AS45/'Implied Productivity Ratios'!$V45</f>
        <v>1.311308282109916</v>
      </c>
      <c r="AS45">
        <f>'Implied Productivity Ratios'!AT45/'Implied Productivity Ratios'!$V45</f>
        <v>1.3311857848709916</v>
      </c>
      <c r="AT45">
        <f>'Implied Productivity Ratios'!AU45/'Implied Productivity Ratios'!$V45</f>
        <v>1.3523248523559024</v>
      </c>
      <c r="AU45">
        <f>'Implied Productivity Ratios'!AV45/'Implied Productivity Ratios'!$V45</f>
        <v>1.3753460617153084</v>
      </c>
      <c r="AV45">
        <f>'Implied Productivity Ratios'!AW45/'Implied Productivity Ratios'!$V45</f>
        <v>1.3993756627972049</v>
      </c>
      <c r="AW45">
        <f>'Implied Productivity Ratios'!AX45/'Implied Productivity Ratios'!$V45</f>
        <v>1.4245552213532227</v>
      </c>
      <c r="AX45">
        <f>'Implied Productivity Ratios'!AY45/'Implied Productivity Ratios'!$V45</f>
        <v>1.4510669073747127</v>
      </c>
      <c r="AY45">
        <f>'Implied Productivity Ratios'!AZ45/'Implied Productivity Ratios'!$V45</f>
        <v>1.4794566614588638</v>
      </c>
      <c r="AZ45">
        <f>'Implied Productivity Ratios'!BA45/'Implied Productivity Ratios'!$V45</f>
        <v>1.5101487545057257</v>
      </c>
      <c r="BA45">
        <f>'Implied Productivity Ratios'!BB45/'Implied Productivity Ratios'!$V45</f>
        <v>1.5429568982854811</v>
      </c>
      <c r="BB45">
        <f>'Implied Productivity Ratios'!BC45/'Implied Productivity Ratios'!$V45</f>
        <v>1.577990010942256</v>
      </c>
      <c r="BC45" s="5">
        <f>'Implied Productivity Ratios'!BD45/'Implied Productivity Ratios'!$V45</f>
        <v>1.6086769688600626</v>
      </c>
      <c r="BD45" s="5">
        <f>'Implied Productivity Ratios'!BE45/'Implied Productivity Ratios'!$V45</f>
        <v>1.6393639267778692</v>
      </c>
      <c r="BE45" s="5">
        <f>'Implied Productivity Ratios'!BF45/'Implied Productivity Ratios'!$V45</f>
        <v>1.6700508846956759</v>
      </c>
      <c r="BF45" s="5">
        <f>'Implied Productivity Ratios'!BG45/'Implied Productivity Ratios'!$V45</f>
        <v>1.7007378426134827</v>
      </c>
      <c r="BG45" s="5">
        <f>'Implied Productivity Ratios'!BH45/'Implied Productivity Ratios'!$V45</f>
        <v>1.7314248005312893</v>
      </c>
    </row>
    <row r="46" spans="2:59">
      <c r="B46">
        <v>452</v>
      </c>
      <c r="C46" t="s">
        <v>155</v>
      </c>
      <c r="D46">
        <f>'Implied Productivity Ratios'!E46/'Implied Productivity Ratios'!$V46</f>
        <v>0.92533095914126606</v>
      </c>
      <c r="E46">
        <f>'Implied Productivity Ratios'!F46/'Implied Productivity Ratios'!$V46</f>
        <v>0.93400001452914383</v>
      </c>
      <c r="F46">
        <f>'Implied Productivity Ratios'!G46/'Implied Productivity Ratios'!$V46</f>
        <v>0.90227824657214506</v>
      </c>
      <c r="G46">
        <f>'Implied Productivity Ratios'!H46/'Implied Productivity Ratios'!$V46</f>
        <v>0.91160495096108152</v>
      </c>
      <c r="H46">
        <f>'Implied Productivity Ratios'!I46/'Implied Productivity Ratios'!$V46</f>
        <v>0.97614288709619423</v>
      </c>
      <c r="I46">
        <f>'Implied Productivity Ratios'!J46/'Implied Productivity Ratios'!$V46</f>
        <v>0.95388511528714992</v>
      </c>
      <c r="J46">
        <f>'Implied Productivity Ratios'!K46/'Implied Productivity Ratios'!$V46</f>
        <v>0.96807657606058861</v>
      </c>
      <c r="K46">
        <f>'Implied Productivity Ratios'!L46/'Implied Productivity Ratios'!$V46</f>
        <v>0.84543373076134931</v>
      </c>
      <c r="L46">
        <f>'Implied Productivity Ratios'!M46/'Implied Productivity Ratios'!$V46</f>
        <v>0.86803501573440345</v>
      </c>
      <c r="M46">
        <f>'Implied Productivity Ratios'!N46/'Implied Productivity Ratios'!$V46</f>
        <v>0.87738227929597434</v>
      </c>
      <c r="N46">
        <f>'Implied Productivity Ratios'!O46/'Implied Productivity Ratios'!$V46</f>
        <v>0.9011366548936145</v>
      </c>
      <c r="O46">
        <f>'Implied Productivity Ratios'!P46/'Implied Productivity Ratios'!$V46</f>
        <v>0.90602102933948159</v>
      </c>
      <c r="P46">
        <f>'Implied Productivity Ratios'!Q46/'Implied Productivity Ratios'!$V46</f>
        <v>0.97227170638930227</v>
      </c>
      <c r="Q46">
        <f>'Implied Productivity Ratios'!R46/'Implied Productivity Ratios'!$V46</f>
        <v>1.0166845983097106</v>
      </c>
      <c r="R46">
        <f>'Implied Productivity Ratios'!S46/'Implied Productivity Ratios'!$V46</f>
        <v>1.0348830823026032</v>
      </c>
      <c r="S46">
        <f>'Implied Productivity Ratios'!T46/'Implied Productivity Ratios'!$V46</f>
        <v>1.1261338106874141</v>
      </c>
      <c r="T46">
        <f>'Implied Productivity Ratios'!U46/'Implied Productivity Ratios'!$V46</f>
        <v>1.175069335371471</v>
      </c>
      <c r="U46">
        <f>'Implied Productivity Ratios'!V46/'Implied Productivity Ratios'!$V46</f>
        <v>1</v>
      </c>
      <c r="V46">
        <f>'Implied Productivity Ratios'!W46/'Implied Productivity Ratios'!$V46</f>
        <v>0.95443621076522822</v>
      </c>
      <c r="W46">
        <f>'Implied Productivity Ratios'!X46/'Implied Productivity Ratios'!$V46</f>
        <v>0.96029593310713501</v>
      </c>
      <c r="X46">
        <f>'Implied Productivity Ratios'!Y46/'Implied Productivity Ratios'!$V46</f>
        <v>0.95493052940384837</v>
      </c>
      <c r="Y46">
        <f>'Implied Productivity Ratios'!Z46/'Implied Productivity Ratios'!$V46</f>
        <v>0.95645414462842415</v>
      </c>
      <c r="Z46">
        <f>'Implied Productivity Ratios'!AA46/'Implied Productivity Ratios'!$V46</f>
        <v>0.95813505136601285</v>
      </c>
      <c r="AA46">
        <f>'Implied Productivity Ratios'!AB46/'Implied Productivity Ratios'!$V46</f>
        <v>0.95979873813772021</v>
      </c>
      <c r="AB46">
        <f>'Implied Productivity Ratios'!AC46/'Implied Productivity Ratios'!$V46</f>
        <v>0.96226823475615708</v>
      </c>
      <c r="AC46">
        <f>'Implied Productivity Ratios'!AD46/'Implied Productivity Ratios'!$V46</f>
        <v>0.9658144563680986</v>
      </c>
      <c r="AD46">
        <f>'Implied Productivity Ratios'!AE46/'Implied Productivity Ratios'!$V46</f>
        <v>0.9677865700336421</v>
      </c>
      <c r="AE46">
        <f>'Implied Productivity Ratios'!AF46/'Implied Productivity Ratios'!$V46</f>
        <v>0.96932786801970505</v>
      </c>
      <c r="AF46">
        <f>'Implied Productivity Ratios'!AG46/'Implied Productivity Ratios'!$V46</f>
        <v>0.97045487600613378</v>
      </c>
      <c r="AG46">
        <f>'Implied Productivity Ratios'!AH46/'Implied Productivity Ratios'!$V46</f>
        <v>0.96972787770467939</v>
      </c>
      <c r="AH46">
        <f>'Implied Productivity Ratios'!AI46/'Implied Productivity Ratios'!$V46</f>
        <v>0.96859921418703865</v>
      </c>
      <c r="AI46">
        <f>'Implied Productivity Ratios'!AJ46/'Implied Productivity Ratios'!$V46</f>
        <v>0.96930954099278621</v>
      </c>
      <c r="AJ46">
        <f>'Implied Productivity Ratios'!AK46/'Implied Productivity Ratios'!$V46</f>
        <v>0.97160013972329007</v>
      </c>
      <c r="AK46">
        <f>'Implied Productivity Ratios'!AL46/'Implied Productivity Ratios'!$V46</f>
        <v>0.97692012796579608</v>
      </c>
      <c r="AL46">
        <f>'Implied Productivity Ratios'!AM46/'Implied Productivity Ratios'!$V46</f>
        <v>0.98334349574132196</v>
      </c>
      <c r="AM46">
        <f>'Implied Productivity Ratios'!AN46/'Implied Productivity Ratios'!$V46</f>
        <v>0.99002083457623336</v>
      </c>
      <c r="AN46">
        <f>'Implied Productivity Ratios'!AO46/'Implied Productivity Ratios'!$V46</f>
        <v>0.99640985463597553</v>
      </c>
      <c r="AO46">
        <f>'Implied Productivity Ratios'!AP46/'Implied Productivity Ratios'!$V46</f>
        <v>1.0030983455010971</v>
      </c>
      <c r="AP46">
        <f>'Implied Productivity Ratios'!AQ46/'Implied Productivity Ratios'!$V46</f>
        <v>1.0105378626403874</v>
      </c>
      <c r="AQ46">
        <f>'Implied Productivity Ratios'!AR46/'Implied Productivity Ratios'!$V46</f>
        <v>1.0190441826200283</v>
      </c>
      <c r="AR46">
        <f>'Implied Productivity Ratios'!AS46/'Implied Productivity Ratios'!$V46</f>
        <v>1.0284582884100866</v>
      </c>
      <c r="AS46">
        <f>'Implied Productivity Ratios'!AT46/'Implied Productivity Ratios'!$V46</f>
        <v>1.0385752935669215</v>
      </c>
      <c r="AT46">
        <f>'Implied Productivity Ratios'!AU46/'Implied Productivity Ratios'!$V46</f>
        <v>1.0500819232643048</v>
      </c>
      <c r="AU46">
        <f>'Implied Productivity Ratios'!AV46/'Implied Productivity Ratios'!$V46</f>
        <v>1.0634586049177135</v>
      </c>
      <c r="AV46">
        <f>'Implied Productivity Ratios'!AW46/'Implied Productivity Ratios'!$V46</f>
        <v>1.0780355536148662</v>
      </c>
      <c r="AW46">
        <f>'Implied Productivity Ratios'!AX46/'Implied Productivity Ratios'!$V46</f>
        <v>1.0939400233118519</v>
      </c>
      <c r="AX46">
        <f>'Implied Productivity Ratios'!AY46/'Implied Productivity Ratios'!$V46</f>
        <v>1.1113273860998663</v>
      </c>
      <c r="AY46">
        <f>'Implied Productivity Ratios'!AZ46/'Implied Productivity Ratios'!$V46</f>
        <v>1.1306361438354866</v>
      </c>
      <c r="AZ46">
        <f>'Implied Productivity Ratios'!BA46/'Implied Productivity Ratios'!$V46</f>
        <v>1.152208605763396</v>
      </c>
      <c r="BA46">
        <f>'Implied Productivity Ratios'!BB46/'Implied Productivity Ratios'!$V46</f>
        <v>1.1759332559974083</v>
      </c>
      <c r="BB46">
        <f>'Implied Productivity Ratios'!BC46/'Implied Productivity Ratios'!$V46</f>
        <v>1.2019263220254697</v>
      </c>
      <c r="BC46" s="5">
        <f>'Implied Productivity Ratios'!BD46/'Implied Productivity Ratios'!$V46</f>
        <v>1.2235235817681931</v>
      </c>
      <c r="BD46" s="5">
        <f>'Implied Productivity Ratios'!BE46/'Implied Productivity Ratios'!$V46</f>
        <v>1.2451208415109165</v>
      </c>
      <c r="BE46" s="5">
        <f>'Implied Productivity Ratios'!BF46/'Implied Productivity Ratios'!$V46</f>
        <v>1.2667181012536401</v>
      </c>
      <c r="BF46" s="5">
        <f>'Implied Productivity Ratios'!BG46/'Implied Productivity Ratios'!$V46</f>
        <v>1.2883153609963638</v>
      </c>
      <c r="BG46" s="5">
        <f>'Implied Productivity Ratios'!BH46/'Implied Productivity Ratios'!$V46</f>
        <v>1.3099126207390872</v>
      </c>
    </row>
    <row r="47" spans="2:59">
      <c r="B47">
        <v>453</v>
      </c>
      <c r="C47" t="s">
        <v>159</v>
      </c>
      <c r="D47">
        <f>'Implied Productivity Ratios'!E47/'Implied Productivity Ratios'!$V47</f>
        <v>0.70938356888285359</v>
      </c>
      <c r="E47">
        <f>'Implied Productivity Ratios'!F47/'Implied Productivity Ratios'!$V47</f>
        <v>0.73058945056796876</v>
      </c>
      <c r="F47">
        <f>'Implied Productivity Ratios'!G47/'Implied Productivity Ratios'!$V47</f>
        <v>0.7330184828357732</v>
      </c>
      <c r="G47">
        <f>'Implied Productivity Ratios'!H47/'Implied Productivity Ratios'!$V47</f>
        <v>0.70947424577541918</v>
      </c>
      <c r="H47">
        <f>'Implied Productivity Ratios'!I47/'Implied Productivity Ratios'!$V47</f>
        <v>0.70497160962773475</v>
      </c>
      <c r="I47">
        <f>'Implied Productivity Ratios'!J47/'Implied Productivity Ratios'!$V47</f>
        <v>0.73947715940452563</v>
      </c>
      <c r="J47">
        <f>'Implied Productivity Ratios'!K47/'Implied Productivity Ratios'!$V47</f>
        <v>0.72825796104804874</v>
      </c>
      <c r="K47">
        <f>'Implied Productivity Ratios'!L47/'Implied Productivity Ratios'!$V47</f>
        <v>0.74780071381025925</v>
      </c>
      <c r="L47">
        <f>'Implied Productivity Ratios'!M47/'Implied Productivity Ratios'!$V47</f>
        <v>0.75981271785064086</v>
      </c>
      <c r="M47">
        <f>'Implied Productivity Ratios'!N47/'Implied Productivity Ratios'!$V47</f>
        <v>0.78617469997482803</v>
      </c>
      <c r="N47">
        <f>'Implied Productivity Ratios'!O47/'Implied Productivity Ratios'!$V47</f>
        <v>0.8284800021230353</v>
      </c>
      <c r="O47">
        <f>'Implied Productivity Ratios'!P47/'Implied Productivity Ratios'!$V47</f>
        <v>0.8783706283079038</v>
      </c>
      <c r="P47">
        <f>'Implied Productivity Ratios'!Q47/'Implied Productivity Ratios'!$V47</f>
        <v>0.87655059220046283</v>
      </c>
      <c r="Q47">
        <f>'Implied Productivity Ratios'!R47/'Implied Productivity Ratios'!$V47</f>
        <v>0.92410961148418824</v>
      </c>
      <c r="R47">
        <f>'Implied Productivity Ratios'!S47/'Implied Productivity Ratios'!$V47</f>
        <v>1.0104336824759024</v>
      </c>
      <c r="S47">
        <f>'Implied Productivity Ratios'!T47/'Implied Productivity Ratios'!$V47</f>
        <v>1.002720987472721</v>
      </c>
      <c r="T47">
        <f>'Implied Productivity Ratios'!U47/'Implied Productivity Ratios'!$V47</f>
        <v>1.0158484812955377</v>
      </c>
      <c r="U47">
        <f>'Implied Productivity Ratios'!V47/'Implied Productivity Ratios'!$V47</f>
        <v>1</v>
      </c>
      <c r="V47">
        <f>'Implied Productivity Ratios'!W47/'Implied Productivity Ratios'!$V47</f>
        <v>1.0425845861050385</v>
      </c>
      <c r="W47">
        <f>'Implied Productivity Ratios'!X47/'Implied Productivity Ratios'!$V47</f>
        <v>1.0420043975112177</v>
      </c>
      <c r="X47">
        <f>'Implied Productivity Ratios'!Y47/'Implied Productivity Ratios'!$V47</f>
        <v>1.0531083185392864</v>
      </c>
      <c r="Y47">
        <f>'Implied Productivity Ratios'!Z47/'Implied Productivity Ratios'!$V47</f>
        <v>1.057319343319959</v>
      </c>
      <c r="Z47">
        <f>'Implied Productivity Ratios'!AA47/'Implied Productivity Ratios'!$V47</f>
        <v>1.0616052088118444</v>
      </c>
      <c r="AA47">
        <f>'Implied Productivity Ratios'!AB47/'Implied Productivity Ratios'!$V47</f>
        <v>1.0657993100043825</v>
      </c>
      <c r="AB47">
        <f>'Implied Productivity Ratios'!AC47/'Implied Productivity Ratios'!$V47</f>
        <v>1.0708274347880582</v>
      </c>
      <c r="AC47">
        <f>'Implied Productivity Ratios'!AD47/'Implied Productivity Ratios'!$V47</f>
        <v>1.077030832414303</v>
      </c>
      <c r="AD47">
        <f>'Implied Productivity Ratios'!AE47/'Implied Productivity Ratios'!$V47</f>
        <v>1.0814319945330968</v>
      </c>
      <c r="AE47">
        <f>'Implied Productivity Ratios'!AF47/'Implied Productivity Ratios'!$V47</f>
        <v>1.0852731619396485</v>
      </c>
      <c r="AF47">
        <f>'Implied Productivity Ratios'!AG47/'Implied Productivity Ratios'!$V47</f>
        <v>1.0885664685116427</v>
      </c>
      <c r="AG47">
        <f>'Implied Productivity Ratios'!AH47/'Implied Productivity Ratios'!$V47</f>
        <v>1.0896958659461131</v>
      </c>
      <c r="AH47">
        <f>'Implied Productivity Ratios'!AI47/'Implied Productivity Ratios'!$V47</f>
        <v>1.0902826159796402</v>
      </c>
      <c r="AI47">
        <f>'Implied Productivity Ratios'!AJ47/'Implied Productivity Ratios'!$V47</f>
        <v>1.0928419471873003</v>
      </c>
      <c r="AJ47">
        <f>'Implied Productivity Ratios'!AK47/'Implied Productivity Ratios'!$V47</f>
        <v>1.0971136633348102</v>
      </c>
      <c r="AK47">
        <f>'Implied Productivity Ratios'!AL47/'Implied Productivity Ratios'!$V47</f>
        <v>1.1047436974311569</v>
      </c>
      <c r="AL47">
        <f>'Implied Productivity Ratios'!AM47/'Implied Productivity Ratios'!$V47</f>
        <v>1.1135502641006432</v>
      </c>
      <c r="AM47">
        <f>'Implied Productivity Ratios'!AN47/'Implied Productivity Ratios'!$V47</f>
        <v>1.1225819299563151</v>
      </c>
      <c r="AN47">
        <f>'Implied Productivity Ratios'!AO47/'Implied Productivity Ratios'!$V47</f>
        <v>1.1312259642050164</v>
      </c>
      <c r="AO47">
        <f>'Implied Productivity Ratios'!AP47/'Implied Productivity Ratios'!$V47</f>
        <v>1.1401477855668385</v>
      </c>
      <c r="AP47">
        <f>'Implied Productivity Ratios'!AQ47/'Implied Productivity Ratios'!$V47</f>
        <v>1.1498574651609699</v>
      </c>
      <c r="AQ47">
        <f>'Implied Productivity Ratios'!AR47/'Implied Productivity Ratios'!$V47</f>
        <v>1.1607151878969226</v>
      </c>
      <c r="AR47">
        <f>'Implied Productivity Ratios'!AS47/'Implied Productivity Ratios'!$V47</f>
        <v>1.172547272560055</v>
      </c>
      <c r="AS47">
        <f>'Implied Productivity Ratios'!AT47/'Implied Productivity Ratios'!$V47</f>
        <v>1.1851146630748346</v>
      </c>
      <c r="AT47">
        <f>'Implied Productivity Ratios'!AU47/'Implied Productivity Ratios'!$V47</f>
        <v>1.1991995627320833</v>
      </c>
      <c r="AU47">
        <f>'Implied Productivity Ratios'!AV47/'Implied Productivity Ratios'!$V47</f>
        <v>1.2153531770149582</v>
      </c>
      <c r="AV47">
        <f>'Implied Productivity Ratios'!AW47/'Implied Productivity Ratios'!$V47</f>
        <v>1.2328045648832171</v>
      </c>
      <c r="AW47">
        <f>'Implied Productivity Ratios'!AX47/'Implied Productivity Ratios'!$V47</f>
        <v>1.2517003847004842</v>
      </c>
      <c r="AX47">
        <f>'Implied Productivity Ratios'!AY47/'Implied Productivity Ratios'!$V47</f>
        <v>1.2722194786315628</v>
      </c>
      <c r="AY47">
        <f>'Implied Productivity Ratios'!AZ47/'Implied Productivity Ratios'!$V47</f>
        <v>1.2948666395489949</v>
      </c>
      <c r="AZ47">
        <f>'Implied Productivity Ratios'!BA47/'Implied Productivity Ratios'!$V47</f>
        <v>1.3200502790156978</v>
      </c>
      <c r="BA47">
        <f>'Implied Productivity Ratios'!BB47/'Implied Productivity Ratios'!$V47</f>
        <v>1.3476303075730445</v>
      </c>
      <c r="BB47">
        <f>'Implied Productivity Ratios'!BC47/'Implied Productivity Ratios'!$V47</f>
        <v>1.3777233418168402</v>
      </c>
      <c r="BC47" s="5">
        <f>'Implied Productivity Ratios'!BD47/'Implied Productivity Ratios'!$V47</f>
        <v>1.4029279332401112</v>
      </c>
      <c r="BD47" s="5">
        <f>'Implied Productivity Ratios'!BE47/'Implied Productivity Ratios'!$V47</f>
        <v>1.4281325246633823</v>
      </c>
      <c r="BE47" s="5">
        <f>'Implied Productivity Ratios'!BF47/'Implied Productivity Ratios'!$V47</f>
        <v>1.4533371160866535</v>
      </c>
      <c r="BF47" s="5">
        <f>'Implied Productivity Ratios'!BG47/'Implied Productivity Ratios'!$V47</f>
        <v>1.4785417075099245</v>
      </c>
      <c r="BG47" s="5">
        <f>'Implied Productivity Ratios'!BH47/'Implied Productivity Ratios'!$V47</f>
        <v>1.5037462989331956</v>
      </c>
    </row>
    <row r="48" spans="2:59">
      <c r="B48">
        <v>454</v>
      </c>
      <c r="C48" t="s">
        <v>163</v>
      </c>
      <c r="D48">
        <f>'Implied Productivity Ratios'!E48/'Implied Productivity Ratios'!$V48</f>
        <v>0.33051834837424693</v>
      </c>
      <c r="E48">
        <f>'Implied Productivity Ratios'!F48/'Implied Productivity Ratios'!$V48</f>
        <v>0.37530493873976423</v>
      </c>
      <c r="F48">
        <f>'Implied Productivity Ratios'!G48/'Implied Productivity Ratios'!$V48</f>
        <v>0.39469598717051618</v>
      </c>
      <c r="G48">
        <f>'Implied Productivity Ratios'!H48/'Implied Productivity Ratios'!$V48</f>
        <v>0.37802848737066125</v>
      </c>
      <c r="H48">
        <f>'Implied Productivity Ratios'!I48/'Implied Productivity Ratios'!$V48</f>
        <v>0.42669140306494696</v>
      </c>
      <c r="I48">
        <f>'Implied Productivity Ratios'!J48/'Implied Productivity Ratios'!$V48</f>
        <v>0.48006458652078959</v>
      </c>
      <c r="J48">
        <f>'Implied Productivity Ratios'!K48/'Implied Productivity Ratios'!$V48</f>
        <v>0.50016029889101976</v>
      </c>
      <c r="K48">
        <f>'Implied Productivity Ratios'!L48/'Implied Productivity Ratios'!$V48</f>
        <v>0.5554330241495159</v>
      </c>
      <c r="L48">
        <f>'Implied Productivity Ratios'!M48/'Implied Productivity Ratios'!$V48</f>
        <v>0.58431494970783204</v>
      </c>
      <c r="M48">
        <f>'Implied Productivity Ratios'!N48/'Implied Productivity Ratios'!$V48</f>
        <v>0.58690443383279134</v>
      </c>
      <c r="N48">
        <f>'Implied Productivity Ratios'!O48/'Implied Productivity Ratios'!$V48</f>
        <v>0.61689576740458818</v>
      </c>
      <c r="O48">
        <f>'Implied Productivity Ratios'!P48/'Implied Productivity Ratios'!$V48</f>
        <v>0.64718075900778704</v>
      </c>
      <c r="P48">
        <f>'Implied Productivity Ratios'!Q48/'Implied Productivity Ratios'!$V48</f>
        <v>0.68009591572750294</v>
      </c>
      <c r="Q48">
        <f>'Implied Productivity Ratios'!R48/'Implied Productivity Ratios'!$V48</f>
        <v>0.72307599781913479</v>
      </c>
      <c r="R48">
        <f>'Implied Productivity Ratios'!S48/'Implied Productivity Ratios'!$V48</f>
        <v>0.7095414086986972</v>
      </c>
      <c r="S48">
        <f>'Implied Productivity Ratios'!T48/'Implied Productivity Ratios'!$V48</f>
        <v>0.87017206053558249</v>
      </c>
      <c r="T48">
        <f>'Implied Productivity Ratios'!U48/'Implied Productivity Ratios'!$V48</f>
        <v>0.87359693461358323</v>
      </c>
      <c r="U48">
        <f>'Implied Productivity Ratios'!V48/'Implied Productivity Ratios'!$V48</f>
        <v>1</v>
      </c>
      <c r="V48">
        <f>'Implied Productivity Ratios'!W48/'Implied Productivity Ratios'!$V48</f>
        <v>1.115290041066773</v>
      </c>
      <c r="W48">
        <f>'Implied Productivity Ratios'!X48/'Implied Productivity Ratios'!$V48</f>
        <v>1.1689110686565694</v>
      </c>
      <c r="X48">
        <f>'Implied Productivity Ratios'!Y48/'Implied Productivity Ratios'!$V48</f>
        <v>1.2320031579018005</v>
      </c>
      <c r="Y48">
        <f>'Implied Productivity Ratios'!Z48/'Implied Productivity Ratios'!$V48</f>
        <v>1.2952401060132765</v>
      </c>
      <c r="Z48">
        <f>'Implied Productivity Ratios'!AA48/'Implied Productivity Ratios'!$V48</f>
        <v>1.3594731694683178</v>
      </c>
      <c r="AA48">
        <f>'Implied Productivity Ratios'!AB48/'Implied Productivity Ratios'!$V48</f>
        <v>1.4243147703835151</v>
      </c>
      <c r="AB48">
        <f>'Implied Productivity Ratios'!AC48/'Implied Productivity Ratios'!$V48</f>
        <v>1.4907098702476869</v>
      </c>
      <c r="AC48">
        <f>'Implied Productivity Ratios'!AD48/'Implied Productivity Ratios'!$V48</f>
        <v>1.5591017073701297</v>
      </c>
      <c r="AD48">
        <f>'Implied Productivity Ratios'!AE48/'Implied Productivity Ratios'!$V48</f>
        <v>1.6251260615106033</v>
      </c>
      <c r="AE48">
        <f>'Implied Productivity Ratios'!AF48/'Implied Productivity Ratios'!$V48</f>
        <v>1.6902293427222708</v>
      </c>
      <c r="AF48">
        <f>'Implied Productivity Ratios'!AG48/'Implied Productivity Ratios'!$V48</f>
        <v>1.754158698126884</v>
      </c>
      <c r="AG48">
        <f>'Implied Productivity Ratios'!AH48/'Implied Productivity Ratios'!$V48</f>
        <v>1.8140146490659892</v>
      </c>
      <c r="AH48">
        <f>'Implied Productivity Ratios'!AI48/'Implied Productivity Ratios'!$V48</f>
        <v>1.8720698744630295</v>
      </c>
      <c r="AI48">
        <f>'Implied Productivity Ratios'!AJ48/'Implied Productivity Ratios'!$V48</f>
        <v>1.9324258956221321</v>
      </c>
      <c r="AJ48">
        <f>'Implied Productivity Ratios'!AK48/'Implied Productivity Ratios'!$V48</f>
        <v>1.9947846996255487</v>
      </c>
      <c r="AK48">
        <f>'Implied Productivity Ratios'!AL48/'Implied Productivity Ratios'!$V48</f>
        <v>2.0622551827668931</v>
      </c>
      <c r="AL48">
        <f>'Implied Productivity Ratios'!AM48/'Implied Productivity Ratios'!$V48</f>
        <v>2.1308987196910549</v>
      </c>
      <c r="AM48">
        <f>'Implied Productivity Ratios'!AN48/'Implied Productivity Ratios'!$V48</f>
        <v>2.1988216159982921</v>
      </c>
      <c r="AN48">
        <f>'Implied Productivity Ratios'!AO48/'Implied Productivity Ratios'!$V48</f>
        <v>2.2645610960288711</v>
      </c>
      <c r="AO48">
        <f>'Implied Productivity Ratios'!AP48/'Implied Productivity Ratios'!$V48</f>
        <v>2.3292366386527199</v>
      </c>
      <c r="AP48">
        <f>'Implied Productivity Ratios'!AQ48/'Implied Productivity Ratios'!$V48</f>
        <v>2.3936986146693888</v>
      </c>
      <c r="AQ48">
        <f>'Implied Productivity Ratios'!AR48/'Implied Productivity Ratios'!$V48</f>
        <v>2.4585778553443673</v>
      </c>
      <c r="AR48">
        <f>'Implied Productivity Ratios'!AS48/'Implied Productivity Ratios'!$V48</f>
        <v>2.5233772178856864</v>
      </c>
      <c r="AS48">
        <f>'Implied Productivity Ratios'!AT48/'Implied Productivity Ratios'!$V48</f>
        <v>2.5874019995556923</v>
      </c>
      <c r="AT48">
        <f>'Implied Productivity Ratios'!AU48/'Implied Productivity Ratios'!$V48</f>
        <v>2.6521752174155675</v>
      </c>
      <c r="AU48">
        <f>'Implied Productivity Ratios'!AV48/'Implied Productivity Ratios'!$V48</f>
        <v>2.7187806656780356</v>
      </c>
      <c r="AV48">
        <f>'Implied Productivity Ratios'!AW48/'Implied Productivity Ratios'!$V48</f>
        <v>2.7853680554544105</v>
      </c>
      <c r="AW48">
        <f>'Implied Productivity Ratios'!AX48/'Implied Productivity Ratios'!$V48</f>
        <v>2.8520655900319274</v>
      </c>
      <c r="AX48">
        <f>'Implied Productivity Ratios'!AY48/'Implied Productivity Ratios'!$V48</f>
        <v>2.9190643302371528</v>
      </c>
      <c r="AY48">
        <f>'Implied Productivity Ratios'!AZ48/'Implied Productivity Ratios'!$V48</f>
        <v>2.9873192243529969</v>
      </c>
      <c r="AZ48">
        <f>'Implied Productivity Ratios'!BA48/'Implied Productivity Ratios'!$V48</f>
        <v>3.0575105700945535</v>
      </c>
      <c r="BA48">
        <f>'Implied Productivity Ratios'!BB48/'Implied Productivity Ratios'!$V48</f>
        <v>3.1291644579563753</v>
      </c>
      <c r="BB48">
        <f>'Implied Productivity Ratios'!BC48/'Implied Productivity Ratios'!$V48</f>
        <v>3.2023300025455619</v>
      </c>
      <c r="BC48" s="5">
        <f>'Implied Productivity Ratios'!BD48/'Implied Productivity Ratios'!$V48</f>
        <v>3.2723828850482892</v>
      </c>
      <c r="BD48" s="5">
        <f>'Implied Productivity Ratios'!BE48/'Implied Productivity Ratios'!$V48</f>
        <v>3.3424357675510161</v>
      </c>
      <c r="BE48" s="5">
        <f>'Implied Productivity Ratios'!BF48/'Implied Productivity Ratios'!$V48</f>
        <v>3.4124886500537435</v>
      </c>
      <c r="BF48" s="5">
        <f>'Implied Productivity Ratios'!BG48/'Implied Productivity Ratios'!$V48</f>
        <v>3.4825415325564704</v>
      </c>
      <c r="BG48" s="5">
        <f>'Implied Productivity Ratios'!BH48/'Implied Productivity Ratios'!$V48</f>
        <v>3.5525944150591973</v>
      </c>
    </row>
    <row r="49" spans="2:59">
      <c r="B49">
        <v>481</v>
      </c>
      <c r="C49" t="s">
        <v>167</v>
      </c>
      <c r="D49">
        <f>'Implied Productivity Ratios'!E49/'Implied Productivity Ratios'!$V49</f>
        <v>0.56805043292856505</v>
      </c>
      <c r="E49">
        <f>'Implied Productivity Ratios'!F49/'Implied Productivity Ratios'!$V49</f>
        <v>0.64263494810657773</v>
      </c>
      <c r="F49">
        <f>'Implied Productivity Ratios'!G49/'Implied Productivity Ratios'!$V49</f>
        <v>0.68492564945865997</v>
      </c>
      <c r="G49">
        <f>'Implied Productivity Ratios'!H49/'Implied Productivity Ratios'!$V49</f>
        <v>0.65540004815024588</v>
      </c>
      <c r="H49">
        <f>'Implied Productivity Ratios'!I49/'Implied Productivity Ratios'!$V49</f>
        <v>0.69508251771649332</v>
      </c>
      <c r="I49">
        <f>'Implied Productivity Ratios'!J49/'Implied Productivity Ratios'!$V49</f>
        <v>0.8314307131329246</v>
      </c>
      <c r="J49">
        <f>'Implied Productivity Ratios'!K49/'Implied Productivity Ratios'!$V49</f>
        <v>0.82544055830148744</v>
      </c>
      <c r="K49">
        <f>'Implied Productivity Ratios'!L49/'Implied Productivity Ratios'!$V49</f>
        <v>0.78625650721953322</v>
      </c>
      <c r="L49">
        <f>'Implied Productivity Ratios'!M49/'Implied Productivity Ratios'!$V49</f>
        <v>0.84349114327063235</v>
      </c>
      <c r="M49">
        <f>'Implied Productivity Ratios'!N49/'Implied Productivity Ratios'!$V49</f>
        <v>0.86012827330234487</v>
      </c>
      <c r="N49">
        <f>'Implied Productivity Ratios'!O49/'Implied Productivity Ratios'!$V49</f>
        <v>0.86966485943912841</v>
      </c>
      <c r="O49">
        <f>'Implied Productivity Ratios'!P49/'Implied Productivity Ratios'!$V49</f>
        <v>0.9023331498829178</v>
      </c>
      <c r="P49">
        <f>'Implied Productivity Ratios'!Q49/'Implied Productivity Ratios'!$V49</f>
        <v>0.92966498347674231</v>
      </c>
      <c r="Q49">
        <f>'Implied Productivity Ratios'!R49/'Implied Productivity Ratios'!$V49</f>
        <v>0.94097260341207312</v>
      </c>
      <c r="R49">
        <f>'Implied Productivity Ratios'!S49/'Implied Productivity Ratios'!$V49</f>
        <v>0.91283061127813558</v>
      </c>
      <c r="S49">
        <f>'Implied Productivity Ratios'!T49/'Implied Productivity Ratios'!$V49</f>
        <v>0.53176378308606997</v>
      </c>
      <c r="T49">
        <f>'Implied Productivity Ratios'!U49/'Implied Productivity Ratios'!$V49</f>
        <v>0.89138771697273989</v>
      </c>
      <c r="U49">
        <f>'Implied Productivity Ratios'!V49/'Implied Productivity Ratios'!$V49</f>
        <v>1</v>
      </c>
      <c r="V49">
        <f>'Implied Productivity Ratios'!W49/'Implied Productivity Ratios'!$V49</f>
        <v>0.96188915649568185</v>
      </c>
      <c r="W49">
        <f>'Implied Productivity Ratios'!X49/'Implied Productivity Ratios'!$V49</f>
        <v>0.9741275542326584</v>
      </c>
      <c r="X49">
        <f>'Implied Productivity Ratios'!Y49/'Implied Productivity Ratios'!$V49</f>
        <v>0.98073479670969488</v>
      </c>
      <c r="Y49">
        <f>'Implied Productivity Ratios'!Z49/'Implied Productivity Ratios'!$V49</f>
        <v>0.95076260282518577</v>
      </c>
      <c r="Z49">
        <f>'Implied Productivity Ratios'!AA49/'Implied Productivity Ratios'!$V49</f>
        <v>0.95067360695909986</v>
      </c>
      <c r="AA49">
        <f>'Implied Productivity Ratios'!AB49/'Implied Productivity Ratios'!$V49</f>
        <v>0.96964763679765886</v>
      </c>
      <c r="AB49">
        <f>'Implied Productivity Ratios'!AC49/'Implied Productivity Ratios'!$V49</f>
        <v>0.99591781385682565</v>
      </c>
      <c r="AC49">
        <f>'Implied Productivity Ratios'!AD49/'Implied Productivity Ratios'!$V49</f>
        <v>1.0251754980980039</v>
      </c>
      <c r="AD49">
        <f>'Implied Productivity Ratios'!AE49/'Implied Productivity Ratios'!$V49</f>
        <v>1.0492776074361398</v>
      </c>
      <c r="AE49">
        <f>'Implied Productivity Ratios'!AF49/'Implied Productivity Ratios'!$V49</f>
        <v>1.0714922198810506</v>
      </c>
      <c r="AF49">
        <f>'Implied Productivity Ratios'!AG49/'Implied Productivity Ratios'!$V49</f>
        <v>1.0943415611140814</v>
      </c>
      <c r="AG49">
        <f>'Implied Productivity Ratios'!AH49/'Implied Productivity Ratios'!$V49</f>
        <v>1.1120919817778316</v>
      </c>
      <c r="AH49">
        <f>'Implied Productivity Ratios'!AI49/'Implied Productivity Ratios'!$V49</f>
        <v>1.1309257270880937</v>
      </c>
      <c r="AI49">
        <f>'Implied Productivity Ratios'!AJ49/'Implied Productivity Ratios'!$V49</f>
        <v>1.1571099536280087</v>
      </c>
      <c r="AJ49">
        <f>'Implied Productivity Ratios'!AK49/'Implied Productivity Ratios'!$V49</f>
        <v>1.1863695677016342</v>
      </c>
      <c r="AK49">
        <f>'Implied Productivity Ratios'!AL49/'Implied Productivity Ratios'!$V49</f>
        <v>1.2168060896779793</v>
      </c>
      <c r="AL49">
        <f>'Implied Productivity Ratios'!AM49/'Implied Productivity Ratios'!$V49</f>
        <v>1.2469206140548272</v>
      </c>
      <c r="AM49">
        <f>'Implied Productivity Ratios'!AN49/'Implied Productivity Ratios'!$V49</f>
        <v>1.2780792640417218</v>
      </c>
      <c r="AN49">
        <f>'Implied Productivity Ratios'!AO49/'Implied Productivity Ratios'!$V49</f>
        <v>1.3096860028830764</v>
      </c>
      <c r="AO49">
        <f>'Implied Productivity Ratios'!AP49/'Implied Productivity Ratios'!$V49</f>
        <v>1.341005025510184</v>
      </c>
      <c r="AP49">
        <f>'Implied Productivity Ratios'!AQ49/'Implied Productivity Ratios'!$V49</f>
        <v>1.3723731076115924</v>
      </c>
      <c r="AQ49">
        <f>'Implied Productivity Ratios'!AR49/'Implied Productivity Ratios'!$V49</f>
        <v>1.4078363966889342</v>
      </c>
      <c r="AR49">
        <f>'Implied Productivity Ratios'!AS49/'Implied Productivity Ratios'!$V49</f>
        <v>1.4463292917461301</v>
      </c>
      <c r="AS49">
        <f>'Implied Productivity Ratios'!AT49/'Implied Productivity Ratios'!$V49</f>
        <v>1.4858935580723578</v>
      </c>
      <c r="AT49">
        <f>'Implied Productivity Ratios'!AU49/'Implied Productivity Ratios'!$V49</f>
        <v>1.5262619460878435</v>
      </c>
      <c r="AU49">
        <f>'Implied Productivity Ratios'!AV49/'Implied Productivity Ratios'!$V49</f>
        <v>1.5680983075924977</v>
      </c>
      <c r="AV49">
        <f>'Implied Productivity Ratios'!AW49/'Implied Productivity Ratios'!$V49</f>
        <v>1.6075128604315245</v>
      </c>
      <c r="AW49">
        <f>'Implied Productivity Ratios'!AX49/'Implied Productivity Ratios'!$V49</f>
        <v>1.6450058245172197</v>
      </c>
      <c r="AX49">
        <f>'Implied Productivity Ratios'!AY49/'Implied Productivity Ratios'!$V49</f>
        <v>1.6810482848404744</v>
      </c>
      <c r="AY49">
        <f>'Implied Productivity Ratios'!AZ49/'Implied Productivity Ratios'!$V49</f>
        <v>1.7168633871307077</v>
      </c>
      <c r="AZ49">
        <f>'Implied Productivity Ratios'!BA49/'Implied Productivity Ratios'!$V49</f>
        <v>1.7514301334123428</v>
      </c>
      <c r="BA49">
        <f>'Implied Productivity Ratios'!BB49/'Implied Productivity Ratios'!$V49</f>
        <v>1.7852274484408346</v>
      </c>
      <c r="BB49">
        <f>'Implied Productivity Ratios'!BC49/'Implied Productivity Ratios'!$V49</f>
        <v>1.8182550797018864</v>
      </c>
      <c r="BC49" s="5">
        <f>'Implied Productivity Ratios'!BD49/'Implied Productivity Ratios'!$V49</f>
        <v>1.8529049307388197</v>
      </c>
      <c r="BD49" s="5">
        <f>'Implied Productivity Ratios'!BE49/'Implied Productivity Ratios'!$V49</f>
        <v>1.8875547817757532</v>
      </c>
      <c r="BE49" s="5">
        <f>'Implied Productivity Ratios'!BF49/'Implied Productivity Ratios'!$V49</f>
        <v>1.9222046328126865</v>
      </c>
      <c r="BF49" s="5">
        <f>'Implied Productivity Ratios'!BG49/'Implied Productivity Ratios'!$V49</f>
        <v>1.95685448384962</v>
      </c>
      <c r="BG49" s="5">
        <f>'Implied Productivity Ratios'!BH49/'Implied Productivity Ratios'!$V49</f>
        <v>1.9915043348865533</v>
      </c>
    </row>
    <row r="50" spans="2:59">
      <c r="B50">
        <v>482</v>
      </c>
      <c r="C50" t="s">
        <v>171</v>
      </c>
      <c r="D50">
        <f>'Implied Productivity Ratios'!E50/'Implied Productivity Ratios'!$V50</f>
        <v>0.96517480064039263</v>
      </c>
      <c r="E50">
        <f>'Implied Productivity Ratios'!F50/'Implied Productivity Ratios'!$V50</f>
        <v>0.98717221550876988</v>
      </c>
      <c r="F50">
        <f>'Implied Productivity Ratios'!G50/'Implied Productivity Ratios'!$V50</f>
        <v>0.94904166899011833</v>
      </c>
      <c r="G50">
        <f>'Implied Productivity Ratios'!H50/'Implied Productivity Ratios'!$V50</f>
        <v>0.98760985709198534</v>
      </c>
      <c r="H50">
        <f>'Implied Productivity Ratios'!I50/'Implied Productivity Ratios'!$V50</f>
        <v>0.92943514237424951</v>
      </c>
      <c r="I50">
        <f>'Implied Productivity Ratios'!J50/'Implied Productivity Ratios'!$V50</f>
        <v>0.92412921110793922</v>
      </c>
      <c r="J50">
        <f>'Implied Productivity Ratios'!K50/'Implied Productivity Ratios'!$V50</f>
        <v>0.91152499251351682</v>
      </c>
      <c r="K50">
        <f>'Implied Productivity Ratios'!L50/'Implied Productivity Ratios'!$V50</f>
        <v>0.91798190752551623</v>
      </c>
      <c r="L50">
        <f>'Implied Productivity Ratios'!M50/'Implied Productivity Ratios'!$V50</f>
        <v>0.91049412383261941</v>
      </c>
      <c r="M50">
        <f>'Implied Productivity Ratios'!N50/'Implied Productivity Ratios'!$V50</f>
        <v>0.93633254415970291</v>
      </c>
      <c r="N50">
        <f>'Implied Productivity Ratios'!O50/'Implied Productivity Ratios'!$V50</f>
        <v>0.94494144436861838</v>
      </c>
      <c r="O50">
        <f>'Implied Productivity Ratios'!P50/'Implied Productivity Ratios'!$V50</f>
        <v>0.92552254428086544</v>
      </c>
      <c r="P50">
        <f>'Implied Productivity Ratios'!Q50/'Implied Productivity Ratios'!$V50</f>
        <v>0.96198769773739989</v>
      </c>
      <c r="Q50">
        <f>'Implied Productivity Ratios'!R50/'Implied Productivity Ratios'!$V50</f>
        <v>0.98400079137989149</v>
      </c>
      <c r="R50">
        <f>'Implied Productivity Ratios'!S50/'Implied Productivity Ratios'!$V50</f>
        <v>0.94209235617524167</v>
      </c>
      <c r="S50">
        <f>'Implied Productivity Ratios'!T50/'Implied Productivity Ratios'!$V50</f>
        <v>0.92094289421577191</v>
      </c>
      <c r="T50">
        <f>'Implied Productivity Ratios'!U50/'Implied Productivity Ratios'!$V50</f>
        <v>0.98557654448044141</v>
      </c>
      <c r="U50">
        <f>'Implied Productivity Ratios'!V50/'Implied Productivity Ratios'!$V50</f>
        <v>1</v>
      </c>
      <c r="V50">
        <f>'Implied Productivity Ratios'!W50/'Implied Productivity Ratios'!$V50</f>
        <v>0.93355975763394272</v>
      </c>
      <c r="W50">
        <f>'Implied Productivity Ratios'!X50/'Implied Productivity Ratios'!$V50</f>
        <v>0.92207734567767641</v>
      </c>
      <c r="X50">
        <f>'Implied Productivity Ratios'!Y50/'Implied Productivity Ratios'!$V50</f>
        <v>0.98249673573611307</v>
      </c>
      <c r="Y50">
        <f>'Implied Productivity Ratios'!Z50/'Implied Productivity Ratios'!$V50</f>
        <v>1.0312047102629027</v>
      </c>
      <c r="Z50">
        <f>'Implied Productivity Ratios'!AA50/'Implied Productivity Ratios'!$V50</f>
        <v>1.0894288956595954</v>
      </c>
      <c r="AA50">
        <f>'Implied Productivity Ratios'!AB50/'Implied Productivity Ratios'!$V50</f>
        <v>1.1554053906175721</v>
      </c>
      <c r="AB50">
        <f>'Implied Productivity Ratios'!AC50/'Implied Productivity Ratios'!$V50</f>
        <v>1.2262844574688452</v>
      </c>
      <c r="AC50">
        <f>'Implied Productivity Ratios'!AD50/'Implied Productivity Ratios'!$V50</f>
        <v>1.3005602545918502</v>
      </c>
      <c r="AD50">
        <f>'Implied Productivity Ratios'!AE50/'Implied Productivity Ratios'!$V50</f>
        <v>1.3747845577212843</v>
      </c>
      <c r="AE50">
        <f>'Implied Productivity Ratios'!AF50/'Implied Productivity Ratios'!$V50</f>
        <v>1.4505377166526583</v>
      </c>
      <c r="AF50">
        <f>'Implied Productivity Ratios'!AG50/'Implied Productivity Ratios'!$V50</f>
        <v>1.5275960748633168</v>
      </c>
      <c r="AG50">
        <f>'Implied Productivity Ratios'!AH50/'Implied Productivity Ratios'!$V50</f>
        <v>1.6040236343137091</v>
      </c>
      <c r="AH50">
        <f>'Implied Productivity Ratios'!AI50/'Implied Productivity Ratios'!$V50</f>
        <v>1.6802761203154715</v>
      </c>
      <c r="AI50">
        <f>'Implied Productivity Ratios'!AJ50/'Implied Productivity Ratios'!$V50</f>
        <v>1.7597432580041221</v>
      </c>
      <c r="AJ50">
        <f>'Implied Productivity Ratios'!AK50/'Implied Productivity Ratios'!$V50</f>
        <v>1.8415747219996925</v>
      </c>
      <c r="AK50">
        <f>'Implied Productivity Ratios'!AL50/'Implied Productivity Ratios'!$V50</f>
        <v>1.9231445753195193</v>
      </c>
      <c r="AL50">
        <f>'Implied Productivity Ratios'!AM50/'Implied Productivity Ratios'!$V50</f>
        <v>2.0054111450260499</v>
      </c>
      <c r="AM50">
        <f>'Implied Productivity Ratios'!AN50/'Implied Productivity Ratios'!$V50</f>
        <v>2.0882043617118637</v>
      </c>
      <c r="AN50">
        <f>'Implied Productivity Ratios'!AO50/'Implied Productivity Ratios'!$V50</f>
        <v>2.1704642838358272</v>
      </c>
      <c r="AO50">
        <f>'Implied Productivity Ratios'!AP50/'Implied Productivity Ratios'!$V50</f>
        <v>2.2515740722896518</v>
      </c>
      <c r="AP50">
        <f>'Implied Productivity Ratios'!AQ50/'Implied Productivity Ratios'!$V50</f>
        <v>2.3311337982960159</v>
      </c>
      <c r="AQ50">
        <f>'Implied Productivity Ratios'!AR50/'Implied Productivity Ratios'!$V50</f>
        <v>2.4084174139922156</v>
      </c>
      <c r="AR50">
        <f>'Implied Productivity Ratios'!AS50/'Implied Productivity Ratios'!$V50</f>
        <v>2.4831448592890872</v>
      </c>
      <c r="AS50">
        <f>'Implied Productivity Ratios'!AT50/'Implied Productivity Ratios'!$V50</f>
        <v>2.5555441774971901</v>
      </c>
      <c r="AT50">
        <f>'Implied Productivity Ratios'!AU50/'Implied Productivity Ratios'!$V50</f>
        <v>2.6276588113676751</v>
      </c>
      <c r="AU50">
        <f>'Implied Productivity Ratios'!AV50/'Implied Productivity Ratios'!$V50</f>
        <v>2.6989068611286009</v>
      </c>
      <c r="AV50">
        <f>'Implied Productivity Ratios'!AW50/'Implied Productivity Ratios'!$V50</f>
        <v>2.7679780025405427</v>
      </c>
      <c r="AW50">
        <f>'Implied Productivity Ratios'!AX50/'Implied Productivity Ratios'!$V50</f>
        <v>2.8343317222290407</v>
      </c>
      <c r="AX50">
        <f>'Implied Productivity Ratios'!AY50/'Implied Productivity Ratios'!$V50</f>
        <v>2.8982135975750896</v>
      </c>
      <c r="AY50">
        <f>'Implied Productivity Ratios'!AZ50/'Implied Productivity Ratios'!$V50</f>
        <v>2.96089865191757</v>
      </c>
      <c r="AZ50">
        <f>'Implied Productivity Ratios'!BA50/'Implied Productivity Ratios'!$V50</f>
        <v>3.0215897452625082</v>
      </c>
      <c r="BA50">
        <f>'Implied Productivity Ratios'!BB50/'Implied Productivity Ratios'!$V50</f>
        <v>3.0803024772372183</v>
      </c>
      <c r="BB50">
        <f>'Implied Productivity Ratios'!BC50/'Implied Productivity Ratios'!$V50</f>
        <v>3.1359316303241296</v>
      </c>
      <c r="BC50" s="5">
        <f>'Implied Productivity Ratios'!BD50/'Implied Productivity Ratios'!$V50</f>
        <v>3.1962516119431474</v>
      </c>
      <c r="BD50" s="5">
        <f>'Implied Productivity Ratios'!BE50/'Implied Productivity Ratios'!$V50</f>
        <v>3.2565715935621653</v>
      </c>
      <c r="BE50" s="5">
        <f>'Implied Productivity Ratios'!BF50/'Implied Productivity Ratios'!$V50</f>
        <v>3.3168915751811832</v>
      </c>
      <c r="BF50" s="5">
        <f>'Implied Productivity Ratios'!BG50/'Implied Productivity Ratios'!$V50</f>
        <v>3.3772115568002015</v>
      </c>
      <c r="BG50" s="5">
        <f>'Implied Productivity Ratios'!BH50/'Implied Productivity Ratios'!$V50</f>
        <v>3.4375315384192193</v>
      </c>
    </row>
    <row r="51" spans="2:59">
      <c r="B51">
        <v>483</v>
      </c>
      <c r="C51" t="s">
        <v>175</v>
      </c>
      <c r="D51">
        <f>'Implied Productivity Ratios'!E51/'Implied Productivity Ratios'!$V51</f>
        <v>0.41332956302538243</v>
      </c>
      <c r="E51">
        <f>'Implied Productivity Ratios'!F51/'Implied Productivity Ratios'!$V51</f>
        <v>0.63946647298333226</v>
      </c>
      <c r="F51">
        <f>'Implied Productivity Ratios'!G51/'Implied Productivity Ratios'!$V51</f>
        <v>0.80547082593138053</v>
      </c>
      <c r="G51">
        <f>'Implied Productivity Ratios'!H51/'Implied Productivity Ratios'!$V51</f>
        <v>0.95180062126154141</v>
      </c>
      <c r="H51">
        <f>'Implied Productivity Ratios'!I51/'Implied Productivity Ratios'!$V51</f>
        <v>1.2445996179482763</v>
      </c>
      <c r="I51">
        <f>'Implied Productivity Ratios'!J51/'Implied Productivity Ratios'!$V51</f>
        <v>1.0108294513368672</v>
      </c>
      <c r="J51">
        <f>'Implied Productivity Ratios'!K51/'Implied Productivity Ratios'!$V51</f>
        <v>1.0601759203641949</v>
      </c>
      <c r="K51">
        <f>'Implied Productivity Ratios'!L51/'Implied Productivity Ratios'!$V51</f>
        <v>1.0542168736586106</v>
      </c>
      <c r="L51">
        <f>'Implied Productivity Ratios'!M51/'Implied Productivity Ratios'!$V51</f>
        <v>1.3608905163646192</v>
      </c>
      <c r="M51">
        <f>'Implied Productivity Ratios'!N51/'Implied Productivity Ratios'!$V51</f>
        <v>1.2174140008986123</v>
      </c>
      <c r="N51">
        <f>'Implied Productivity Ratios'!O51/'Implied Productivity Ratios'!$V51</f>
        <v>1.0210593993165105</v>
      </c>
      <c r="O51">
        <f>'Implied Productivity Ratios'!P51/'Implied Productivity Ratios'!$V51</f>
        <v>0.8773639463205043</v>
      </c>
      <c r="P51">
        <f>'Implied Productivity Ratios'!Q51/'Implied Productivity Ratios'!$V51</f>
        <v>0.83929169012643812</v>
      </c>
      <c r="Q51">
        <f>'Implied Productivity Ratios'!R51/'Implied Productivity Ratios'!$V51</f>
        <v>0.87383451792745981</v>
      </c>
      <c r="R51">
        <f>'Implied Productivity Ratios'!S51/'Implied Productivity Ratios'!$V51</f>
        <v>0.77531286823579915</v>
      </c>
      <c r="S51">
        <f>'Implied Productivity Ratios'!T51/'Implied Productivity Ratios'!$V51</f>
        <v>0.84470092647840278</v>
      </c>
      <c r="T51">
        <f>'Implied Productivity Ratios'!U51/'Implied Productivity Ratios'!$V51</f>
        <v>1.1744508582449795</v>
      </c>
      <c r="U51">
        <f>'Implied Productivity Ratios'!V51/'Implied Productivity Ratios'!$V51</f>
        <v>1</v>
      </c>
      <c r="V51">
        <f>'Implied Productivity Ratios'!W51/'Implied Productivity Ratios'!$V51</f>
        <v>0.97747074146241386</v>
      </c>
      <c r="W51">
        <f>'Implied Productivity Ratios'!X51/'Implied Productivity Ratios'!$V51</f>
        <v>1.0790737862416868</v>
      </c>
      <c r="X51">
        <f>'Implied Productivity Ratios'!Y51/'Implied Productivity Ratios'!$V51</f>
        <v>1.1992209537158951</v>
      </c>
      <c r="Y51">
        <f>'Implied Productivity Ratios'!Z51/'Implied Productivity Ratios'!$V51</f>
        <v>1.2848525291743942</v>
      </c>
      <c r="Z51">
        <f>'Implied Productivity Ratios'!AA51/'Implied Productivity Ratios'!$V51</f>
        <v>1.3823621872962257</v>
      </c>
      <c r="AA51">
        <f>'Implied Productivity Ratios'!AB51/'Implied Productivity Ratios'!$V51</f>
        <v>1.4905758513926919</v>
      </c>
      <c r="AB51">
        <f>'Implied Productivity Ratios'!AC51/'Implied Productivity Ratios'!$V51</f>
        <v>1.6070436528242928</v>
      </c>
      <c r="AC51">
        <f>'Implied Productivity Ratios'!AD51/'Implied Productivity Ratios'!$V51</f>
        <v>1.7306689576969057</v>
      </c>
      <c r="AD51">
        <f>'Implied Productivity Ratios'!AE51/'Implied Productivity Ratios'!$V51</f>
        <v>1.8573049484912698</v>
      </c>
      <c r="AE51">
        <f>'Implied Productivity Ratios'!AF51/'Implied Productivity Ratios'!$V51</f>
        <v>1.9887431307052492</v>
      </c>
      <c r="AF51">
        <f>'Implied Productivity Ratios'!AG51/'Implied Productivity Ratios'!$V51</f>
        <v>2.1241869157607844</v>
      </c>
      <c r="AG51">
        <f>'Implied Productivity Ratios'!AH51/'Implied Productivity Ratios'!$V51</f>
        <v>2.2614790559190792</v>
      </c>
      <c r="AH51">
        <f>'Implied Productivity Ratios'!AI51/'Implied Productivity Ratios'!$V51</f>
        <v>2.4002048213229683</v>
      </c>
      <c r="AI51">
        <f>'Implied Productivity Ratios'!AJ51/'Implied Productivity Ratios'!$V51</f>
        <v>2.5446623793208532</v>
      </c>
      <c r="AJ51">
        <f>'Implied Productivity Ratios'!AK51/'Implied Productivity Ratios'!$V51</f>
        <v>2.6938891951315234</v>
      </c>
      <c r="AK51">
        <f>'Implied Productivity Ratios'!AL51/'Implied Productivity Ratios'!$V51</f>
        <v>2.844154450363948</v>
      </c>
      <c r="AL51">
        <f>'Implied Productivity Ratios'!AM51/'Implied Productivity Ratios'!$V51</f>
        <v>2.9969121183235439</v>
      </c>
      <c r="AM51">
        <f>'Implied Productivity Ratios'!AN51/'Implied Productivity Ratios'!$V51</f>
        <v>3.151779448410692</v>
      </c>
      <c r="AN51">
        <f>'Implied Productivity Ratios'!AO51/'Implied Productivity Ratios'!$V51</f>
        <v>3.3067699685033145</v>
      </c>
      <c r="AO51">
        <f>'Implied Productivity Ratios'!AP51/'Implied Productivity Ratios'!$V51</f>
        <v>3.4610305406212567</v>
      </c>
      <c r="AP51">
        <f>'Implied Productivity Ratios'!AQ51/'Implied Productivity Ratios'!$V51</f>
        <v>3.613673563327239</v>
      </c>
      <c r="AQ51">
        <f>'Implied Productivity Ratios'!AR51/'Implied Productivity Ratios'!$V51</f>
        <v>3.7625354984237291</v>
      </c>
      <c r="AR51">
        <f>'Implied Productivity Ratios'!AS51/'Implied Productivity Ratios'!$V51</f>
        <v>3.9069872048377365</v>
      </c>
      <c r="AS51">
        <f>'Implied Productivity Ratios'!AT51/'Implied Productivity Ratios'!$V51</f>
        <v>4.0469823006325818</v>
      </c>
      <c r="AT51">
        <f>'Implied Productivity Ratios'!AU51/'Implied Productivity Ratios'!$V51</f>
        <v>4.1858334158056385</v>
      </c>
      <c r="AU51">
        <f>'Implied Productivity Ratios'!AV51/'Implied Productivity Ratios'!$V51</f>
        <v>4.3225359411236868</v>
      </c>
      <c r="AV51">
        <f>'Implied Productivity Ratios'!AW51/'Implied Productivity Ratios'!$V51</f>
        <v>4.4548740174888648</v>
      </c>
      <c r="AW51">
        <f>'Implied Productivity Ratios'!AX51/'Implied Productivity Ratios'!$V51</f>
        <v>4.5817409510635452</v>
      </c>
      <c r="AX51">
        <f>'Implied Productivity Ratios'!AY51/'Implied Productivity Ratios'!$V51</f>
        <v>4.7030283983004821</v>
      </c>
      <c r="AY51">
        <f>'Implied Productivity Ratios'!AZ51/'Implied Productivity Ratios'!$V51</f>
        <v>4.8207875771812656</v>
      </c>
      <c r="AZ51">
        <f>'Implied Productivity Ratios'!BA51/'Implied Productivity Ratios'!$V51</f>
        <v>4.9330721966931268</v>
      </c>
      <c r="BA51">
        <f>'Implied Productivity Ratios'!BB51/'Implied Productivity Ratios'!$V51</f>
        <v>5.0399582880845619</v>
      </c>
      <c r="BB51">
        <f>'Implied Productivity Ratios'!BC51/'Implied Productivity Ratios'!$V51</f>
        <v>5.1398369382441134</v>
      </c>
      <c r="BC51" s="5">
        <f>'Implied Productivity Ratios'!BD51/'Implied Productivity Ratios'!$V51</f>
        <v>5.2514561356802272</v>
      </c>
      <c r="BD51" s="5">
        <f>'Implied Productivity Ratios'!BE51/'Implied Productivity Ratios'!$V51</f>
        <v>5.3630753331163401</v>
      </c>
      <c r="BE51" s="5">
        <f>'Implied Productivity Ratios'!BF51/'Implied Productivity Ratios'!$V51</f>
        <v>5.4746945305524539</v>
      </c>
      <c r="BF51" s="5">
        <f>'Implied Productivity Ratios'!BG51/'Implied Productivity Ratios'!$V51</f>
        <v>5.5863137279885668</v>
      </c>
      <c r="BG51" s="5">
        <f>'Implied Productivity Ratios'!BH51/'Implied Productivity Ratios'!$V51</f>
        <v>5.6979329254246807</v>
      </c>
    </row>
    <row r="52" spans="2:59">
      <c r="B52">
        <v>484</v>
      </c>
      <c r="C52" t="s">
        <v>179</v>
      </c>
      <c r="D52">
        <f>'Implied Productivity Ratios'!E52/'Implied Productivity Ratios'!$V52</f>
        <v>0.96540288798329821</v>
      </c>
      <c r="E52">
        <f>'Implied Productivity Ratios'!F52/'Implied Productivity Ratios'!$V52</f>
        <v>0.98609305640555767</v>
      </c>
      <c r="F52">
        <f>'Implied Productivity Ratios'!G52/'Implied Productivity Ratios'!$V52</f>
        <v>0.98514500672917693</v>
      </c>
      <c r="G52">
        <f>'Implied Productivity Ratios'!H52/'Implied Productivity Ratios'!$V52</f>
        <v>0.93954299698941079</v>
      </c>
      <c r="H52">
        <f>'Implied Productivity Ratios'!I52/'Implied Productivity Ratios'!$V52</f>
        <v>0.9496136841211873</v>
      </c>
      <c r="I52">
        <f>'Implied Productivity Ratios'!J52/'Implied Productivity Ratios'!$V52</f>
        <v>1.0191067628906987</v>
      </c>
      <c r="J52">
        <f>'Implied Productivity Ratios'!K52/'Implied Productivity Ratios'!$V52</f>
        <v>1.0278763897732879</v>
      </c>
      <c r="K52">
        <f>'Implied Productivity Ratios'!L52/'Implied Productivity Ratios'!$V52</f>
        <v>1.0103036615073713</v>
      </c>
      <c r="L52">
        <f>'Implied Productivity Ratios'!M52/'Implied Productivity Ratios'!$V52</f>
        <v>1.0166130756050913</v>
      </c>
      <c r="M52">
        <f>'Implied Productivity Ratios'!N52/'Implied Productivity Ratios'!$V52</f>
        <v>1.0538619380370184</v>
      </c>
      <c r="N52">
        <f>'Implied Productivity Ratios'!O52/'Implied Productivity Ratios'!$V52</f>
        <v>1.0564122557495694</v>
      </c>
      <c r="O52">
        <f>'Implied Productivity Ratios'!P52/'Implied Productivity Ratios'!$V52</f>
        <v>1.06971819837048</v>
      </c>
      <c r="P52">
        <f>'Implied Productivity Ratios'!Q52/'Implied Productivity Ratios'!$V52</f>
        <v>1.1465751748908148</v>
      </c>
      <c r="Q52">
        <f>'Implied Productivity Ratios'!R52/'Implied Productivity Ratios'!$V52</f>
        <v>1.113436084993739</v>
      </c>
      <c r="R52">
        <f>'Implied Productivity Ratios'!S52/'Implied Productivity Ratios'!$V52</f>
        <v>1.0794076188371653</v>
      </c>
      <c r="S52">
        <f>'Implied Productivity Ratios'!T52/'Implied Productivity Ratios'!$V52</f>
        <v>1.1072406185356893</v>
      </c>
      <c r="T52">
        <f>'Implied Productivity Ratios'!U52/'Implied Productivity Ratios'!$V52</f>
        <v>1.1689538051857318</v>
      </c>
      <c r="U52">
        <f>'Implied Productivity Ratios'!V52/'Implied Productivity Ratios'!$V52</f>
        <v>1</v>
      </c>
      <c r="V52">
        <f>'Implied Productivity Ratios'!W52/'Implied Productivity Ratios'!$V52</f>
        <v>1.0136035850026921</v>
      </c>
      <c r="W52">
        <f>'Implied Productivity Ratios'!X52/'Implied Productivity Ratios'!$V52</f>
        <v>1.0819450727551971</v>
      </c>
      <c r="X52">
        <f>'Implied Productivity Ratios'!Y52/'Implied Productivity Ratios'!$V52</f>
        <v>1.133301236949988</v>
      </c>
      <c r="Y52">
        <f>'Implied Productivity Ratios'!Z52/'Implied Productivity Ratios'!$V52</f>
        <v>1.1759052262162228</v>
      </c>
      <c r="Z52">
        <f>'Implied Productivity Ratios'!AA52/'Implied Productivity Ratios'!$V52</f>
        <v>1.22752789024807</v>
      </c>
      <c r="AA52">
        <f>'Implied Productivity Ratios'!AB52/'Implied Productivity Ratios'!$V52</f>
        <v>1.2864126138431642</v>
      </c>
      <c r="AB52">
        <f>'Implied Productivity Ratios'!AC52/'Implied Productivity Ratios'!$V52</f>
        <v>1.3495865020950164</v>
      </c>
      <c r="AC52">
        <f>'Implied Productivity Ratios'!AD52/'Implied Productivity Ratios'!$V52</f>
        <v>1.4154220479596877</v>
      </c>
      <c r="AD52">
        <f>'Implied Productivity Ratios'!AE52/'Implied Productivity Ratios'!$V52</f>
        <v>1.4804789953417101</v>
      </c>
      <c r="AE52">
        <f>'Implied Productivity Ratios'!AF52/'Implied Productivity Ratios'!$V52</f>
        <v>1.5464591758264494</v>
      </c>
      <c r="AF52">
        <f>'Implied Productivity Ratios'!AG52/'Implied Productivity Ratios'!$V52</f>
        <v>1.6130782508904107</v>
      </c>
      <c r="AG52">
        <f>'Implied Productivity Ratios'!AH52/'Implied Productivity Ratios'!$V52</f>
        <v>1.6786105382717957</v>
      </c>
      <c r="AH52">
        <f>'Implied Productivity Ratios'!AI52/'Implied Productivity Ratios'!$V52</f>
        <v>1.7433153978452118</v>
      </c>
      <c r="AI52">
        <f>'Implied Productivity Ratios'!AJ52/'Implied Productivity Ratios'!$V52</f>
        <v>1.8105766246012518</v>
      </c>
      <c r="AJ52">
        <f>'Implied Productivity Ratios'!AK52/'Implied Productivity Ratios'!$V52</f>
        <v>1.8797725860555108</v>
      </c>
      <c r="AK52">
        <f>'Implied Productivity Ratios'!AL52/'Implied Productivity Ratios'!$V52</f>
        <v>1.9483622316704978</v>
      </c>
      <c r="AL52">
        <f>'Implied Productivity Ratios'!AM52/'Implied Productivity Ratios'!$V52</f>
        <v>2.0175324246159585</v>
      </c>
      <c r="AM52">
        <f>'Implied Productivity Ratios'!AN52/'Implied Productivity Ratios'!$V52</f>
        <v>2.0871100461027927</v>
      </c>
      <c r="AN52">
        <f>'Implied Productivity Ratios'!AO52/'Implied Productivity Ratios'!$V52</f>
        <v>2.1561197513067176</v>
      </c>
      <c r="AO52">
        <f>'Implied Productivity Ratios'!AP52/'Implied Productivity Ratios'!$V52</f>
        <v>2.2240983434803674</v>
      </c>
      <c r="AP52">
        <f>'Implied Productivity Ratios'!AQ52/'Implied Productivity Ratios'!$V52</f>
        <v>2.2908047384475276</v>
      </c>
      <c r="AQ52">
        <f>'Implied Productivity Ratios'!AR52/'Implied Productivity Ratios'!$V52</f>
        <v>2.3553497821795704</v>
      </c>
      <c r="AR52">
        <f>'Implied Productivity Ratios'!AS52/'Implied Productivity Ratios'!$V52</f>
        <v>2.4177994780157031</v>
      </c>
      <c r="AS52">
        <f>'Implied Productivity Ratios'!AT52/'Implied Productivity Ratios'!$V52</f>
        <v>2.4784282824357318</v>
      </c>
      <c r="AT52">
        <f>'Implied Productivity Ratios'!AU52/'Implied Productivity Ratios'!$V52</f>
        <v>2.5394985171176483</v>
      </c>
      <c r="AU52">
        <f>'Implied Productivity Ratios'!AV52/'Implied Productivity Ratios'!$V52</f>
        <v>2.6004923299085632</v>
      </c>
      <c r="AV52">
        <f>'Implied Productivity Ratios'!AW52/'Implied Productivity Ratios'!$V52</f>
        <v>2.6603423912232866</v>
      </c>
      <c r="AW52">
        <f>'Implied Productivity Ratios'!AX52/'Implied Productivity Ratios'!$V52</f>
        <v>2.718613415842372</v>
      </c>
      <c r="AX52">
        <f>'Implied Productivity Ratios'!AY52/'Implied Productivity Ratios'!$V52</f>
        <v>2.7755521138952197</v>
      </c>
      <c r="AY52">
        <f>'Implied Productivity Ratios'!AZ52/'Implied Productivity Ratios'!$V52</f>
        <v>2.8324987555583645</v>
      </c>
      <c r="AZ52">
        <f>'Implied Productivity Ratios'!BA52/'Implied Productivity Ratios'!$V52</f>
        <v>2.8887185156049622</v>
      </c>
      <c r="BA52">
        <f>'Implied Productivity Ratios'!BB52/'Implied Productivity Ratios'!$V52</f>
        <v>2.9443601455841257</v>
      </c>
      <c r="BB52">
        <f>'Implied Productivity Ratios'!BC52/'Implied Productivity Ratios'!$V52</f>
        <v>2.9984140259775995</v>
      </c>
      <c r="BC52" s="5">
        <f>'Implied Productivity Ratios'!BD52/'Implied Productivity Ratios'!$V52</f>
        <v>3.0543741480046447</v>
      </c>
      <c r="BD52" s="5">
        <f>'Implied Productivity Ratios'!BE52/'Implied Productivity Ratios'!$V52</f>
        <v>3.1103342700316898</v>
      </c>
      <c r="BE52" s="5">
        <f>'Implied Productivity Ratios'!BF52/'Implied Productivity Ratios'!$V52</f>
        <v>3.166294392058735</v>
      </c>
      <c r="BF52" s="5">
        <f>'Implied Productivity Ratios'!BG52/'Implied Productivity Ratios'!$V52</f>
        <v>3.2222545140857806</v>
      </c>
      <c r="BG52" s="5">
        <f>'Implied Productivity Ratios'!BH52/'Implied Productivity Ratios'!$V52</f>
        <v>3.2782146361128257</v>
      </c>
    </row>
    <row r="53" spans="2:59">
      <c r="B53">
        <v>485</v>
      </c>
      <c r="C53" t="s">
        <v>183</v>
      </c>
      <c r="D53">
        <f>'Implied Productivity Ratios'!E53/'Implied Productivity Ratios'!$V53</f>
        <v>0.60276118957747582</v>
      </c>
      <c r="E53">
        <f>'Implied Productivity Ratios'!F53/'Implied Productivity Ratios'!$V53</f>
        <v>0.61619682797227471</v>
      </c>
      <c r="F53">
        <f>'Implied Productivity Ratios'!G53/'Implied Productivity Ratios'!$V53</f>
        <v>0.61410338385147001</v>
      </c>
      <c r="G53">
        <f>'Implied Productivity Ratios'!H53/'Implied Productivity Ratios'!$V53</f>
        <v>0.61272895837315933</v>
      </c>
      <c r="H53">
        <f>'Implied Productivity Ratios'!I53/'Implied Productivity Ratios'!$V53</f>
        <v>0.57147039814173406</v>
      </c>
      <c r="I53">
        <f>'Implied Productivity Ratios'!J53/'Implied Productivity Ratios'!$V53</f>
        <v>0.57862672177154462</v>
      </c>
      <c r="J53">
        <f>'Implied Productivity Ratios'!K53/'Implied Productivity Ratios'!$V53</f>
        <v>0.59054371011704609</v>
      </c>
      <c r="K53">
        <f>'Implied Productivity Ratios'!L53/'Implied Productivity Ratios'!$V53</f>
        <v>0.61231057771997077</v>
      </c>
      <c r="L53">
        <f>'Implied Productivity Ratios'!M53/'Implied Productivity Ratios'!$V53</f>
        <v>0.59935325828117514</v>
      </c>
      <c r="M53">
        <f>'Implied Productivity Ratios'!N53/'Implied Productivity Ratios'!$V53</f>
        <v>0.61836790663495289</v>
      </c>
      <c r="N53">
        <f>'Implied Productivity Ratios'!O53/'Implied Productivity Ratios'!$V53</f>
        <v>0.59373377322202869</v>
      </c>
      <c r="O53">
        <f>'Implied Productivity Ratios'!P53/'Implied Productivity Ratios'!$V53</f>
        <v>0.567245576971246</v>
      </c>
      <c r="P53">
        <f>'Implied Productivity Ratios'!Q53/'Implied Productivity Ratios'!$V53</f>
        <v>0.5903855654918917</v>
      </c>
      <c r="Q53">
        <f>'Implied Productivity Ratios'!R53/'Implied Productivity Ratios'!$V53</f>
        <v>0.6344848488815481</v>
      </c>
      <c r="R53">
        <f>'Implied Productivity Ratios'!S53/'Implied Productivity Ratios'!$V53</f>
        <v>0.74575054831675902</v>
      </c>
      <c r="S53">
        <f>'Implied Productivity Ratios'!T53/'Implied Productivity Ratios'!$V53</f>
        <v>0.79991766638176098</v>
      </c>
      <c r="T53">
        <f>'Implied Productivity Ratios'!U53/'Implied Productivity Ratios'!$V53</f>
        <v>0.86295635927063818</v>
      </c>
      <c r="U53">
        <f>'Implied Productivity Ratios'!V53/'Implied Productivity Ratios'!$V53</f>
        <v>1</v>
      </c>
      <c r="V53">
        <f>'Implied Productivity Ratios'!W53/'Implied Productivity Ratios'!$V53</f>
        <v>1.1428685157577589</v>
      </c>
      <c r="W53">
        <f>'Implied Productivity Ratios'!X53/'Implied Productivity Ratios'!$V53</f>
        <v>1.304613036862085</v>
      </c>
      <c r="X53">
        <f>'Implied Productivity Ratios'!Y53/'Implied Productivity Ratios'!$V53</f>
        <v>1.4080940834984987</v>
      </c>
      <c r="Y53">
        <f>'Implied Productivity Ratios'!Z53/'Implied Productivity Ratios'!$V53</f>
        <v>1.5084565859698451</v>
      </c>
      <c r="Z53">
        <f>'Implied Productivity Ratios'!AA53/'Implied Productivity Ratios'!$V53</f>
        <v>1.6232537396694953</v>
      </c>
      <c r="AA53">
        <f>'Implied Productivity Ratios'!AB53/'Implied Productivity Ratios'!$V53</f>
        <v>1.750947467127804</v>
      </c>
      <c r="AB53">
        <f>'Implied Productivity Ratios'!AC53/'Implied Productivity Ratios'!$V53</f>
        <v>1.8887457549298392</v>
      </c>
      <c r="AC53">
        <f>'Implied Productivity Ratios'!AD53/'Implied Productivity Ratios'!$V53</f>
        <v>2.0348093406721497</v>
      </c>
      <c r="AD53">
        <f>'Implied Productivity Ratios'!AE53/'Implied Productivity Ratios'!$V53</f>
        <v>2.1842417190566095</v>
      </c>
      <c r="AE53">
        <f>'Implied Productivity Ratios'!AF53/'Implied Productivity Ratios'!$V53</f>
        <v>2.3390326412794171</v>
      </c>
      <c r="AF53">
        <f>'Implied Productivity Ratios'!AG53/'Implied Productivity Ratios'!$V53</f>
        <v>2.4986021095470696</v>
      </c>
      <c r="AG53">
        <f>'Implied Productivity Ratios'!AH53/'Implied Productivity Ratios'!$V53</f>
        <v>2.660215025022663</v>
      </c>
      <c r="AH53">
        <f>'Implied Productivity Ratios'!AI53/'Implied Productivity Ratios'!$V53</f>
        <v>2.8234712217434197</v>
      </c>
      <c r="AI53">
        <f>'Implied Productivity Ratios'!AJ53/'Implied Productivity Ratios'!$V53</f>
        <v>2.9931611557806908</v>
      </c>
      <c r="AJ53">
        <f>'Implied Productivity Ratios'!AK53/'Implied Productivity Ratios'!$V53</f>
        <v>3.1681345840535977</v>
      </c>
      <c r="AK53">
        <f>'Implied Productivity Ratios'!AL53/'Implied Productivity Ratios'!$V53</f>
        <v>3.3439142421180912</v>
      </c>
      <c r="AL53">
        <f>'Implied Productivity Ratios'!AM53/'Implied Productivity Ratios'!$V53</f>
        <v>3.5223120055943871</v>
      </c>
      <c r="AM53">
        <f>'Implied Productivity Ratios'!AN53/'Implied Productivity Ratios'!$V53</f>
        <v>3.7026620469013469</v>
      </c>
      <c r="AN53">
        <f>'Implied Productivity Ratios'!AO53/'Implied Productivity Ratios'!$V53</f>
        <v>3.8828419541745176</v>
      </c>
      <c r="AO53">
        <f>'Implied Productivity Ratios'!AP53/'Implied Productivity Ratios'!$V53</f>
        <v>4.0614741654039106</v>
      </c>
      <c r="AP53">
        <f>'Implied Productivity Ratios'!AQ53/'Implied Productivity Ratios'!$V53</f>
        <v>4.2374444690140676</v>
      </c>
      <c r="AQ53">
        <f>'Implied Productivity Ratios'!AR53/'Implied Productivity Ratios'!$V53</f>
        <v>4.4083166969066614</v>
      </c>
      <c r="AR53">
        <f>'Implied Productivity Ratios'!AS53/'Implied Productivity Ratios'!$V53</f>
        <v>4.5737029929676973</v>
      </c>
      <c r="AS53">
        <f>'Implied Productivity Ratios'!AT53/'Implied Productivity Ratios'!$V53</f>
        <v>4.7333965223939938</v>
      </c>
      <c r="AT53">
        <f>'Implied Productivity Ratios'!AU53/'Implied Productivity Ratios'!$V53</f>
        <v>4.8910371821843857</v>
      </c>
      <c r="AU53">
        <f>'Implied Productivity Ratios'!AV53/'Implied Productivity Ratios'!$V53</f>
        <v>5.0451924715649108</v>
      </c>
      <c r="AV53">
        <f>'Implied Productivity Ratios'!AW53/'Implied Productivity Ratios'!$V53</f>
        <v>5.1936074992398424</v>
      </c>
      <c r="AW53">
        <f>'Implied Productivity Ratios'!AX53/'Implied Productivity Ratios'!$V53</f>
        <v>5.3347602880903224</v>
      </c>
      <c r="AX53">
        <f>'Implied Productivity Ratios'!AY53/'Implied Productivity Ratios'!$V53</f>
        <v>5.4686604912516996</v>
      </c>
      <c r="AY53">
        <f>'Implied Productivity Ratios'!AZ53/'Implied Productivity Ratios'!$V53</f>
        <v>5.5974858507339738</v>
      </c>
      <c r="AZ53">
        <f>'Implied Productivity Ratios'!BA53/'Implied Productivity Ratios'!$V53</f>
        <v>5.7196423049187084</v>
      </c>
      <c r="BA53">
        <f>'Implied Productivity Ratios'!BB53/'Implied Productivity Ratios'!$V53</f>
        <v>5.834815016849312</v>
      </c>
      <c r="BB53">
        <f>'Implied Productivity Ratios'!BC53/'Implied Productivity Ratios'!$V53</f>
        <v>5.9397406679661504</v>
      </c>
      <c r="BC53" s="5">
        <f>'Implied Productivity Ratios'!BD53/'Implied Productivity Ratios'!$V53</f>
        <v>6.060736743941316</v>
      </c>
      <c r="BD53" s="5">
        <f>'Implied Productivity Ratios'!BE53/'Implied Productivity Ratios'!$V53</f>
        <v>6.1817328199164816</v>
      </c>
      <c r="BE53" s="5">
        <f>'Implied Productivity Ratios'!BF53/'Implied Productivity Ratios'!$V53</f>
        <v>6.3027288958916472</v>
      </c>
      <c r="BF53" s="5">
        <f>'Implied Productivity Ratios'!BG53/'Implied Productivity Ratios'!$V53</f>
        <v>6.4237249718668128</v>
      </c>
      <c r="BG53" s="5">
        <f>'Implied Productivity Ratios'!BH53/'Implied Productivity Ratios'!$V53</f>
        <v>6.5447210478419784</v>
      </c>
    </row>
    <row r="54" spans="2:59">
      <c r="B54">
        <v>486</v>
      </c>
      <c r="C54" t="s">
        <v>187</v>
      </c>
      <c r="D54">
        <f>'Implied Productivity Ratios'!E54/'Implied Productivity Ratios'!$V54</f>
        <v>0.70216189627502446</v>
      </c>
      <c r="E54">
        <f>'Implied Productivity Ratios'!F54/'Implied Productivity Ratios'!$V54</f>
        <v>0.6585529195518427</v>
      </c>
      <c r="F54">
        <f>'Implied Productivity Ratios'!G54/'Implied Productivity Ratios'!$V54</f>
        <v>0.71504771268630563</v>
      </c>
      <c r="G54">
        <f>'Implied Productivity Ratios'!H54/'Implied Productivity Ratios'!$V54</f>
        <v>0.81807976162665808</v>
      </c>
      <c r="H54">
        <f>'Implied Productivity Ratios'!I54/'Implied Productivity Ratios'!$V54</f>
        <v>0.69939331953366213</v>
      </c>
      <c r="I54">
        <f>'Implied Productivity Ratios'!J54/'Implied Productivity Ratios'!$V54</f>
        <v>0.86377231154319645</v>
      </c>
      <c r="J54">
        <f>'Implied Productivity Ratios'!K54/'Implied Productivity Ratios'!$V54</f>
        <v>0.86289178608052064</v>
      </c>
      <c r="K54">
        <f>'Implied Productivity Ratios'!L54/'Implied Productivity Ratios'!$V54</f>
        <v>0.98075662006806674</v>
      </c>
      <c r="L54">
        <f>'Implied Productivity Ratios'!M54/'Implied Productivity Ratios'!$V54</f>
        <v>0.95319700804405505</v>
      </c>
      <c r="M54">
        <f>'Implied Productivity Ratios'!N54/'Implied Productivity Ratios'!$V54</f>
        <v>0.9788709966490724</v>
      </c>
      <c r="N54">
        <f>'Implied Productivity Ratios'!O54/'Implied Productivity Ratios'!$V54</f>
        <v>1.1601128500265494</v>
      </c>
      <c r="O54">
        <f>'Implied Productivity Ratios'!P54/'Implied Productivity Ratios'!$V54</f>
        <v>1.1474864134819021</v>
      </c>
      <c r="P54">
        <f>'Implied Productivity Ratios'!Q54/'Implied Productivity Ratios'!$V54</f>
        <v>1.1814053072552195</v>
      </c>
      <c r="Q54">
        <f>'Implied Productivity Ratios'!R54/'Implied Productivity Ratios'!$V54</f>
        <v>1.2492243646136001</v>
      </c>
      <c r="R54">
        <f>'Implied Productivity Ratios'!S54/'Implied Productivity Ratios'!$V54</f>
        <v>0.9933016957150167</v>
      </c>
      <c r="S54">
        <f>'Implied Productivity Ratios'!T54/'Implied Productivity Ratios'!$V54</f>
        <v>0.93563171415170876</v>
      </c>
      <c r="T54">
        <f>'Implied Productivity Ratios'!U54/'Implied Productivity Ratios'!$V54</f>
        <v>1.0189197359160764</v>
      </c>
      <c r="U54">
        <f>'Implied Productivity Ratios'!V54/'Implied Productivity Ratios'!$V54</f>
        <v>1</v>
      </c>
      <c r="V54">
        <f>'Implied Productivity Ratios'!W54/'Implied Productivity Ratios'!$V54</f>
        <v>1.0008134277786156</v>
      </c>
      <c r="W54">
        <f>'Implied Productivity Ratios'!X54/'Implied Productivity Ratios'!$V54</f>
        <v>0.98575392327176448</v>
      </c>
      <c r="X54">
        <f>'Implied Productivity Ratios'!Y54/'Implied Productivity Ratios'!$V54</f>
        <v>1.0186552921862848</v>
      </c>
      <c r="Y54">
        <f>'Implied Productivity Ratios'!Z54/'Implied Productivity Ratios'!$V54</f>
        <v>1.0541525272057819</v>
      </c>
      <c r="Z54">
        <f>'Implied Productivity Ratios'!AA54/'Implied Productivity Ratios'!$V54</f>
        <v>1.0988477819601925</v>
      </c>
      <c r="AA54">
        <f>'Implied Productivity Ratios'!AB54/'Implied Productivity Ratios'!$V54</f>
        <v>1.15022039391501</v>
      </c>
      <c r="AB54">
        <f>'Implied Productivity Ratios'!AC54/'Implied Productivity Ratios'!$V54</f>
        <v>1.2055153341603124</v>
      </c>
      <c r="AC54">
        <f>'Implied Productivity Ratios'!AD54/'Implied Productivity Ratios'!$V54</f>
        <v>1.2638319043785196</v>
      </c>
      <c r="AD54">
        <f>'Implied Productivity Ratios'!AE54/'Implied Productivity Ratios'!$V54</f>
        <v>1.3220267048749537</v>
      </c>
      <c r="AE54">
        <f>'Implied Productivity Ratios'!AF54/'Implied Productivity Ratios'!$V54</f>
        <v>1.3815677536332105</v>
      </c>
      <c r="AF54">
        <f>'Implied Productivity Ratios'!AG54/'Implied Productivity Ratios'!$V54</f>
        <v>1.4420430851286667</v>
      </c>
      <c r="AG54">
        <f>'Implied Productivity Ratios'!AH54/'Implied Productivity Ratios'!$V54</f>
        <v>1.5018113607726293</v>
      </c>
      <c r="AH54">
        <f>'Implied Productivity Ratios'!AI54/'Implied Productivity Ratios'!$V54</f>
        <v>1.5611958040997589</v>
      </c>
      <c r="AI54">
        <f>'Implied Productivity Ratios'!AJ54/'Implied Productivity Ratios'!$V54</f>
        <v>1.6233046822508237</v>
      </c>
      <c r="AJ54">
        <f>'Implied Productivity Ratios'!AK54/'Implied Productivity Ratios'!$V54</f>
        <v>1.6875467364687549</v>
      </c>
      <c r="AK54">
        <f>'Implied Productivity Ratios'!AL54/'Implied Productivity Ratios'!$V54</f>
        <v>1.7515263225280899</v>
      </c>
      <c r="AL54">
        <f>'Implied Productivity Ratios'!AM54/'Implied Productivity Ratios'!$V54</f>
        <v>1.8162656586931853</v>
      </c>
      <c r="AM54">
        <f>'Implied Productivity Ratios'!AN54/'Implied Productivity Ratios'!$V54</f>
        <v>1.881563570216203</v>
      </c>
      <c r="AN54">
        <f>'Implied Productivity Ratios'!AO54/'Implied Productivity Ratios'!$V54</f>
        <v>1.9464123904373598</v>
      </c>
      <c r="AO54">
        <f>'Implied Productivity Ratios'!AP54/'Implied Productivity Ratios'!$V54</f>
        <v>2.0104861239997369</v>
      </c>
      <c r="AP54">
        <f>'Implied Productivity Ratios'!AQ54/'Implied Productivity Ratios'!$V54</f>
        <v>2.0734659587569091</v>
      </c>
      <c r="AQ54">
        <f>'Implied Productivity Ratios'!AR54/'Implied Productivity Ratios'!$V54</f>
        <v>2.1342257219681495</v>
      </c>
      <c r="AR54">
        <f>'Implied Productivity Ratios'!AS54/'Implied Productivity Ratios'!$V54</f>
        <v>2.1928076086508805</v>
      </c>
      <c r="AS54">
        <f>'Implied Productivity Ratios'!AT54/'Implied Productivity Ratios'!$V54</f>
        <v>2.2495629863589359</v>
      </c>
      <c r="AT54">
        <f>'Implied Productivity Ratios'!AU54/'Implied Productivity Ratios'!$V54</f>
        <v>2.3066540638145416</v>
      </c>
      <c r="AU54">
        <f>'Implied Productivity Ratios'!AV54/'Implied Productivity Ratios'!$V54</f>
        <v>2.3637001973615912</v>
      </c>
      <c r="AV54">
        <f>'Implied Productivity Ratios'!AW54/'Implied Productivity Ratios'!$V54</f>
        <v>2.419504461172012</v>
      </c>
      <c r="AW54">
        <f>'Implied Productivity Ratios'!AX54/'Implied Productivity Ratios'!$V54</f>
        <v>2.473650106100421</v>
      </c>
      <c r="AX54">
        <f>'Implied Productivity Ratios'!AY54/'Implied Productivity Ratios'!$V54</f>
        <v>2.526583259417527</v>
      </c>
      <c r="AY54">
        <f>'Implied Productivity Ratios'!AZ54/'Implied Productivity Ratios'!$V54</f>
        <v>2.5792013662787148</v>
      </c>
      <c r="AZ54">
        <f>'Implied Productivity Ratios'!BA54/'Implied Productivity Ratios'!$V54</f>
        <v>2.6307224921215839</v>
      </c>
      <c r="BA54">
        <f>'Implied Productivity Ratios'!BB54/'Implied Productivity Ratios'!$V54</f>
        <v>2.6812418878904891</v>
      </c>
      <c r="BB54">
        <f>'Implied Productivity Ratios'!BC54/'Implied Productivity Ratios'!$V54</f>
        <v>2.7301546323320234</v>
      </c>
      <c r="BC54" s="5">
        <f>'Implied Productivity Ratios'!BD54/'Implied Productivity Ratios'!$V54</f>
        <v>2.7814555375783443</v>
      </c>
      <c r="BD54" s="5">
        <f>'Implied Productivity Ratios'!BE54/'Implied Productivity Ratios'!$V54</f>
        <v>2.8327564428246648</v>
      </c>
      <c r="BE54" s="5">
        <f>'Implied Productivity Ratios'!BF54/'Implied Productivity Ratios'!$V54</f>
        <v>2.8840573480709852</v>
      </c>
      <c r="BF54" s="5">
        <f>'Implied Productivity Ratios'!BG54/'Implied Productivity Ratios'!$V54</f>
        <v>2.9353582533173062</v>
      </c>
      <c r="BG54" s="5">
        <f>'Implied Productivity Ratios'!BH54/'Implied Productivity Ratios'!$V54</f>
        <v>2.9866591585636266</v>
      </c>
    </row>
    <row r="55" spans="2:59">
      <c r="B55">
        <v>487</v>
      </c>
      <c r="C55" t="s">
        <v>191</v>
      </c>
      <c r="D55">
        <f>'Implied Productivity Ratios'!E55/'Implied Productivity Ratios'!$V55</f>
        <v>0.96937634172313469</v>
      </c>
      <c r="E55">
        <f>'Implied Productivity Ratios'!F55/'Implied Productivity Ratios'!$V55</f>
        <v>0.9715955771981899</v>
      </c>
      <c r="F55">
        <f>'Implied Productivity Ratios'!G55/'Implied Productivity Ratios'!$V55</f>
        <v>0.87161565721835288</v>
      </c>
      <c r="G55">
        <f>'Implied Productivity Ratios'!H55/'Implied Productivity Ratios'!$V55</f>
        <v>0.89334863867467518</v>
      </c>
      <c r="H55">
        <f>'Implied Productivity Ratios'!I55/'Implied Productivity Ratios'!$V55</f>
        <v>0.88363371603214969</v>
      </c>
      <c r="I55">
        <f>'Implied Productivity Ratios'!J55/'Implied Productivity Ratios'!$V55</f>
        <v>0.92886288027528496</v>
      </c>
      <c r="J55">
        <f>'Implied Productivity Ratios'!K55/'Implied Productivity Ratios'!$V55</f>
        <v>0.96488927027811378</v>
      </c>
      <c r="K55">
        <f>'Implied Productivity Ratios'!L55/'Implied Productivity Ratios'!$V55</f>
        <v>0.96427531187395255</v>
      </c>
      <c r="L55">
        <f>'Implied Productivity Ratios'!M55/'Implied Productivity Ratios'!$V55</f>
        <v>1.0091708655413401</v>
      </c>
      <c r="M55">
        <f>'Implied Productivity Ratios'!N55/'Implied Productivity Ratios'!$V55</f>
        <v>1.004184348731886</v>
      </c>
      <c r="N55">
        <f>'Implied Productivity Ratios'!O55/'Implied Productivity Ratios'!$V55</f>
        <v>1.0560788347370424</v>
      </c>
      <c r="O55">
        <f>'Implied Productivity Ratios'!P55/'Implied Productivity Ratios'!$V55</f>
        <v>1.054232588166911</v>
      </c>
      <c r="P55">
        <f>'Implied Productivity Ratios'!Q55/'Implied Productivity Ratios'!$V55</f>
        <v>1.0321780146994393</v>
      </c>
      <c r="Q55">
        <f>'Implied Productivity Ratios'!R55/'Implied Productivity Ratios'!$V55</f>
        <v>1.0629985859819726</v>
      </c>
      <c r="R55">
        <f>'Implied Productivity Ratios'!S55/'Implied Productivity Ratios'!$V55</f>
        <v>1.0481283093498346</v>
      </c>
      <c r="S55">
        <f>'Implied Productivity Ratios'!T55/'Implied Productivity Ratios'!$V55</f>
        <v>1.1234154516329957</v>
      </c>
      <c r="T55">
        <f>'Implied Productivity Ratios'!U55/'Implied Productivity Ratios'!$V55</f>
        <v>0.95459010610373352</v>
      </c>
      <c r="U55">
        <f>'Implied Productivity Ratios'!V55/'Implied Productivity Ratios'!$V55</f>
        <v>1</v>
      </c>
      <c r="V55">
        <f>'Implied Productivity Ratios'!W55/'Implied Productivity Ratios'!$V55</f>
        <v>1.2722618579978888</v>
      </c>
      <c r="W55">
        <f>'Implied Productivity Ratios'!X55/'Implied Productivity Ratios'!$V55</f>
        <v>1.415189107900074</v>
      </c>
      <c r="X55">
        <f>'Implied Productivity Ratios'!Y55/'Implied Productivity Ratios'!$V55</f>
        <v>1.494847867529381</v>
      </c>
      <c r="Y55">
        <f>'Implied Productivity Ratios'!Z55/'Implied Productivity Ratios'!$V55</f>
        <v>1.5265333853144032</v>
      </c>
      <c r="Z55">
        <f>'Implied Productivity Ratios'!AA55/'Implied Productivity Ratios'!$V55</f>
        <v>1.5663855704925886</v>
      </c>
      <c r="AA55">
        <f>'Implied Productivity Ratios'!AB55/'Implied Productivity Ratios'!$V55</f>
        <v>1.6125859914900691</v>
      </c>
      <c r="AB55">
        <f>'Implied Productivity Ratios'!AC55/'Implied Productivity Ratios'!$V55</f>
        <v>1.6625566140957291</v>
      </c>
      <c r="AC55">
        <f>'Implied Productivity Ratios'!AD55/'Implied Productivity Ratios'!$V55</f>
        <v>1.7149423654064084</v>
      </c>
      <c r="AD55">
        <f>'Implied Productivity Ratios'!AE55/'Implied Productivity Ratios'!$V55</f>
        <v>1.7658963974570598</v>
      </c>
      <c r="AE55">
        <f>'Implied Productivity Ratios'!AF55/'Implied Productivity Ratios'!$V55</f>
        <v>1.8174752559414167</v>
      </c>
      <c r="AF55">
        <f>'Implied Productivity Ratios'!AG55/'Implied Productivity Ratios'!$V55</f>
        <v>1.8690886631710895</v>
      </c>
      <c r="AG55">
        <f>'Implied Productivity Ratios'!AH55/'Implied Productivity Ratios'!$V55</f>
        <v>1.9192674553122262</v>
      </c>
      <c r="AH55">
        <f>'Implied Productivity Ratios'!AI55/'Implied Productivity Ratios'!$V55</f>
        <v>1.9678298959052576</v>
      </c>
      <c r="AI55">
        <f>'Implied Productivity Ratios'!AJ55/'Implied Productivity Ratios'!$V55</f>
        <v>2.0181945569015363</v>
      </c>
      <c r="AJ55">
        <f>'Implied Productivity Ratios'!AK55/'Implied Productivity Ratios'!$V55</f>
        <v>2.0699870740010207</v>
      </c>
      <c r="AK55">
        <f>'Implied Productivity Ratios'!AL55/'Implied Productivity Ratios'!$V55</f>
        <v>2.1206242726654563</v>
      </c>
      <c r="AL55">
        <f>'Implied Productivity Ratios'!AM55/'Implied Productivity Ratios'!$V55</f>
        <v>2.1718746896815202</v>
      </c>
      <c r="AM55">
        <f>'Implied Productivity Ratios'!AN55/'Implied Productivity Ratios'!$V55</f>
        <v>2.2235916181594155</v>
      </c>
      <c r="AN55">
        <f>'Implied Productivity Ratios'!AO55/'Implied Productivity Ratios'!$V55</f>
        <v>2.274953085313848</v>
      </c>
      <c r="AO55">
        <f>'Implied Productivity Ratios'!AP55/'Implied Productivity Ratios'!$V55</f>
        <v>2.3257554725876219</v>
      </c>
      <c r="AP55">
        <f>'Implied Productivity Ratios'!AQ55/'Implied Productivity Ratios'!$V55</f>
        <v>2.3757657621233816</v>
      </c>
      <c r="AQ55">
        <f>'Implied Productivity Ratios'!AR55/'Implied Productivity Ratios'!$V55</f>
        <v>2.4236538276957891</v>
      </c>
      <c r="AR55">
        <f>'Implied Productivity Ratios'!AS55/'Implied Productivity Ratios'!$V55</f>
        <v>2.4698365496947035</v>
      </c>
      <c r="AS55">
        <f>'Implied Productivity Ratios'!AT55/'Implied Productivity Ratios'!$V55</f>
        <v>2.515002255515784</v>
      </c>
      <c r="AT55">
        <f>'Implied Productivity Ratios'!AU55/'Implied Productivity Ratios'!$V55</f>
        <v>2.5616012221966082</v>
      </c>
      <c r="AU55">
        <f>'Implied Productivity Ratios'!AV55/'Implied Productivity Ratios'!$V55</f>
        <v>2.6092048512695705</v>
      </c>
      <c r="AV55">
        <f>'Implied Productivity Ratios'!AW55/'Implied Productivity Ratios'!$V55</f>
        <v>2.6572045760650767</v>
      </c>
      <c r="AW55">
        <f>'Implied Productivity Ratios'!AX55/'Implied Productivity Ratios'!$V55</f>
        <v>2.7050405475449719</v>
      </c>
      <c r="AX55">
        <f>'Implied Productivity Ratios'!AY55/'Implied Productivity Ratios'!$V55</f>
        <v>2.7532275618599056</v>
      </c>
      <c r="AY55">
        <f>'Implied Productivity Ratios'!AZ55/'Implied Productivity Ratios'!$V55</f>
        <v>2.8029418531683397</v>
      </c>
      <c r="AZ55">
        <f>'Implied Productivity Ratios'!BA55/'Implied Productivity Ratios'!$V55</f>
        <v>2.8536961688962612</v>
      </c>
      <c r="BA55">
        <f>'Implied Productivity Ratios'!BB55/'Implied Productivity Ratios'!$V55</f>
        <v>2.9055511754764347</v>
      </c>
      <c r="BB55">
        <f>'Implied Productivity Ratios'!BC55/'Implied Productivity Ratios'!$V55</f>
        <v>2.95798502810745</v>
      </c>
      <c r="BC55" s="5">
        <f>'Implied Productivity Ratios'!BD55/'Implied Productivity Ratios'!$V55</f>
        <v>3.0085739242199456</v>
      </c>
      <c r="BD55" s="5">
        <f>'Implied Productivity Ratios'!BE55/'Implied Productivity Ratios'!$V55</f>
        <v>3.0591628203324417</v>
      </c>
      <c r="BE55" s="5">
        <f>'Implied Productivity Ratios'!BF55/'Implied Productivity Ratios'!$V55</f>
        <v>3.1097517164449373</v>
      </c>
      <c r="BF55" s="5">
        <f>'Implied Productivity Ratios'!BG55/'Implied Productivity Ratios'!$V55</f>
        <v>3.1603406125574334</v>
      </c>
      <c r="BG55" s="5">
        <f>'Implied Productivity Ratios'!BH55/'Implied Productivity Ratios'!$V55</f>
        <v>3.210929508669929</v>
      </c>
    </row>
    <row r="56" spans="2:59">
      <c r="B56">
        <v>488</v>
      </c>
      <c r="C56" t="s">
        <v>195</v>
      </c>
      <c r="D56">
        <f>'Implied Productivity Ratios'!E56/'Implied Productivity Ratios'!$V56</f>
        <v>1.0284424330489947</v>
      </c>
      <c r="E56">
        <f>'Implied Productivity Ratios'!F56/'Implied Productivity Ratios'!$V56</f>
        <v>1.0117412621976851</v>
      </c>
      <c r="F56">
        <f>'Implied Productivity Ratios'!G56/'Implied Productivity Ratios'!$V56</f>
        <v>0.89844855441652927</v>
      </c>
      <c r="G56">
        <f>'Implied Productivity Ratios'!H56/'Implied Productivity Ratios'!$V56</f>
        <v>0.95395641307387125</v>
      </c>
      <c r="H56">
        <f>'Implied Productivity Ratios'!I56/'Implied Productivity Ratios'!$V56</f>
        <v>0.94050505279050134</v>
      </c>
      <c r="I56">
        <f>'Implied Productivity Ratios'!J56/'Implied Productivity Ratios'!$V56</f>
        <v>1.0157246194308045</v>
      </c>
      <c r="J56">
        <f>'Implied Productivity Ratios'!K56/'Implied Productivity Ratios'!$V56</f>
        <v>1.0278391516995384</v>
      </c>
      <c r="K56">
        <f>'Implied Productivity Ratios'!L56/'Implied Productivity Ratios'!$V56</f>
        <v>1.0138777864813937</v>
      </c>
      <c r="L56">
        <f>'Implied Productivity Ratios'!M56/'Implied Productivity Ratios'!$V56</f>
        <v>1.0092798612660563</v>
      </c>
      <c r="M56">
        <f>'Implied Productivity Ratios'!N56/'Implied Productivity Ratios'!$V56</f>
        <v>1.0136113989833915</v>
      </c>
      <c r="N56">
        <f>'Implied Productivity Ratios'!O56/'Implied Productivity Ratios'!$V56</f>
        <v>1.0503893638539825</v>
      </c>
      <c r="O56">
        <f>'Implied Productivity Ratios'!P56/'Implied Productivity Ratios'!$V56</f>
        <v>1.0427222691533886</v>
      </c>
      <c r="P56">
        <f>'Implied Productivity Ratios'!Q56/'Implied Productivity Ratios'!$V56</f>
        <v>1.0068175759204889</v>
      </c>
      <c r="Q56">
        <f>'Implied Productivity Ratios'!R56/'Implied Productivity Ratios'!$V56</f>
        <v>1.0320630268019597</v>
      </c>
      <c r="R56">
        <f>'Implied Productivity Ratios'!S56/'Implied Productivity Ratios'!$V56</f>
        <v>1.0518250894854657</v>
      </c>
      <c r="S56">
        <f>'Implied Productivity Ratios'!T56/'Implied Productivity Ratios'!$V56</f>
        <v>1.1943002722385367</v>
      </c>
      <c r="T56">
        <f>'Implied Productivity Ratios'!U56/'Implied Productivity Ratios'!$V56</f>
        <v>0.96774233439975144</v>
      </c>
      <c r="U56">
        <f>'Implied Productivity Ratios'!V56/'Implied Productivity Ratios'!$V56</f>
        <v>1</v>
      </c>
      <c r="V56">
        <f>'Implied Productivity Ratios'!W56/'Implied Productivity Ratios'!$V56</f>
        <v>1.2830802747386492</v>
      </c>
      <c r="W56">
        <f>'Implied Productivity Ratios'!X56/'Implied Productivity Ratios'!$V56</f>
        <v>1.2700003656884564</v>
      </c>
      <c r="X56">
        <f>'Implied Productivity Ratios'!Y56/'Implied Productivity Ratios'!$V56</f>
        <v>1.3102988769150501</v>
      </c>
      <c r="Y56">
        <f>'Implied Productivity Ratios'!Z56/'Implied Productivity Ratios'!$V56</f>
        <v>1.3607779884273521</v>
      </c>
      <c r="Z56">
        <f>'Implied Productivity Ratios'!AA56/'Implied Productivity Ratios'!$V56</f>
        <v>1.4208217693336789</v>
      </c>
      <c r="AA56">
        <f>'Implied Productivity Ratios'!AB56/'Implied Productivity Ratios'!$V56</f>
        <v>1.4886399278871989</v>
      </c>
      <c r="AB56">
        <f>'Implied Productivity Ratios'!AC56/'Implied Productivity Ratios'!$V56</f>
        <v>1.5611921987130759</v>
      </c>
      <c r="AC56">
        <f>'Implied Productivity Ratios'!AD56/'Implied Productivity Ratios'!$V56</f>
        <v>1.6368209818045782</v>
      </c>
      <c r="AD56">
        <f>'Implied Productivity Ratios'!AE56/'Implied Productivity Ratios'!$V56</f>
        <v>1.7117598980757747</v>
      </c>
      <c r="AE56">
        <f>'Implied Productivity Ratios'!AF56/'Implied Productivity Ratios'!$V56</f>
        <v>1.7878933450109029</v>
      </c>
      <c r="AF56">
        <f>'Implied Productivity Ratios'!AG56/'Implied Productivity Ratios'!$V56</f>
        <v>1.8648091253192631</v>
      </c>
      <c r="AG56">
        <f>'Implied Productivity Ratios'!AH56/'Implied Productivity Ratios'!$V56</f>
        <v>1.9407088975342741</v>
      </c>
      <c r="AH56">
        <f>'Implied Productivity Ratios'!AI56/'Implied Productivity Ratios'!$V56</f>
        <v>2.015629788408793</v>
      </c>
      <c r="AI56">
        <f>'Implied Productivity Ratios'!AJ56/'Implied Productivity Ratios'!$V56</f>
        <v>2.0932735122245272</v>
      </c>
      <c r="AJ56">
        <f>'Implied Productivity Ratios'!AK56/'Implied Productivity Ratios'!$V56</f>
        <v>2.1730070192897482</v>
      </c>
      <c r="AK56">
        <f>'Implied Productivity Ratios'!AL56/'Implied Productivity Ratios'!$V56</f>
        <v>2.2519645565317381</v>
      </c>
      <c r="AL56">
        <f>'Implied Productivity Ratios'!AM56/'Implied Productivity Ratios'!$V56</f>
        <v>2.33170244139093</v>
      </c>
      <c r="AM56">
        <f>'Implied Productivity Ratios'!AN56/'Implied Productivity Ratios'!$V56</f>
        <v>2.4119728699750396</v>
      </c>
      <c r="AN56">
        <f>'Implied Productivity Ratios'!AO56/'Implied Productivity Ratios'!$V56</f>
        <v>2.4916739553251674</v>
      </c>
      <c r="AO56">
        <f>'Implied Productivity Ratios'!AP56/'Implied Productivity Ratios'!$V56</f>
        <v>2.5702944914664689</v>
      </c>
      <c r="AP56">
        <f>'Implied Productivity Ratios'!AQ56/'Implied Productivity Ratios'!$V56</f>
        <v>2.647511927286184</v>
      </c>
      <c r="AQ56">
        <f>'Implied Productivity Ratios'!AR56/'Implied Productivity Ratios'!$V56</f>
        <v>2.7220856717244191</v>
      </c>
      <c r="AR56">
        <f>'Implied Productivity Ratios'!AS56/'Implied Productivity Ratios'!$V56</f>
        <v>2.7941747777060191</v>
      </c>
      <c r="AS56">
        <f>'Implied Productivity Ratios'!AT56/'Implied Productivity Ratios'!$V56</f>
        <v>2.8641030903154627</v>
      </c>
      <c r="AT56">
        <f>'Implied Productivity Ratios'!AU56/'Implied Productivity Ratios'!$V56</f>
        <v>2.9345689806297979</v>
      </c>
      <c r="AU56">
        <f>'Implied Productivity Ratios'!AV56/'Implied Productivity Ratios'!$V56</f>
        <v>3.0049327348878325</v>
      </c>
      <c r="AV56">
        <f>'Implied Productivity Ratios'!AW56/'Implied Productivity Ratios'!$V56</f>
        <v>3.07415374862236</v>
      </c>
      <c r="AW56">
        <f>'Implied Productivity Ratios'!AX56/'Implied Productivity Ratios'!$V56</f>
        <v>3.1416904336357732</v>
      </c>
      <c r="AX56">
        <f>'Implied Productivity Ratios'!AY56/'Implied Productivity Ratios'!$V56</f>
        <v>3.2078173849046432</v>
      </c>
      <c r="AY56">
        <f>'Implied Productivity Ratios'!AZ56/'Implied Productivity Ratios'!$V56</f>
        <v>3.2740466042838454</v>
      </c>
      <c r="AZ56">
        <f>'Implied Productivity Ratios'!BA56/'Implied Productivity Ratios'!$V56</f>
        <v>3.3393806117216926</v>
      </c>
      <c r="BA56">
        <f>'Implied Productivity Ratios'!BB56/'Implied Productivity Ratios'!$V56</f>
        <v>3.4040860871436704</v>
      </c>
      <c r="BB56">
        <f>'Implied Productivity Ratios'!BC56/'Implied Productivity Ratios'!$V56</f>
        <v>3.4669695780857288</v>
      </c>
      <c r="BC56" s="5">
        <f>'Implied Productivity Ratios'!BD56/'Implied Productivity Ratios'!$V56</f>
        <v>3.5320254069757198</v>
      </c>
      <c r="BD56" s="5">
        <f>'Implied Productivity Ratios'!BE56/'Implied Productivity Ratios'!$V56</f>
        <v>3.5970812358657107</v>
      </c>
      <c r="BE56" s="5">
        <f>'Implied Productivity Ratios'!BF56/'Implied Productivity Ratios'!$V56</f>
        <v>3.6621370647557021</v>
      </c>
      <c r="BF56" s="5">
        <f>'Implied Productivity Ratios'!BG56/'Implied Productivity Ratios'!$V56</f>
        <v>3.7271928936456931</v>
      </c>
      <c r="BG56" s="5">
        <f>'Implied Productivity Ratios'!BH56/'Implied Productivity Ratios'!$V56</f>
        <v>3.7922487225356845</v>
      </c>
    </row>
    <row r="57" spans="2:59">
      <c r="B57">
        <v>492</v>
      </c>
      <c r="C57" t="s">
        <v>199</v>
      </c>
      <c r="D57">
        <f>'Implied Productivity Ratios'!E57/'Implied Productivity Ratios'!$V57</f>
        <v>2.5560549451293988</v>
      </c>
      <c r="E57">
        <f>'Implied Productivity Ratios'!F57/'Implied Productivity Ratios'!$V57</f>
        <v>2.5527584465202602</v>
      </c>
      <c r="F57">
        <f>'Implied Productivity Ratios'!G57/'Implied Productivity Ratios'!$V57</f>
        <v>2.2259040529422531</v>
      </c>
      <c r="G57">
        <f>'Implied Productivity Ratios'!H57/'Implied Productivity Ratios'!$V57</f>
        <v>2.127425320628336</v>
      </c>
      <c r="H57">
        <f>'Implied Productivity Ratios'!I57/'Implied Productivity Ratios'!$V57</f>
        <v>1.9614267349414451</v>
      </c>
      <c r="I57">
        <f>'Implied Productivity Ratios'!J57/'Implied Productivity Ratios'!$V57</f>
        <v>1.8568525892568255</v>
      </c>
      <c r="J57">
        <f>'Implied Productivity Ratios'!K57/'Implied Productivity Ratios'!$V57</f>
        <v>1.6530641903681829</v>
      </c>
      <c r="K57">
        <f>'Implied Productivity Ratios'!L57/'Implied Productivity Ratios'!$V57</f>
        <v>1.4657645454649879</v>
      </c>
      <c r="L57">
        <f>'Implied Productivity Ratios'!M57/'Implied Productivity Ratios'!$V57</f>
        <v>1.3953828464607663</v>
      </c>
      <c r="M57">
        <f>'Implied Productivity Ratios'!N57/'Implied Productivity Ratios'!$V57</f>
        <v>1.2652530100000476</v>
      </c>
      <c r="N57">
        <f>'Implied Productivity Ratios'!O57/'Implied Productivity Ratios'!$V57</f>
        <v>1.1953363566140609</v>
      </c>
      <c r="O57">
        <f>'Implied Productivity Ratios'!P57/'Implied Productivity Ratios'!$V57</f>
        <v>1.1955637046841856</v>
      </c>
      <c r="P57">
        <f>'Implied Productivity Ratios'!Q57/'Implied Productivity Ratios'!$V57</f>
        <v>1.2222639898895304</v>
      </c>
      <c r="Q57">
        <f>'Implied Productivity Ratios'!R57/'Implied Productivity Ratios'!$V57</f>
        <v>1.1324871078999357</v>
      </c>
      <c r="R57">
        <f>'Implied Productivity Ratios'!S57/'Implied Productivity Ratios'!$V57</f>
        <v>1.0086107607379315</v>
      </c>
      <c r="S57">
        <f>'Implied Productivity Ratios'!T57/'Implied Productivity Ratios'!$V57</f>
        <v>1.023104175309534</v>
      </c>
      <c r="T57">
        <f>'Implied Productivity Ratios'!U57/'Implied Productivity Ratios'!$V57</f>
        <v>1.1048103956010478</v>
      </c>
      <c r="U57">
        <f>'Implied Productivity Ratios'!V57/'Implied Productivity Ratios'!$V57</f>
        <v>1</v>
      </c>
      <c r="V57">
        <f>'Implied Productivity Ratios'!W57/'Implied Productivity Ratios'!$V57</f>
        <v>0.86513306744138396</v>
      </c>
      <c r="W57">
        <f>'Implied Productivity Ratios'!X57/'Implied Productivity Ratios'!$V57</f>
        <v>0.7002408085798052</v>
      </c>
      <c r="X57">
        <f>'Implied Productivity Ratios'!Y57/'Implied Productivity Ratios'!$V57</f>
        <v>0.65352804859504554</v>
      </c>
      <c r="Y57">
        <f>'Implied Productivity Ratios'!Z57/'Implied Productivity Ratios'!$V57</f>
        <v>0.61170909568541509</v>
      </c>
      <c r="Z57">
        <f>'Implied Productivity Ratios'!AA57/'Implied Productivity Ratios'!$V57</f>
        <v>0.57794215628960843</v>
      </c>
      <c r="AA57">
        <f>'Implied Productivity Ratios'!AB57/'Implied Productivity Ratios'!$V57</f>
        <v>0.55004737126713688</v>
      </c>
      <c r="AB57">
        <f>'Implied Productivity Ratios'!AC57/'Implied Productivity Ratios'!$V57</f>
        <v>0.52587781734179972</v>
      </c>
      <c r="AC57">
        <f>'Implied Productivity Ratios'!AD57/'Implied Productivity Ratios'!$V57</f>
        <v>0.50433370721679649</v>
      </c>
      <c r="AD57">
        <f>'Implied Productivity Ratios'!AE57/'Implied Productivity Ratios'!$V57</f>
        <v>0.48401970657927856</v>
      </c>
      <c r="AE57">
        <f>'Implied Productivity Ratios'!AF57/'Implied Productivity Ratios'!$V57</f>
        <v>0.46549412161217096</v>
      </c>
      <c r="AF57">
        <f>'Implied Productivity Ratios'!AG57/'Implied Productivity Ratios'!$V57</f>
        <v>0.44857842005845538</v>
      </c>
      <c r="AG57">
        <f>'Implied Productivity Ratios'!AH57/'Implied Productivity Ratios'!$V57</f>
        <v>0.43275081452973757</v>
      </c>
      <c r="AH57">
        <f>'Implied Productivity Ratios'!AI57/'Implied Productivity Ratios'!$V57</f>
        <v>0.41807486525695819</v>
      </c>
      <c r="AI57">
        <f>'Implied Productivity Ratios'!AJ57/'Implied Productivity Ratios'!$V57</f>
        <v>0.40529465601625075</v>
      </c>
      <c r="AJ57">
        <f>'Implied Productivity Ratios'!AK57/'Implied Productivity Ratios'!$V57</f>
        <v>0.39411585896526524</v>
      </c>
      <c r="AK57">
        <f>'Implied Productivity Ratios'!AL57/'Implied Productivity Ratios'!$V57</f>
        <v>0.38392558488048323</v>
      </c>
      <c r="AL57">
        <f>'Implied Productivity Ratios'!AM57/'Implied Productivity Ratios'!$V57</f>
        <v>0.37494355447131472</v>
      </c>
      <c r="AM57">
        <f>'Implied Productivity Ratios'!AN57/'Implied Productivity Ratios'!$V57</f>
        <v>0.36708840032570766</v>
      </c>
      <c r="AN57">
        <f>'Implied Productivity Ratios'!AO57/'Implied Productivity Ratios'!$V57</f>
        <v>0.36015798264359167</v>
      </c>
      <c r="AO57">
        <f>'Implied Productivity Ratios'!AP57/'Implied Productivity Ratios'!$V57</f>
        <v>0.35406447255930995</v>
      </c>
      <c r="AP57">
        <f>'Implied Productivity Ratios'!AQ57/'Implied Productivity Ratios'!$V57</f>
        <v>0.3487672502789258</v>
      </c>
      <c r="AQ57">
        <f>'Implied Productivity Ratios'!AR57/'Implied Productivity Ratios'!$V57</f>
        <v>0.3441374371963199</v>
      </c>
      <c r="AR57">
        <f>'Implied Productivity Ratios'!AS57/'Implied Productivity Ratios'!$V57</f>
        <v>0.34020850570021183</v>
      </c>
      <c r="AS57">
        <f>'Implied Productivity Ratios'!AT57/'Implied Productivity Ratios'!$V57</f>
        <v>0.33702778530305566</v>
      </c>
      <c r="AT57">
        <f>'Implied Productivity Ratios'!AU57/'Implied Productivity Ratios'!$V57</f>
        <v>0.3348989462795377</v>
      </c>
      <c r="AU57">
        <f>'Implied Productivity Ratios'!AV57/'Implied Productivity Ratios'!$V57</f>
        <v>0.33373727652305851</v>
      </c>
      <c r="AV57">
        <f>'Implied Productivity Ratios'!AW57/'Implied Productivity Ratios'!$V57</f>
        <v>0.33341840182826604</v>
      </c>
      <c r="AW57">
        <f>'Implied Productivity Ratios'!AX57/'Implied Productivity Ratios'!$V57</f>
        <v>0.33390164990246479</v>
      </c>
      <c r="AX57">
        <f>'Implied Productivity Ratios'!AY57/'Implied Productivity Ratios'!$V57</f>
        <v>0.33523935222195161</v>
      </c>
      <c r="AY57">
        <f>'Implied Productivity Ratios'!AZ57/'Implied Productivity Ratios'!$V57</f>
        <v>0.33761678245956489</v>
      </c>
      <c r="AZ57">
        <f>'Implied Productivity Ratios'!BA57/'Implied Productivity Ratios'!$V57</f>
        <v>0.34097331105196871</v>
      </c>
      <c r="BA57">
        <f>'Implied Productivity Ratios'!BB57/'Implied Productivity Ratios'!$V57</f>
        <v>0.34536614465170978</v>
      </c>
      <c r="BB57">
        <f>'Implied Productivity Ratios'!BC57/'Implied Productivity Ratios'!$V57</f>
        <v>0.35071590018176041</v>
      </c>
      <c r="BC57" s="5">
        <f>'Implied Productivity Ratios'!BD57/'Implied Productivity Ratios'!$V57</f>
        <v>0.35407875023761953</v>
      </c>
      <c r="BD57" s="5">
        <f>'Implied Productivity Ratios'!BE57/'Implied Productivity Ratios'!$V57</f>
        <v>0.35744160029347866</v>
      </c>
      <c r="BE57" s="5">
        <f>'Implied Productivity Ratios'!BF57/'Implied Productivity Ratios'!$V57</f>
        <v>0.36080445034933778</v>
      </c>
      <c r="BF57" s="5">
        <f>'Implied Productivity Ratios'!BG57/'Implied Productivity Ratios'!$V57</f>
        <v>0.36416730040519685</v>
      </c>
      <c r="BG57" s="5">
        <f>'Implied Productivity Ratios'!BH57/'Implied Productivity Ratios'!$V57</f>
        <v>0.36753015046105597</v>
      </c>
    </row>
    <row r="58" spans="2:59">
      <c r="B58">
        <v>493</v>
      </c>
      <c r="C58" t="s">
        <v>203</v>
      </c>
      <c r="D58">
        <f>'Implied Productivity Ratios'!E58/'Implied Productivity Ratios'!$V58</f>
        <v>1.2314875658847075</v>
      </c>
      <c r="E58">
        <f>'Implied Productivity Ratios'!F58/'Implied Productivity Ratios'!$V58</f>
        <v>1.2416310290043646</v>
      </c>
      <c r="F58">
        <f>'Implied Productivity Ratios'!G58/'Implied Productivity Ratios'!$V58</f>
        <v>1.1228227604542103</v>
      </c>
      <c r="G58">
        <f>'Implied Productivity Ratios'!H58/'Implied Productivity Ratios'!$V58</f>
        <v>1.1798763398711465</v>
      </c>
      <c r="H58">
        <f>'Implied Productivity Ratios'!I58/'Implied Productivity Ratios'!$V58</f>
        <v>1.2184259430690823</v>
      </c>
      <c r="I58">
        <f>'Implied Productivity Ratios'!J58/'Implied Productivity Ratios'!$V58</f>
        <v>1.2848159001562298</v>
      </c>
      <c r="J58">
        <f>'Implied Productivity Ratios'!K58/'Implied Productivity Ratios'!$V58</f>
        <v>1.3112754580411365</v>
      </c>
      <c r="K58">
        <f>'Implied Productivity Ratios'!L58/'Implied Productivity Ratios'!$V58</f>
        <v>1.3801036899526484</v>
      </c>
      <c r="L58">
        <f>'Implied Productivity Ratios'!M58/'Implied Productivity Ratios'!$V58</f>
        <v>1.3859703788781288</v>
      </c>
      <c r="M58">
        <f>'Implied Productivity Ratios'!N58/'Implied Productivity Ratios'!$V58</f>
        <v>1.3510802171406671</v>
      </c>
      <c r="N58">
        <f>'Implied Productivity Ratios'!O58/'Implied Productivity Ratios'!$V58</f>
        <v>1.252408244301475</v>
      </c>
      <c r="O58">
        <f>'Implied Productivity Ratios'!P58/'Implied Productivity Ratios'!$V58</f>
        <v>1.2045195530552304</v>
      </c>
      <c r="P58">
        <f>'Implied Productivity Ratios'!Q58/'Implied Productivity Ratios'!$V58</f>
        <v>1.1489890606812925</v>
      </c>
      <c r="Q58">
        <f>'Implied Productivity Ratios'!R58/'Implied Productivity Ratios'!$V58</f>
        <v>1.1647847352261997</v>
      </c>
      <c r="R58">
        <f>'Implied Productivity Ratios'!S58/'Implied Productivity Ratios'!$V58</f>
        <v>1.1427434306689026</v>
      </c>
      <c r="S58">
        <f>'Implied Productivity Ratios'!T58/'Implied Productivity Ratios'!$V58</f>
        <v>1.0799986468687339</v>
      </c>
      <c r="T58">
        <f>'Implied Productivity Ratios'!U58/'Implied Productivity Ratios'!$V58</f>
        <v>1.1133720346435863</v>
      </c>
      <c r="U58">
        <f>'Implied Productivity Ratios'!V58/'Implied Productivity Ratios'!$V58</f>
        <v>1</v>
      </c>
      <c r="V58">
        <f>'Implied Productivity Ratios'!W58/'Implied Productivity Ratios'!$V58</f>
        <v>0.89653337247336107</v>
      </c>
      <c r="W58">
        <f>'Implied Productivity Ratios'!X58/'Implied Productivity Ratios'!$V58</f>
        <v>0.88133555798352525</v>
      </c>
      <c r="X58">
        <f>'Implied Productivity Ratios'!Y58/'Implied Productivity Ratios'!$V58</f>
        <v>0.87117401406437356</v>
      </c>
      <c r="Y58">
        <f>'Implied Productivity Ratios'!Z58/'Implied Productivity Ratios'!$V58</f>
        <v>0.8651732876513285</v>
      </c>
      <c r="Z58">
        <f>'Implied Productivity Ratios'!AA58/'Implied Productivity Ratios'!$V58</f>
        <v>0.86545754783498163</v>
      </c>
      <c r="AA58">
        <f>'Implied Productivity Ratios'!AB58/'Implied Productivity Ratios'!$V58</f>
        <v>0.87023515835901055</v>
      </c>
      <c r="AB58">
        <f>'Implied Productivity Ratios'!AC58/'Implied Productivity Ratios'!$V58</f>
        <v>0.87728350164614743</v>
      </c>
      <c r="AC58">
        <f>'Implied Productivity Ratios'!AD58/'Implied Productivity Ratios'!$V58</f>
        <v>0.88542978902681879</v>
      </c>
      <c r="AD58">
        <f>'Implied Productivity Ratios'!AE58/'Implied Productivity Ratios'!$V58</f>
        <v>0.89264800290510649</v>
      </c>
      <c r="AE58">
        <f>'Implied Productivity Ratios'!AF58/'Implied Productivity Ratios'!$V58</f>
        <v>0.90009262840435855</v>
      </c>
      <c r="AF58">
        <f>'Implied Productivity Ratios'!AG58/'Implied Productivity Ratios'!$V58</f>
        <v>0.90767853982120938</v>
      </c>
      <c r="AG58">
        <f>'Implied Productivity Ratios'!AH58/'Implied Productivity Ratios'!$V58</f>
        <v>0.91459508587692318</v>
      </c>
      <c r="AH58">
        <f>'Implied Productivity Ratios'!AI58/'Implied Productivity Ratios'!$V58</f>
        <v>0.92108213081675605</v>
      </c>
      <c r="AI58">
        <f>'Implied Productivity Ratios'!AJ58/'Implied Productivity Ratios'!$V58</f>
        <v>0.92894835187020386</v>
      </c>
      <c r="AJ58">
        <f>'Implied Productivity Ratios'!AK58/'Implied Productivity Ratios'!$V58</f>
        <v>0.93789697377399217</v>
      </c>
      <c r="AK58">
        <f>'Implied Productivity Ratios'!AL58/'Implied Productivity Ratios'!$V58</f>
        <v>0.94674188298277784</v>
      </c>
      <c r="AL58">
        <f>'Implied Productivity Ratios'!AM58/'Implied Productivity Ratios'!$V58</f>
        <v>0.95617967054566011</v>
      </c>
      <c r="AM58">
        <f>'Implied Productivity Ratios'!AN58/'Implied Productivity Ratios'!$V58</f>
        <v>0.96619376551264702</v>
      </c>
      <c r="AN58">
        <f>'Implied Productivity Ratios'!AO58/'Implied Productivity Ratios'!$V58</f>
        <v>0.97642511965153111</v>
      </c>
      <c r="AO58">
        <f>'Implied Productivity Ratios'!AP58/'Implied Productivity Ratios'!$V58</f>
        <v>0.98675771289477154</v>
      </c>
      <c r="AP58">
        <f>'Implied Productivity Ratios'!AQ58/'Implied Productivity Ratios'!$V58</f>
        <v>0.99718864405223218</v>
      </c>
      <c r="AQ58">
        <f>'Implied Productivity Ratios'!AR58/'Implied Productivity Ratios'!$V58</f>
        <v>1.0074107604636986</v>
      </c>
      <c r="AR58">
        <f>'Implied Productivity Ratios'!AS58/'Implied Productivity Ratios'!$V58</f>
        <v>1.0175948732273217</v>
      </c>
      <c r="AS58">
        <f>'Implied Productivity Ratios'!AT58/'Implied Productivity Ratios'!$V58</f>
        <v>1.0279485565181574</v>
      </c>
      <c r="AT58">
        <f>'Implied Productivity Ratios'!AU58/'Implied Productivity Ratios'!$V58</f>
        <v>1.0394973075030685</v>
      </c>
      <c r="AU58">
        <f>'Implied Productivity Ratios'!AV58/'Implied Productivity Ratios'!$V58</f>
        <v>1.0520643954931612</v>
      </c>
      <c r="AV58">
        <f>'Implied Productivity Ratios'!AW58/'Implied Productivity Ratios'!$V58</f>
        <v>1.0653235962383667</v>
      </c>
      <c r="AW58">
        <f>'Implied Productivity Ratios'!AX58/'Implied Productivity Ratios'!$V58</f>
        <v>1.0791804117350083</v>
      </c>
      <c r="AX58">
        <f>'Implied Productivity Ratios'!AY58/'Implied Productivity Ratios'!$V58</f>
        <v>1.0938144133310665</v>
      </c>
      <c r="AY58">
        <f>'Implied Productivity Ratios'!AZ58/'Implied Productivity Ratios'!$V58</f>
        <v>1.1098191055873927</v>
      </c>
      <c r="AZ58">
        <f>'Implied Productivity Ratios'!BA58/'Implied Productivity Ratios'!$V58</f>
        <v>1.1269480176504849</v>
      </c>
      <c r="BA58">
        <f>'Implied Productivity Ratios'!BB58/'Implied Productivity Ratios'!$V58</f>
        <v>1.1453690813650559</v>
      </c>
      <c r="BB58">
        <f>'Implied Productivity Ratios'!BC58/'Implied Productivity Ratios'!$V58</f>
        <v>1.1647742350464734</v>
      </c>
      <c r="BC58" s="5">
        <f>'Implied Productivity Ratios'!BD58/'Implied Productivity Ratios'!$V58</f>
        <v>1.1818929997087666</v>
      </c>
      <c r="BD58" s="5">
        <f>'Implied Productivity Ratios'!BE58/'Implied Productivity Ratios'!$V58</f>
        <v>1.1990117643710596</v>
      </c>
      <c r="BE58" s="5">
        <f>'Implied Productivity Ratios'!BF58/'Implied Productivity Ratios'!$V58</f>
        <v>1.2161305290333528</v>
      </c>
      <c r="BF58" s="5">
        <f>'Implied Productivity Ratios'!BG58/'Implied Productivity Ratios'!$V58</f>
        <v>1.2332492936956458</v>
      </c>
      <c r="BG58" s="5">
        <f>'Implied Productivity Ratios'!BH58/'Implied Productivity Ratios'!$V58</f>
        <v>1.2503680583579388</v>
      </c>
    </row>
    <row r="59" spans="2:59">
      <c r="B59">
        <v>511</v>
      </c>
      <c r="C59" t="s">
        <v>346</v>
      </c>
      <c r="D59">
        <f>'Implied Productivity Ratios'!E59/'Implied Productivity Ratios'!$V59</f>
        <v>0.3282665299825237</v>
      </c>
      <c r="E59">
        <f>'Implied Productivity Ratios'!F59/'Implied Productivity Ratios'!$V59</f>
        <v>0.30803287833861376</v>
      </c>
      <c r="F59">
        <f>'Implied Productivity Ratios'!G59/'Implied Productivity Ratios'!$V59</f>
        <v>0.37061433474002053</v>
      </c>
      <c r="G59">
        <f>'Implied Productivity Ratios'!H59/'Implied Productivity Ratios'!$V59</f>
        <v>0.37550380569843028</v>
      </c>
      <c r="H59">
        <f>'Implied Productivity Ratios'!I59/'Implied Productivity Ratios'!$V59</f>
        <v>0.39031140875326725</v>
      </c>
      <c r="I59">
        <f>'Implied Productivity Ratios'!J59/'Implied Productivity Ratios'!$V59</f>
        <v>0.44658830866633942</v>
      </c>
      <c r="J59">
        <f>'Implied Productivity Ratios'!K59/'Implied Productivity Ratios'!$V59</f>
        <v>0.47352268035320522</v>
      </c>
      <c r="K59">
        <f>'Implied Productivity Ratios'!L59/'Implied Productivity Ratios'!$V59</f>
        <v>0.50049414151367533</v>
      </c>
      <c r="L59">
        <f>'Implied Productivity Ratios'!M59/'Implied Productivity Ratios'!$V59</f>
        <v>0.53011594631168768</v>
      </c>
      <c r="M59">
        <f>'Implied Productivity Ratios'!N59/'Implied Productivity Ratios'!$V59</f>
        <v>0.56073962328623583</v>
      </c>
      <c r="N59">
        <f>'Implied Productivity Ratios'!O59/'Implied Productivity Ratios'!$V59</f>
        <v>0.58293848297953099</v>
      </c>
      <c r="O59">
        <f>'Implied Productivity Ratios'!P59/'Implied Productivity Ratios'!$V59</f>
        <v>0.62355493683572794</v>
      </c>
      <c r="P59">
        <f>'Implied Productivity Ratios'!Q59/'Implied Productivity Ratios'!$V59</f>
        <v>0.68033000432507496</v>
      </c>
      <c r="Q59">
        <f>'Implied Productivity Ratios'!R59/'Implied Productivity Ratios'!$V59</f>
        <v>0.7242963049580583</v>
      </c>
      <c r="R59">
        <f>'Implied Productivity Ratios'!S59/'Implied Productivity Ratios'!$V59</f>
        <v>0.80028834409309302</v>
      </c>
      <c r="S59">
        <f>'Implied Productivity Ratios'!T59/'Implied Productivity Ratios'!$V59</f>
        <v>0.87179259323391001</v>
      </c>
      <c r="T59">
        <f>'Implied Productivity Ratios'!U59/'Implied Productivity Ratios'!$V59</f>
        <v>0.99943563834235716</v>
      </c>
      <c r="U59">
        <f>'Implied Productivity Ratios'!V59/'Implied Productivity Ratios'!$V59</f>
        <v>1</v>
      </c>
      <c r="V59">
        <f>'Implied Productivity Ratios'!W59/'Implied Productivity Ratios'!$V59</f>
        <v>1.1270664516335018</v>
      </c>
      <c r="W59">
        <f>'Implied Productivity Ratios'!X59/'Implied Productivity Ratios'!$V59</f>
        <v>1.2080532665313528</v>
      </c>
      <c r="X59">
        <f>'Implied Productivity Ratios'!Y59/'Implied Productivity Ratios'!$V59</f>
        <v>1.2537751147196459</v>
      </c>
      <c r="Y59">
        <f>'Implied Productivity Ratios'!Z59/'Implied Productivity Ratios'!$V59</f>
        <v>1.2915902107901527</v>
      </c>
      <c r="Z59">
        <f>'Implied Productivity Ratios'!AA59/'Implied Productivity Ratios'!$V59</f>
        <v>1.337736158202494</v>
      </c>
      <c r="AA59">
        <f>'Implied Productivity Ratios'!AB59/'Implied Productivity Ratios'!$V59</f>
        <v>1.3922760730606576</v>
      </c>
      <c r="AB59">
        <f>'Implied Productivity Ratios'!AC59/'Implied Productivity Ratios'!$V59</f>
        <v>1.4532625674485158</v>
      </c>
      <c r="AC59">
        <f>'Implied Productivity Ratios'!AD59/'Implied Productivity Ratios'!$V59</f>
        <v>1.5193446426145585</v>
      </c>
      <c r="AD59">
        <f>'Implied Productivity Ratios'!AE59/'Implied Productivity Ratios'!$V59</f>
        <v>1.5866028487075658</v>
      </c>
      <c r="AE59">
        <f>'Implied Productivity Ratios'!AF59/'Implied Productivity Ratios'!$V59</f>
        <v>1.6568232522262505</v>
      </c>
      <c r="AF59">
        <f>'Implied Productivity Ratios'!AG59/'Implied Productivity Ratios'!$V59</f>
        <v>1.7278514859732064</v>
      </c>
      <c r="AG59">
        <f>'Implied Productivity Ratios'!AH59/'Implied Productivity Ratios'!$V59</f>
        <v>1.7967857149332875</v>
      </c>
      <c r="AH59">
        <f>'Implied Productivity Ratios'!AI59/'Implied Productivity Ratios'!$V59</f>
        <v>1.8648337313009278</v>
      </c>
      <c r="AI59">
        <f>'Implied Productivity Ratios'!AJ59/'Implied Productivity Ratios'!$V59</f>
        <v>1.9361224788246925</v>
      </c>
      <c r="AJ59">
        <f>'Implied Productivity Ratios'!AK59/'Implied Productivity Ratios'!$V59</f>
        <v>2.0109737133998369</v>
      </c>
      <c r="AK59">
        <f>'Implied Productivity Ratios'!AL59/'Implied Productivity Ratios'!$V59</f>
        <v>2.0874840160942121</v>
      </c>
      <c r="AL59">
        <f>'Implied Productivity Ratios'!AM59/'Implied Productivity Ratios'!$V59</f>
        <v>2.1670935307303054</v>
      </c>
      <c r="AM59">
        <f>'Implied Productivity Ratios'!AN59/'Implied Productivity Ratios'!$V59</f>
        <v>2.2488452092485303</v>
      </c>
      <c r="AN59">
        <f>'Implied Productivity Ratios'!AO59/'Implied Productivity Ratios'!$V59</f>
        <v>2.3307558757311608</v>
      </c>
      <c r="AO59">
        <f>'Implied Productivity Ratios'!AP59/'Implied Productivity Ratios'!$V59</f>
        <v>2.4135505310180601</v>
      </c>
      <c r="AP59">
        <f>'Implied Productivity Ratios'!AQ59/'Implied Productivity Ratios'!$V59</f>
        <v>2.4964904147004665</v>
      </c>
      <c r="AQ59">
        <f>'Implied Productivity Ratios'!AR59/'Implied Productivity Ratios'!$V59</f>
        <v>2.579469887618989</v>
      </c>
      <c r="AR59">
        <f>'Implied Productivity Ratios'!AS59/'Implied Productivity Ratios'!$V59</f>
        <v>2.6630621280403193</v>
      </c>
      <c r="AS59">
        <f>'Implied Productivity Ratios'!AT59/'Implied Productivity Ratios'!$V59</f>
        <v>2.7475918949803364</v>
      </c>
      <c r="AT59">
        <f>'Implied Productivity Ratios'!AU59/'Implied Productivity Ratios'!$V59</f>
        <v>2.8350013004315708</v>
      </c>
      <c r="AU59">
        <f>'Implied Productivity Ratios'!AV59/'Implied Productivity Ratios'!$V59</f>
        <v>2.9248649609900612</v>
      </c>
      <c r="AV59">
        <f>'Implied Productivity Ratios'!AW59/'Implied Productivity Ratios'!$V59</f>
        <v>3.0158953892470031</v>
      </c>
      <c r="AW59">
        <f>'Implied Productivity Ratios'!AX59/'Implied Productivity Ratios'!$V59</f>
        <v>3.1081592278858734</v>
      </c>
      <c r="AX59">
        <f>'Implied Productivity Ratios'!AY59/'Implied Productivity Ratios'!$V59</f>
        <v>3.2010884304840128</v>
      </c>
      <c r="AY59">
        <f>'Implied Productivity Ratios'!AZ59/'Implied Productivity Ratios'!$V59</f>
        <v>3.2954756823470728</v>
      </c>
      <c r="AZ59">
        <f>'Implied Productivity Ratios'!BA59/'Implied Productivity Ratios'!$V59</f>
        <v>3.3911068044410522</v>
      </c>
      <c r="BA59">
        <f>'Implied Productivity Ratios'!BB59/'Implied Productivity Ratios'!$V59</f>
        <v>3.4891946829721334</v>
      </c>
      <c r="BB59">
        <f>'Implied Productivity Ratios'!BC59/'Implied Productivity Ratios'!$V59</f>
        <v>3.5894623953675464</v>
      </c>
      <c r="BC59" s="5">
        <f>'Implied Productivity Ratios'!BD59/'Implied Productivity Ratios'!$V59</f>
        <v>3.6857230288638809</v>
      </c>
      <c r="BD59" s="5">
        <f>'Implied Productivity Ratios'!BE59/'Implied Productivity Ratios'!$V59</f>
        <v>3.7819836623602154</v>
      </c>
      <c r="BE59" s="5">
        <f>'Implied Productivity Ratios'!BF59/'Implied Productivity Ratios'!$V59</f>
        <v>3.87824429585655</v>
      </c>
      <c r="BF59" s="5">
        <f>'Implied Productivity Ratios'!BG59/'Implied Productivity Ratios'!$V59</f>
        <v>3.974504929352884</v>
      </c>
      <c r="BG59" s="5">
        <f>'Implied Productivity Ratios'!BH59/'Implied Productivity Ratios'!$V59</f>
        <v>4.0707655628492185</v>
      </c>
    </row>
    <row r="60" spans="2:59">
      <c r="B60">
        <v>512</v>
      </c>
      <c r="C60" t="s">
        <v>350</v>
      </c>
      <c r="D60">
        <f>'Implied Productivity Ratios'!E60/'Implied Productivity Ratios'!$V60</f>
        <v>0.5364418777615021</v>
      </c>
      <c r="E60">
        <f>'Implied Productivity Ratios'!F60/'Implied Productivity Ratios'!$V60</f>
        <v>0.61043453629646516</v>
      </c>
      <c r="F60">
        <f>'Implied Productivity Ratios'!G60/'Implied Productivity Ratios'!$V60</f>
        <v>0.70028098653084858</v>
      </c>
      <c r="G60">
        <f>'Implied Productivity Ratios'!H60/'Implied Productivity Ratios'!$V60</f>
        <v>0.73464396385937791</v>
      </c>
      <c r="H60">
        <f>'Implied Productivity Ratios'!I60/'Implied Productivity Ratios'!$V60</f>
        <v>0.84954372752703289</v>
      </c>
      <c r="I60">
        <f>'Implied Productivity Ratios'!J60/'Implied Productivity Ratios'!$V60</f>
        <v>0.93177790923035497</v>
      </c>
      <c r="J60">
        <f>'Implied Productivity Ratios'!K60/'Implied Productivity Ratios'!$V60</f>
        <v>0.89250845534571221</v>
      </c>
      <c r="K60">
        <f>'Implied Productivity Ratios'!L60/'Implied Productivity Ratios'!$V60</f>
        <v>0.83663008058756849</v>
      </c>
      <c r="L60">
        <f>'Implied Productivity Ratios'!M60/'Implied Productivity Ratios'!$V60</f>
        <v>0.83755278429223601</v>
      </c>
      <c r="M60">
        <f>'Implied Productivity Ratios'!N60/'Implied Productivity Ratios'!$V60</f>
        <v>0.83602928149380429</v>
      </c>
      <c r="N60">
        <f>'Implied Productivity Ratios'!O60/'Implied Productivity Ratios'!$V60</f>
        <v>0.86675164323572718</v>
      </c>
      <c r="O60">
        <f>'Implied Productivity Ratios'!P60/'Implied Productivity Ratios'!$V60</f>
        <v>0.8391556967026782</v>
      </c>
      <c r="P60">
        <f>'Implied Productivity Ratios'!Q60/'Implied Productivity Ratios'!$V60</f>
        <v>0.85278127374936763</v>
      </c>
      <c r="Q60">
        <f>'Implied Productivity Ratios'!R60/'Implied Productivity Ratios'!$V60</f>
        <v>0.8157143612124369</v>
      </c>
      <c r="R60">
        <f>'Implied Productivity Ratios'!S60/'Implied Productivity Ratios'!$V60</f>
        <v>0.77529918982979151</v>
      </c>
      <c r="S60">
        <f>'Implied Productivity Ratios'!T60/'Implied Productivity Ratios'!$V60</f>
        <v>0.99573402598369265</v>
      </c>
      <c r="T60">
        <f>'Implied Productivity Ratios'!U60/'Implied Productivity Ratios'!$V60</f>
        <v>1.0155809845632771</v>
      </c>
      <c r="U60">
        <f>'Implied Productivity Ratios'!V60/'Implied Productivity Ratios'!$V60</f>
        <v>1</v>
      </c>
      <c r="V60">
        <f>'Implied Productivity Ratios'!W60/'Implied Productivity Ratios'!$V60</f>
        <v>1.1649104479302894</v>
      </c>
      <c r="W60">
        <f>'Implied Productivity Ratios'!X60/'Implied Productivity Ratios'!$V60</f>
        <v>1.2431803594295758</v>
      </c>
      <c r="X60">
        <f>'Implied Productivity Ratios'!Y60/'Implied Productivity Ratios'!$V60</f>
        <v>1.2209273465351005</v>
      </c>
      <c r="Y60">
        <f>'Implied Productivity Ratios'!Z60/'Implied Productivity Ratios'!$V60</f>
        <v>1.1794070921541873</v>
      </c>
      <c r="Z60">
        <f>'Implied Productivity Ratios'!AA60/'Implied Productivity Ratios'!$V60</f>
        <v>1.1483718284583408</v>
      </c>
      <c r="AA60">
        <f>'Implied Productivity Ratios'!AB60/'Implied Productivity Ratios'!$V60</f>
        <v>1.1272420617514101</v>
      </c>
      <c r="AB60">
        <f>'Implied Productivity Ratios'!AC60/'Implied Productivity Ratios'!$V60</f>
        <v>1.1127742161384422</v>
      </c>
      <c r="AC60">
        <f>'Implied Productivity Ratios'!AD60/'Implied Productivity Ratios'!$V60</f>
        <v>1.1028907765994915</v>
      </c>
      <c r="AD60">
        <f>'Implied Productivity Ratios'!AE60/'Implied Productivity Ratios'!$V60</f>
        <v>1.0933972238255352</v>
      </c>
      <c r="AE60">
        <f>'Implied Productivity Ratios'!AF60/'Implied Productivity Ratios'!$V60</f>
        <v>1.0858105626322749</v>
      </c>
      <c r="AF60">
        <f>'Implied Productivity Ratios'!AG60/'Implied Productivity Ratios'!$V60</f>
        <v>1.0785021171147893</v>
      </c>
      <c r="AG60">
        <f>'Implied Productivity Ratios'!AH60/'Implied Productivity Ratios'!$V60</f>
        <v>1.0686608770090333</v>
      </c>
      <c r="AH60">
        <f>'Implied Productivity Ratios'!AI60/'Implied Productivity Ratios'!$V60</f>
        <v>1.057304598898666</v>
      </c>
      <c r="AI60">
        <f>'Implied Productivity Ratios'!AJ60/'Implied Productivity Ratios'!$V60</f>
        <v>1.0479237074353283</v>
      </c>
      <c r="AJ60">
        <f>'Implied Productivity Ratios'!AK60/'Implied Productivity Ratios'!$V60</f>
        <v>1.0405897587421635</v>
      </c>
      <c r="AK60">
        <f>'Implied Productivity Ratios'!AL60/'Implied Productivity Ratios'!$V60</f>
        <v>1.0340050714304576</v>
      </c>
      <c r="AL60">
        <f>'Implied Productivity Ratios'!AM60/'Implied Productivity Ratios'!$V60</f>
        <v>1.0291120309175885</v>
      </c>
      <c r="AM60">
        <f>'Implied Productivity Ratios'!AN60/'Implied Productivity Ratios'!$V60</f>
        <v>1.0252298267178066</v>
      </c>
      <c r="AN60">
        <f>'Implied Productivity Ratios'!AO60/'Implied Productivity Ratios'!$V60</f>
        <v>1.0213093760237948</v>
      </c>
      <c r="AO60">
        <f>'Implied Productivity Ratios'!AP60/'Implied Productivity Ratios'!$V60</f>
        <v>1.0176707703786865</v>
      </c>
      <c r="AP60">
        <f>'Implied Productivity Ratios'!AQ60/'Implied Productivity Ratios'!$V60</f>
        <v>1.0142337779265751</v>
      </c>
      <c r="AQ60">
        <f>'Implied Productivity Ratios'!AR60/'Implied Productivity Ratios'!$V60</f>
        <v>1.010936667619275</v>
      </c>
      <c r="AR60">
        <f>'Implied Productivity Ratios'!AS60/'Implied Productivity Ratios'!$V60</f>
        <v>1.0080754921606643</v>
      </c>
      <c r="AS60">
        <f>'Implied Productivity Ratios'!AT60/'Implied Productivity Ratios'!$V60</f>
        <v>1.0058133409194092</v>
      </c>
      <c r="AT60">
        <f>'Implied Productivity Ratios'!AU60/'Implied Productivity Ratios'!$V60</f>
        <v>1.0049799904882382</v>
      </c>
      <c r="AU60">
        <f>'Implied Productivity Ratios'!AV60/'Implied Productivity Ratios'!$V60</f>
        <v>1.0054623481320641</v>
      </c>
      <c r="AV60">
        <f>'Implied Productivity Ratios'!AW60/'Implied Productivity Ratios'!$V60</f>
        <v>1.0067744174833861</v>
      </c>
      <c r="AW60">
        <f>'Implied Productivity Ratios'!AX60/'Implied Productivity Ratios'!$V60</f>
        <v>1.0088981052204795</v>
      </c>
      <c r="AX60">
        <f>'Implied Productivity Ratios'!AY60/'Implied Productivity Ratios'!$V60</f>
        <v>1.0116263086394741</v>
      </c>
      <c r="AY60">
        <f>'Implied Productivity Ratios'!AZ60/'Implied Productivity Ratios'!$V60</f>
        <v>1.0152791563223202</v>
      </c>
      <c r="AZ60">
        <f>'Implied Productivity Ratios'!BA60/'Implied Productivity Ratios'!$V60</f>
        <v>1.0197847518772829</v>
      </c>
      <c r="BA60">
        <f>'Implied Productivity Ratios'!BB60/'Implied Productivity Ratios'!$V60</f>
        <v>1.0255140762903623</v>
      </c>
      <c r="BB60">
        <f>'Implied Productivity Ratios'!BC60/'Implied Productivity Ratios'!$V60</f>
        <v>1.0324382713505553</v>
      </c>
      <c r="BC60" s="5">
        <f>'Implied Productivity Ratios'!BD60/'Implied Productivity Ratios'!$V60</f>
        <v>1.0371463045765705</v>
      </c>
      <c r="BD60" s="5">
        <f>'Implied Productivity Ratios'!BE60/'Implied Productivity Ratios'!$V60</f>
        <v>1.0418543378025857</v>
      </c>
      <c r="BE60" s="5">
        <f>'Implied Productivity Ratios'!BF60/'Implied Productivity Ratios'!$V60</f>
        <v>1.0465623710286009</v>
      </c>
      <c r="BF60" s="5">
        <f>'Implied Productivity Ratios'!BG60/'Implied Productivity Ratios'!$V60</f>
        <v>1.0512704042546162</v>
      </c>
      <c r="BG60" s="5">
        <f>'Implied Productivity Ratios'!BH60/'Implied Productivity Ratios'!$V60</f>
        <v>1.0559784374806311</v>
      </c>
    </row>
    <row r="61" spans="2:59">
      <c r="B61">
        <v>515</v>
      </c>
      <c r="C61" t="s">
        <v>354</v>
      </c>
      <c r="D61">
        <f>'Implied Productivity Ratios'!E61/'Implied Productivity Ratios'!$V61</f>
        <v>0.4902999939933127</v>
      </c>
      <c r="E61">
        <f>'Implied Productivity Ratios'!F61/'Implied Productivity Ratios'!$V61</f>
        <v>0.50037151440117211</v>
      </c>
      <c r="F61">
        <f>'Implied Productivity Ratios'!G61/'Implied Productivity Ratios'!$V61</f>
        <v>0.54701847346006827</v>
      </c>
      <c r="G61">
        <f>'Implied Productivity Ratios'!H61/'Implied Productivity Ratios'!$V61</f>
        <v>0.59492633065608214</v>
      </c>
      <c r="H61">
        <f>'Implied Productivity Ratios'!I61/'Implied Productivity Ratios'!$V61</f>
        <v>0.6075064921229113</v>
      </c>
      <c r="I61">
        <f>'Implied Productivity Ratios'!J61/'Implied Productivity Ratios'!$V61</f>
        <v>0.66608169161204944</v>
      </c>
      <c r="J61">
        <f>'Implied Productivity Ratios'!K61/'Implied Productivity Ratios'!$V61</f>
        <v>0.67162717093188518</v>
      </c>
      <c r="K61">
        <f>'Implied Productivity Ratios'!L61/'Implied Productivity Ratios'!$V61</f>
        <v>0.71026460159117255</v>
      </c>
      <c r="L61">
        <f>'Implied Productivity Ratios'!M61/'Implied Productivity Ratios'!$V61</f>
        <v>0.73153439106293539</v>
      </c>
      <c r="M61">
        <f>'Implied Productivity Ratios'!N61/'Implied Productivity Ratios'!$V61</f>
        <v>0.70529799212858468</v>
      </c>
      <c r="N61">
        <f>'Implied Productivity Ratios'!O61/'Implied Productivity Ratios'!$V61</f>
        <v>0.77769883774541371</v>
      </c>
      <c r="O61">
        <f>'Implied Productivity Ratios'!P61/'Implied Productivity Ratios'!$V61</f>
        <v>0.7996643979599688</v>
      </c>
      <c r="P61">
        <f>'Implied Productivity Ratios'!Q61/'Implied Productivity Ratios'!$V61</f>
        <v>0.85891594961796058</v>
      </c>
      <c r="Q61">
        <f>'Implied Productivity Ratios'!R61/'Implied Productivity Ratios'!$V61</f>
        <v>0.9002850116180644</v>
      </c>
      <c r="R61">
        <f>'Implied Productivity Ratios'!S61/'Implied Productivity Ratios'!$V61</f>
        <v>0.897367559810474</v>
      </c>
      <c r="S61">
        <f>'Implied Productivity Ratios'!T61/'Implied Productivity Ratios'!$V61</f>
        <v>1.0079725786935971</v>
      </c>
      <c r="T61">
        <f>'Implied Productivity Ratios'!U61/'Implied Productivity Ratios'!$V61</f>
        <v>1.0755411596509841</v>
      </c>
      <c r="U61">
        <f>'Implied Productivity Ratios'!V61/'Implied Productivity Ratios'!$V61</f>
        <v>1</v>
      </c>
      <c r="V61">
        <f>'Implied Productivity Ratios'!W61/'Implied Productivity Ratios'!$V61</f>
        <v>1.2649830648847804</v>
      </c>
      <c r="W61">
        <f>'Implied Productivity Ratios'!X61/'Implied Productivity Ratios'!$V61</f>
        <v>1.4156170869958513</v>
      </c>
      <c r="X61">
        <f>'Implied Productivity Ratios'!Y61/'Implied Productivity Ratios'!$V61</f>
        <v>1.4860425904888075</v>
      </c>
      <c r="Y61">
        <f>'Implied Productivity Ratios'!Z61/'Implied Productivity Ratios'!$V61</f>
        <v>1.5449007548198566</v>
      </c>
      <c r="Z61">
        <f>'Implied Productivity Ratios'!AA61/'Implied Productivity Ratios'!$V61</f>
        <v>1.6128891148387587</v>
      </c>
      <c r="AA61">
        <f>'Implied Productivity Ratios'!AB61/'Implied Productivity Ratios'!$V61</f>
        <v>1.691260152118677</v>
      </c>
      <c r="AB61">
        <f>'Implied Productivity Ratios'!AC61/'Implied Productivity Ratios'!$V61</f>
        <v>1.7775034084844139</v>
      </c>
      <c r="AC61">
        <f>'Implied Productivity Ratios'!AD61/'Implied Productivity Ratios'!$V61</f>
        <v>1.8698477112225518</v>
      </c>
      <c r="AD61">
        <f>'Implied Productivity Ratios'!AE61/'Implied Productivity Ratios'!$V61</f>
        <v>1.9628415993799455</v>
      </c>
      <c r="AE61">
        <f>'Implied Productivity Ratios'!AF61/'Implied Productivity Ratios'!$V61</f>
        <v>2.0585350844591757</v>
      </c>
      <c r="AF61">
        <f>'Implied Productivity Ratios'!AG61/'Implied Productivity Ratios'!$V61</f>
        <v>2.153891553123676</v>
      </c>
      <c r="AG61">
        <f>'Implied Productivity Ratios'!AH61/'Implied Productivity Ratios'!$V61</f>
        <v>2.2446306031159406</v>
      </c>
      <c r="AH61">
        <f>'Implied Productivity Ratios'!AI61/'Implied Productivity Ratios'!$V61</f>
        <v>2.3319040823856545</v>
      </c>
      <c r="AI61">
        <f>'Implied Productivity Ratios'!AJ61/'Implied Productivity Ratios'!$V61</f>
        <v>2.4211928598512631</v>
      </c>
      <c r="AJ61">
        <f>'Implied Productivity Ratios'!AK61/'Implied Productivity Ratios'!$V61</f>
        <v>2.5127185708358382</v>
      </c>
      <c r="AK61">
        <f>'Implied Productivity Ratios'!AL61/'Implied Productivity Ratios'!$V61</f>
        <v>2.603714575805169</v>
      </c>
      <c r="AL61">
        <f>'Implied Productivity Ratios'!AM61/'Implied Productivity Ratios'!$V61</f>
        <v>2.6958137180662107</v>
      </c>
      <c r="AM61">
        <f>'Implied Productivity Ratios'!AN61/'Implied Productivity Ratios'!$V61</f>
        <v>2.7874970211619265</v>
      </c>
      <c r="AN61">
        <f>'Implied Productivity Ratios'!AO61/'Implied Productivity Ratios'!$V61</f>
        <v>2.8759294808124904</v>
      </c>
      <c r="AO61">
        <f>'Implied Productivity Ratios'!AP61/'Implied Productivity Ratios'!$V61</f>
        <v>2.9617393998725565</v>
      </c>
      <c r="AP61">
        <f>'Implied Productivity Ratios'!AQ61/'Implied Productivity Ratios'!$V61</f>
        <v>3.0436918788912273</v>
      </c>
      <c r="AQ61">
        <f>'Implied Productivity Ratios'!AR61/'Implied Productivity Ratios'!$V61</f>
        <v>3.1214359670869642</v>
      </c>
      <c r="AR61">
        <f>'Implied Productivity Ratios'!AS61/'Implied Productivity Ratios'!$V61</f>
        <v>3.1955078728569402</v>
      </c>
      <c r="AS61">
        <f>'Implied Productivity Ratios'!AT61/'Implied Productivity Ratios'!$V61</f>
        <v>3.2660830082412016</v>
      </c>
      <c r="AT61">
        <f>'Implied Productivity Ratios'!AU61/'Implied Productivity Ratios'!$V61</f>
        <v>3.3352976168038602</v>
      </c>
      <c r="AU61">
        <f>'Implied Productivity Ratios'!AV61/'Implied Productivity Ratios'!$V61</f>
        <v>3.4025384245269521</v>
      </c>
      <c r="AV61">
        <f>'Implied Productivity Ratios'!AW61/'Implied Productivity Ratios'!$V61</f>
        <v>3.4660398802471288</v>
      </c>
      <c r="AW61">
        <f>'Implied Productivity Ratios'!AX61/'Implied Productivity Ratios'!$V61</f>
        <v>3.5255737058804928</v>
      </c>
      <c r="AX61">
        <f>'Implied Productivity Ratios'!AY61/'Implied Productivity Ratios'!$V61</f>
        <v>3.5802501959634383</v>
      </c>
      <c r="AY61">
        <f>'Implied Productivity Ratios'!AZ61/'Implied Productivity Ratios'!$V61</f>
        <v>3.6308065485685681</v>
      </c>
      <c r="AZ61">
        <f>'Implied Productivity Ratios'!BA61/'Implied Productivity Ratios'!$V61</f>
        <v>3.676763811632775</v>
      </c>
      <c r="BA61">
        <f>'Implied Productivity Ratios'!BB61/'Implied Productivity Ratios'!$V61</f>
        <v>3.7193770524172329</v>
      </c>
      <c r="BB61">
        <f>'Implied Productivity Ratios'!BC61/'Implied Productivity Ratios'!$V61</f>
        <v>3.7583551173264951</v>
      </c>
      <c r="BC61" s="5">
        <f>'Implied Productivity Ratios'!BD61/'Implied Productivity Ratios'!$V61</f>
        <v>3.8049113996156954</v>
      </c>
      <c r="BD61" s="5">
        <f>'Implied Productivity Ratios'!BE61/'Implied Productivity Ratios'!$V61</f>
        <v>3.8514676819048961</v>
      </c>
      <c r="BE61" s="5">
        <f>'Implied Productivity Ratios'!BF61/'Implied Productivity Ratios'!$V61</f>
        <v>3.8980239641940968</v>
      </c>
      <c r="BF61" s="5">
        <f>'Implied Productivity Ratios'!BG61/'Implied Productivity Ratios'!$V61</f>
        <v>3.9445802464832971</v>
      </c>
      <c r="BG61" s="5">
        <f>'Implied Productivity Ratios'!BH61/'Implied Productivity Ratios'!$V61</f>
        <v>3.9911365287724978</v>
      </c>
    </row>
    <row r="62" spans="2:59">
      <c r="B62">
        <v>517</v>
      </c>
      <c r="C62" t="s">
        <v>358</v>
      </c>
      <c r="D62">
        <f>'Implied Productivity Ratios'!E62/'Implied Productivity Ratios'!$V62</f>
        <v>0.30433930680202675</v>
      </c>
      <c r="E62">
        <f>'Implied Productivity Ratios'!F62/'Implied Productivity Ratios'!$V62</f>
        <v>0.32601997494783974</v>
      </c>
      <c r="F62">
        <f>'Implied Productivity Ratios'!G62/'Implied Productivity Ratios'!$V62</f>
        <v>0.36242158198532815</v>
      </c>
      <c r="G62">
        <f>'Implied Productivity Ratios'!H62/'Implied Productivity Ratios'!$V62</f>
        <v>0.39457170406707037</v>
      </c>
      <c r="H62">
        <f>'Implied Productivity Ratios'!I62/'Implied Productivity Ratios'!$V62</f>
        <v>0.39099084526995082</v>
      </c>
      <c r="I62">
        <f>'Implied Productivity Ratios'!J62/'Implied Productivity Ratios'!$V62</f>
        <v>0.42784856771697627</v>
      </c>
      <c r="J62">
        <f>'Implied Productivity Ratios'!K62/'Implied Productivity Ratios'!$V62</f>
        <v>0.43532018365508113</v>
      </c>
      <c r="K62">
        <f>'Implied Productivity Ratios'!L62/'Implied Productivity Ratios'!$V62</f>
        <v>0.44975961414395349</v>
      </c>
      <c r="L62">
        <f>'Implied Productivity Ratios'!M62/'Implied Productivity Ratios'!$V62</f>
        <v>0.509583048816035</v>
      </c>
      <c r="M62">
        <f>'Implied Productivity Ratios'!N62/'Implied Productivity Ratios'!$V62</f>
        <v>0.51865837071312715</v>
      </c>
      <c r="N62">
        <f>'Implied Productivity Ratios'!O62/'Implied Productivity Ratios'!$V62</f>
        <v>0.61795856418578776</v>
      </c>
      <c r="O62">
        <f>'Implied Productivity Ratios'!P62/'Implied Productivity Ratios'!$V62</f>
        <v>0.69519480955637347</v>
      </c>
      <c r="P62">
        <f>'Implied Productivity Ratios'!Q62/'Implied Productivity Ratios'!$V62</f>
        <v>0.74721237829744269</v>
      </c>
      <c r="Q62">
        <f>'Implied Productivity Ratios'!R62/'Implied Productivity Ratios'!$V62</f>
        <v>0.80815928325507769</v>
      </c>
      <c r="R62">
        <f>'Implied Productivity Ratios'!S62/'Implied Productivity Ratios'!$V62</f>
        <v>0.92129507087636697</v>
      </c>
      <c r="S62">
        <f>'Implied Productivity Ratios'!T62/'Implied Productivity Ratios'!$V62</f>
        <v>0.92221043136277037</v>
      </c>
      <c r="T62">
        <f>'Implied Productivity Ratios'!U62/'Implied Productivity Ratios'!$V62</f>
        <v>1.0034589877352176</v>
      </c>
      <c r="U62">
        <f>'Implied Productivity Ratios'!V62/'Implied Productivity Ratios'!$V62</f>
        <v>1</v>
      </c>
      <c r="V62">
        <f>'Implied Productivity Ratios'!W62/'Implied Productivity Ratios'!$V62</f>
        <v>0.99052321015937395</v>
      </c>
      <c r="W62">
        <f>'Implied Productivity Ratios'!X62/'Implied Productivity Ratios'!$V62</f>
        <v>1.0026875532179702</v>
      </c>
      <c r="X62">
        <f>'Implied Productivity Ratios'!Y62/'Implied Productivity Ratios'!$V62</f>
        <v>1.0730948048821478</v>
      </c>
      <c r="Y62">
        <f>'Implied Productivity Ratios'!Z62/'Implied Productivity Ratios'!$V62</f>
        <v>1.1491233729192234</v>
      </c>
      <c r="Z62">
        <f>'Implied Productivity Ratios'!AA62/'Implied Productivity Ratios'!$V62</f>
        <v>1.2351171884883425</v>
      </c>
      <c r="AA62">
        <f>'Implied Productivity Ratios'!AB62/'Implied Productivity Ratios'!$V62</f>
        <v>1.3326482799518327</v>
      </c>
      <c r="AB62">
        <f>'Implied Productivity Ratios'!AC62/'Implied Productivity Ratios'!$V62</f>
        <v>1.4402327065713618</v>
      </c>
      <c r="AC62">
        <f>'Implied Productivity Ratios'!AD62/'Implied Productivity Ratios'!$V62</f>
        <v>1.5569268305349953</v>
      </c>
      <c r="AD62">
        <f>'Implied Productivity Ratios'!AE62/'Implied Productivity Ratios'!$V62</f>
        <v>1.6786794490631021</v>
      </c>
      <c r="AE62">
        <f>'Implied Productivity Ratios'!AF62/'Implied Productivity Ratios'!$V62</f>
        <v>1.807545023950496</v>
      </c>
      <c r="AF62">
        <f>'Implied Productivity Ratios'!AG62/'Implied Productivity Ratios'!$V62</f>
        <v>1.9408851115662866</v>
      </c>
      <c r="AG62">
        <f>'Implied Productivity Ratios'!AH62/'Implied Productivity Ratios'!$V62</f>
        <v>2.0748798305080784</v>
      </c>
      <c r="AH62">
        <f>'Implied Productivity Ratios'!AI62/'Implied Productivity Ratios'!$V62</f>
        <v>2.2104827806008989</v>
      </c>
      <c r="AI62">
        <f>'Implied Productivity Ratios'!AJ62/'Implied Productivity Ratios'!$V62</f>
        <v>2.3528372812847533</v>
      </c>
      <c r="AJ62">
        <f>'Implied Productivity Ratios'!AK62/'Implied Productivity Ratios'!$V62</f>
        <v>2.5023973984010337</v>
      </c>
      <c r="AK62">
        <f>'Implied Productivity Ratios'!AL62/'Implied Productivity Ratios'!$V62</f>
        <v>2.6565788033500697</v>
      </c>
      <c r="AL62">
        <f>'Implied Productivity Ratios'!AM62/'Implied Productivity Ratios'!$V62</f>
        <v>2.8171847602807736</v>
      </c>
      <c r="AM62">
        <f>'Implied Productivity Ratios'!AN62/'Implied Productivity Ratios'!$V62</f>
        <v>2.9827213287722754</v>
      </c>
      <c r="AN62">
        <f>'Implied Productivity Ratios'!AO62/'Implied Productivity Ratios'!$V62</f>
        <v>3.1500181609178264</v>
      </c>
      <c r="AO62">
        <f>'Implied Productivity Ratios'!AP62/'Implied Productivity Ratios'!$V62</f>
        <v>3.3197032286073851</v>
      </c>
      <c r="AP62">
        <f>'Implied Productivity Ratios'!AQ62/'Implied Productivity Ratios'!$V62</f>
        <v>3.4900343876529645</v>
      </c>
      <c r="AQ62">
        <f>'Implied Productivity Ratios'!AR62/'Implied Productivity Ratios'!$V62</f>
        <v>3.66039250235267</v>
      </c>
      <c r="AR62">
        <f>'Implied Productivity Ratios'!AS62/'Implied Productivity Ratios'!$V62</f>
        <v>3.8310574970981097</v>
      </c>
      <c r="AS62">
        <f>'Implied Productivity Ratios'!AT62/'Implied Productivity Ratios'!$V62</f>
        <v>4.0021678422571236</v>
      </c>
      <c r="AT62">
        <f>'Implied Productivity Ratios'!AU62/'Implied Productivity Ratios'!$V62</f>
        <v>4.1762362341622357</v>
      </c>
      <c r="AU62">
        <f>'Implied Productivity Ratios'!AV62/'Implied Productivity Ratios'!$V62</f>
        <v>4.3524668386304723</v>
      </c>
      <c r="AV62">
        <f>'Implied Productivity Ratios'!AW62/'Implied Productivity Ratios'!$V62</f>
        <v>4.5282285626155172</v>
      </c>
      <c r="AW62">
        <f>'Implied Productivity Ratios'!AX62/'Implied Productivity Ratios'!$V62</f>
        <v>4.7028944967230242</v>
      </c>
      <c r="AX62">
        <f>'Implied Productivity Ratios'!AY62/'Implied Productivity Ratios'!$V62</f>
        <v>4.8751140339312808</v>
      </c>
      <c r="AY62">
        <f>'Implied Productivity Ratios'!AZ62/'Implied Productivity Ratios'!$V62</f>
        <v>5.045466359406066</v>
      </c>
      <c r="AZ62">
        <f>'Implied Productivity Ratios'!BA62/'Implied Productivity Ratios'!$V62</f>
        <v>5.2125762597993983</v>
      </c>
      <c r="BA62">
        <f>'Implied Productivity Ratios'!BB62/'Implied Productivity Ratios'!$V62</f>
        <v>5.3780594377457867</v>
      </c>
      <c r="BB62">
        <f>'Implied Productivity Ratios'!BC62/'Implied Productivity Ratios'!$V62</f>
        <v>5.5411823804434537</v>
      </c>
      <c r="BC62" s="5">
        <f>'Implied Productivity Ratios'!BD62/'Implied Productivity Ratios'!$V62</f>
        <v>5.7088399571875392</v>
      </c>
      <c r="BD62" s="5">
        <f>'Implied Productivity Ratios'!BE62/'Implied Productivity Ratios'!$V62</f>
        <v>5.8764975339316257</v>
      </c>
      <c r="BE62" s="5">
        <f>'Implied Productivity Ratios'!BF62/'Implied Productivity Ratios'!$V62</f>
        <v>6.0441551106757112</v>
      </c>
      <c r="BF62" s="5">
        <f>'Implied Productivity Ratios'!BG62/'Implied Productivity Ratios'!$V62</f>
        <v>6.2118126874197976</v>
      </c>
      <c r="BG62" s="5">
        <f>'Implied Productivity Ratios'!BH62/'Implied Productivity Ratios'!$V62</f>
        <v>6.3794702641638841</v>
      </c>
    </row>
    <row r="63" spans="2:59">
      <c r="B63">
        <v>518</v>
      </c>
      <c r="C63" t="s">
        <v>362</v>
      </c>
      <c r="D63">
        <f>'Implied Productivity Ratios'!E63/'Implied Productivity Ratios'!$V63</f>
        <v>0.33521397068324443</v>
      </c>
      <c r="E63">
        <f>'Implied Productivity Ratios'!F63/'Implied Productivity Ratios'!$V63</f>
        <v>0.38165412349187333</v>
      </c>
      <c r="F63">
        <f>'Implied Productivity Ratios'!G63/'Implied Productivity Ratios'!$V63</f>
        <v>0.27310309604832739</v>
      </c>
      <c r="G63">
        <f>'Implied Productivity Ratios'!H63/'Implied Productivity Ratios'!$V63</f>
        <v>0.32004920468910902</v>
      </c>
      <c r="H63">
        <f>'Implied Productivity Ratios'!I63/'Implied Productivity Ratios'!$V63</f>
        <v>0.35905197942730011</v>
      </c>
      <c r="I63">
        <f>'Implied Productivity Ratios'!J63/'Implied Productivity Ratios'!$V63</f>
        <v>0.43875932774867193</v>
      </c>
      <c r="J63">
        <f>'Implied Productivity Ratios'!K63/'Implied Productivity Ratios'!$V63</f>
        <v>0.4735559649705357</v>
      </c>
      <c r="K63">
        <f>'Implied Productivity Ratios'!L63/'Implied Productivity Ratios'!$V63</f>
        <v>0.4016117933214261</v>
      </c>
      <c r="L63">
        <f>'Implied Productivity Ratios'!M63/'Implied Productivity Ratios'!$V63</f>
        <v>0.43095989639102006</v>
      </c>
      <c r="M63">
        <f>'Implied Productivity Ratios'!N63/'Implied Productivity Ratios'!$V63</f>
        <v>0.45932800170772925</v>
      </c>
      <c r="N63">
        <f>'Implied Productivity Ratios'!O63/'Implied Productivity Ratios'!$V63</f>
        <v>0.44486624292853438</v>
      </c>
      <c r="O63">
        <f>'Implied Productivity Ratios'!P63/'Implied Productivity Ratios'!$V63</f>
        <v>0.50057159201433521</v>
      </c>
      <c r="P63">
        <f>'Implied Productivity Ratios'!Q63/'Implied Productivity Ratios'!$V63</f>
        <v>0.52111638816622396</v>
      </c>
      <c r="Q63">
        <f>'Implied Productivity Ratios'!R63/'Implied Productivity Ratios'!$V63</f>
        <v>0.57352138110753337</v>
      </c>
      <c r="R63">
        <f>'Implied Productivity Ratios'!S63/'Implied Productivity Ratios'!$V63</f>
        <v>0.66440623076571648</v>
      </c>
      <c r="S63">
        <f>'Implied Productivity Ratios'!T63/'Implied Productivity Ratios'!$V63</f>
        <v>0.74211727576566422</v>
      </c>
      <c r="T63">
        <f>'Implied Productivity Ratios'!U63/'Implied Productivity Ratios'!$V63</f>
        <v>0.84336136800205364</v>
      </c>
      <c r="U63">
        <f>'Implied Productivity Ratios'!V63/'Implied Productivity Ratios'!$V63</f>
        <v>1</v>
      </c>
      <c r="V63">
        <f>'Implied Productivity Ratios'!W63/'Implied Productivity Ratios'!$V63</f>
        <v>1.1344885063458889</v>
      </c>
      <c r="W63">
        <f>'Implied Productivity Ratios'!X63/'Implied Productivity Ratios'!$V63</f>
        <v>1.2716685864188166</v>
      </c>
      <c r="X63">
        <f>'Implied Productivity Ratios'!Y63/'Implied Productivity Ratios'!$V63</f>
        <v>1.2646243473059007</v>
      </c>
      <c r="Y63">
        <f>'Implied Productivity Ratios'!Z63/'Implied Productivity Ratios'!$V63</f>
        <v>1.2186130926374226</v>
      </c>
      <c r="Z63">
        <f>'Implied Productivity Ratios'!AA63/'Implied Productivity Ratios'!$V63</f>
        <v>1.1830117162013423</v>
      </c>
      <c r="AA63">
        <f>'Implied Productivity Ratios'!AB63/'Implied Productivity Ratios'!$V63</f>
        <v>1.1576450393002069</v>
      </c>
      <c r="AB63">
        <f>'Implied Productivity Ratios'!AC63/'Implied Productivity Ratios'!$V63</f>
        <v>1.1393172952267829</v>
      </c>
      <c r="AC63">
        <f>'Implied Productivity Ratios'!AD63/'Implied Productivity Ratios'!$V63</f>
        <v>1.1260138756864779</v>
      </c>
      <c r="AD63">
        <f>'Implied Productivity Ratios'!AE63/'Implied Productivity Ratios'!$V63</f>
        <v>1.1139940096761438</v>
      </c>
      <c r="AE63">
        <f>'Implied Productivity Ratios'!AF63/'Implied Productivity Ratios'!$V63</f>
        <v>1.1046347135924275</v>
      </c>
      <c r="AF63">
        <f>'Implied Productivity Ratios'!AG63/'Implied Productivity Ratios'!$V63</f>
        <v>1.096246706573996</v>
      </c>
      <c r="AG63">
        <f>'Implied Productivity Ratios'!AH63/'Implied Productivity Ratios'!$V63</f>
        <v>1.0866616364230599</v>
      </c>
      <c r="AH63">
        <f>'Implied Productivity Ratios'!AI63/'Implied Productivity Ratios'!$V63</f>
        <v>1.0768838362501858</v>
      </c>
      <c r="AI63">
        <f>'Implied Productivity Ratios'!AJ63/'Implied Productivity Ratios'!$V63</f>
        <v>1.0698518353434943</v>
      </c>
      <c r="AJ63">
        <f>'Implied Productivity Ratios'!AK63/'Implied Productivity Ratios'!$V63</f>
        <v>1.0656006524222807</v>
      </c>
      <c r="AK63">
        <f>'Implied Productivity Ratios'!AL63/'Implied Productivity Ratios'!$V63</f>
        <v>1.0629063045309373</v>
      </c>
      <c r="AL63">
        <f>'Implied Productivity Ratios'!AM63/'Implied Productivity Ratios'!$V63</f>
        <v>1.0625746042215638</v>
      </c>
      <c r="AM63">
        <f>'Implied Productivity Ratios'!AN63/'Implied Productivity Ratios'!$V63</f>
        <v>1.0639906010957405</v>
      </c>
      <c r="AN63">
        <f>'Implied Productivity Ratios'!AO63/'Implied Productivity Ratios'!$V63</f>
        <v>1.06613208630989</v>
      </c>
      <c r="AO63">
        <f>'Implied Productivity Ratios'!AP63/'Implied Productivity Ratios'!$V63</f>
        <v>1.0693866340592308</v>
      </c>
      <c r="AP63">
        <f>'Implied Productivity Ratios'!AQ63/'Implied Productivity Ratios'!$V63</f>
        <v>1.0734927857016938</v>
      </c>
      <c r="AQ63">
        <f>'Implied Productivity Ratios'!AR63/'Implied Productivity Ratios'!$V63</f>
        <v>1.0784631181155586</v>
      </c>
      <c r="AR63">
        <f>'Implied Productivity Ratios'!AS63/'Implied Productivity Ratios'!$V63</f>
        <v>1.0846049044495116</v>
      </c>
      <c r="AS63">
        <f>'Implied Productivity Ratios'!AT63/'Implied Productivity Ratios'!$V63</f>
        <v>1.0921409490645255</v>
      </c>
      <c r="AT63">
        <f>'Implied Productivity Ratios'!AU63/'Implied Productivity Ratios'!$V63</f>
        <v>1.1019498627490318</v>
      </c>
      <c r="AU63">
        <f>'Implied Productivity Ratios'!AV63/'Implied Productivity Ratios'!$V63</f>
        <v>1.1139257311665653</v>
      </c>
      <c r="AV63">
        <f>'Implied Productivity Ratios'!AW63/'Implied Productivity Ratios'!$V63</f>
        <v>1.1275640770134185</v>
      </c>
      <c r="AW63">
        <f>'Implied Productivity Ratios'!AX63/'Implied Productivity Ratios'!$V63</f>
        <v>1.1429139134786652</v>
      </c>
      <c r="AX63">
        <f>'Implied Productivity Ratios'!AY63/'Implied Productivity Ratios'!$V63</f>
        <v>1.1598317274224055</v>
      </c>
      <c r="AY63">
        <f>'Implied Productivity Ratios'!AZ63/'Implied Productivity Ratios'!$V63</f>
        <v>1.1786969640398706</v>
      </c>
      <c r="AZ63">
        <f>'Implied Productivity Ratios'!BA63/'Implied Productivity Ratios'!$V63</f>
        <v>1.1994115525873519</v>
      </c>
      <c r="BA63">
        <f>'Implied Productivity Ratios'!BB63/'Implied Productivity Ratios'!$V63</f>
        <v>1.2225573765629216</v>
      </c>
      <c r="BB63">
        <f>'Implied Productivity Ratios'!BC63/'Implied Productivity Ratios'!$V63</f>
        <v>1.2481959385299677</v>
      </c>
      <c r="BC63" s="5">
        <f>'Implied Productivity Ratios'!BD63/'Implied Productivity Ratios'!$V63</f>
        <v>1.2692523435402281</v>
      </c>
      <c r="BD63" s="5">
        <f>'Implied Productivity Ratios'!BE63/'Implied Productivity Ratios'!$V63</f>
        <v>1.2903087485504887</v>
      </c>
      <c r="BE63" s="5">
        <f>'Implied Productivity Ratios'!BF63/'Implied Productivity Ratios'!$V63</f>
        <v>1.3113651535607491</v>
      </c>
      <c r="BF63" s="5">
        <f>'Implied Productivity Ratios'!BG63/'Implied Productivity Ratios'!$V63</f>
        <v>1.3324215585710095</v>
      </c>
      <c r="BG63" s="5">
        <f>'Implied Productivity Ratios'!BH63/'Implied Productivity Ratios'!$V63</f>
        <v>1.3534779635812701</v>
      </c>
    </row>
    <row r="64" spans="2:59">
      <c r="B64">
        <v>519</v>
      </c>
      <c r="C64" t="s">
        <v>366</v>
      </c>
      <c r="D64">
        <f>'Implied Productivity Ratios'!E64/'Implied Productivity Ratios'!$V64</f>
        <v>0.25964830023628421</v>
      </c>
      <c r="E64">
        <f>'Implied Productivity Ratios'!F64/'Implied Productivity Ratios'!$V64</f>
        <v>0.31749132870688956</v>
      </c>
      <c r="F64">
        <f>'Implied Productivity Ratios'!G64/'Implied Productivity Ratios'!$V64</f>
        <v>0.40422691304864022</v>
      </c>
      <c r="G64">
        <f>'Implied Productivity Ratios'!H64/'Implied Productivity Ratios'!$V64</f>
        <v>0.51894788599660957</v>
      </c>
      <c r="H64">
        <f>'Implied Productivity Ratios'!I64/'Implied Productivity Ratios'!$V64</f>
        <v>0.52710620784665607</v>
      </c>
      <c r="I64">
        <f>'Implied Productivity Ratios'!J64/'Implied Productivity Ratios'!$V64</f>
        <v>0.56794832475305468</v>
      </c>
      <c r="J64">
        <f>'Implied Productivity Ratios'!K64/'Implied Productivity Ratios'!$V64</f>
        <v>0.63860887510247666</v>
      </c>
      <c r="K64">
        <f>'Implied Productivity Ratios'!L64/'Implied Productivity Ratios'!$V64</f>
        <v>0.59359182306832303</v>
      </c>
      <c r="L64">
        <f>'Implied Productivity Ratios'!M64/'Implied Productivity Ratios'!$V64</f>
        <v>0.77278314560526218</v>
      </c>
      <c r="M64">
        <f>'Implied Productivity Ratios'!N64/'Implied Productivity Ratios'!$V64</f>
        <v>0.76863398236398683</v>
      </c>
      <c r="N64">
        <f>'Implied Productivity Ratios'!O64/'Implied Productivity Ratios'!$V64</f>
        <v>0.8265119680765689</v>
      </c>
      <c r="O64">
        <f>'Implied Productivity Ratios'!P64/'Implied Productivity Ratios'!$V64</f>
        <v>0.85212177292210067</v>
      </c>
      <c r="P64">
        <f>'Implied Productivity Ratios'!Q64/'Implied Productivity Ratios'!$V64</f>
        <v>0.86575541992121674</v>
      </c>
      <c r="Q64">
        <f>'Implied Productivity Ratios'!R64/'Implied Productivity Ratios'!$V64</f>
        <v>0.85795522040913408</v>
      </c>
      <c r="R64">
        <f>'Implied Productivity Ratios'!S64/'Implied Productivity Ratios'!$V64</f>
        <v>0.93890428872952614</v>
      </c>
      <c r="S64">
        <f>'Implied Productivity Ratios'!T64/'Implied Productivity Ratios'!$V64</f>
        <v>1.0194678531926968</v>
      </c>
      <c r="T64">
        <f>'Implied Productivity Ratios'!U64/'Implied Productivity Ratios'!$V64</f>
        <v>1.1151618145785156</v>
      </c>
      <c r="U64">
        <f>'Implied Productivity Ratios'!V64/'Implied Productivity Ratios'!$V64</f>
        <v>1</v>
      </c>
      <c r="V64">
        <f>'Implied Productivity Ratios'!W64/'Implied Productivity Ratios'!$V64</f>
        <v>1.1903617435607088</v>
      </c>
      <c r="W64">
        <f>'Implied Productivity Ratios'!X64/'Implied Productivity Ratios'!$V64</f>
        <v>1.3548407094631474</v>
      </c>
      <c r="X64">
        <f>'Implied Productivity Ratios'!Y64/'Implied Productivity Ratios'!$V64</f>
        <v>1.3653831907086664</v>
      </c>
      <c r="Y64">
        <f>'Implied Productivity Ratios'!Z64/'Implied Productivity Ratios'!$V64</f>
        <v>1.3464523612821213</v>
      </c>
      <c r="Z64">
        <f>'Implied Productivity Ratios'!AA64/'Implied Productivity Ratios'!$V64</f>
        <v>1.3384121544147147</v>
      </c>
      <c r="AA64">
        <f>'Implied Productivity Ratios'!AB64/'Implied Productivity Ratios'!$V64</f>
        <v>1.3410050276483312</v>
      </c>
      <c r="AB64">
        <f>'Implied Productivity Ratios'!AC64/'Implied Productivity Ratios'!$V64</f>
        <v>1.350812993212744</v>
      </c>
      <c r="AC64">
        <f>'Implied Productivity Ratios'!AD64/'Implied Productivity Ratios'!$V64</f>
        <v>1.3656052601096451</v>
      </c>
      <c r="AD64">
        <f>'Implied Productivity Ratios'!AE64/'Implied Productivity Ratios'!$V64</f>
        <v>1.3803523234064485</v>
      </c>
      <c r="AE64">
        <f>'Implied Productivity Ratios'!AF64/'Implied Productivity Ratios'!$V64</f>
        <v>1.3971277353249978</v>
      </c>
      <c r="AF64">
        <f>'Implied Productivity Ratios'!AG64/'Implied Productivity Ratios'!$V64</f>
        <v>1.41397026130696</v>
      </c>
      <c r="AG64">
        <f>'Implied Productivity Ratios'!AH64/'Implied Productivity Ratios'!$V64</f>
        <v>1.4270826017948981</v>
      </c>
      <c r="AH64">
        <f>'Implied Productivity Ratios'!AI64/'Implied Productivity Ratios'!$V64</f>
        <v>1.4377560632496402</v>
      </c>
      <c r="AI64">
        <f>'Implied Productivity Ratios'!AJ64/'Implied Productivity Ratios'!$V64</f>
        <v>1.4508854805189457</v>
      </c>
      <c r="AJ64">
        <f>'Implied Productivity Ratios'!AK64/'Implied Productivity Ratios'!$V64</f>
        <v>1.4667257593411656</v>
      </c>
      <c r="AK64">
        <f>'Implied Productivity Ratios'!AL64/'Implied Productivity Ratios'!$V64</f>
        <v>1.4835755236241137</v>
      </c>
      <c r="AL64">
        <f>'Implied Productivity Ratios'!AM64/'Implied Productivity Ratios'!$V64</f>
        <v>1.5030141807270136</v>
      </c>
      <c r="AM64">
        <f>'Implied Productivity Ratios'!AN64/'Implied Productivity Ratios'!$V64</f>
        <v>1.5242244332443349</v>
      </c>
      <c r="AN64">
        <f>'Implied Productivity Ratios'!AO64/'Implied Productivity Ratios'!$V64</f>
        <v>1.5456889195775185</v>
      </c>
      <c r="AO64">
        <f>'Implied Productivity Ratios'!AP64/'Implied Productivity Ratios'!$V64</f>
        <v>1.5679111613284495</v>
      </c>
      <c r="AP64">
        <f>'Implied Productivity Ratios'!AQ64/'Implied Productivity Ratios'!$V64</f>
        <v>1.5908232281371322</v>
      </c>
      <c r="AQ64">
        <f>'Implied Productivity Ratios'!AR64/'Implied Productivity Ratios'!$V64</f>
        <v>1.6144253264987891</v>
      </c>
      <c r="AR64">
        <f>'Implied Productivity Ratios'!AS64/'Implied Productivity Ratios'!$V64</f>
        <v>1.6392536792652559</v>
      </c>
      <c r="AS64">
        <f>'Implied Productivity Ratios'!AT64/'Implied Productivity Ratios'!$V64</f>
        <v>1.6656318360032247</v>
      </c>
      <c r="AT64">
        <f>'Implied Productivity Ratios'!AU64/'Implied Productivity Ratios'!$V64</f>
        <v>1.6950405312106234</v>
      </c>
      <c r="AU64">
        <f>'Implied Productivity Ratios'!AV64/'Implied Productivity Ratios'!$V64</f>
        <v>1.7275341235679296</v>
      </c>
      <c r="AV64">
        <f>'Implied Productivity Ratios'!AW64/'Implied Productivity Ratios'!$V64</f>
        <v>1.7624534691087854</v>
      </c>
      <c r="AW64">
        <f>'Implied Productivity Ratios'!AX64/'Implied Productivity Ratios'!$V64</f>
        <v>1.7998863972926031</v>
      </c>
      <c r="AX64">
        <f>'Implied Productivity Ratios'!AY64/'Implied Productivity Ratios'!$V64</f>
        <v>1.839586396891643</v>
      </c>
      <c r="AY64">
        <f>'Implied Productivity Ratios'!AZ64/'Implied Productivity Ratios'!$V64</f>
        <v>1.882296459070383</v>
      </c>
      <c r="AZ64">
        <f>'Implied Productivity Ratios'!BA64/'Implied Productivity Ratios'!$V64</f>
        <v>1.9282411582666359</v>
      </c>
      <c r="BA64">
        <f>'Implied Productivity Ratios'!BB64/'Implied Productivity Ratios'!$V64</f>
        <v>1.9782038234910257</v>
      </c>
      <c r="BB64">
        <f>'Implied Productivity Ratios'!BC64/'Implied Productivity Ratios'!$V64</f>
        <v>2.0322714206594572</v>
      </c>
      <c r="BC64" s="5">
        <f>'Implied Productivity Ratios'!BD64/'Implied Productivity Ratios'!$V64</f>
        <v>2.0787484253328281</v>
      </c>
      <c r="BD64" s="5">
        <f>'Implied Productivity Ratios'!BE64/'Implied Productivity Ratios'!$V64</f>
        <v>2.125225430006199</v>
      </c>
      <c r="BE64" s="5">
        <f>'Implied Productivity Ratios'!BF64/'Implied Productivity Ratios'!$V64</f>
        <v>2.1717024346795699</v>
      </c>
      <c r="BF64" s="5">
        <f>'Implied Productivity Ratios'!BG64/'Implied Productivity Ratios'!$V64</f>
        <v>2.2181794393529408</v>
      </c>
      <c r="BG64" s="5">
        <f>'Implied Productivity Ratios'!BH64/'Implied Productivity Ratios'!$V64</f>
        <v>2.2646564440263117</v>
      </c>
    </row>
    <row r="65" spans="2:59">
      <c r="B65">
        <v>521</v>
      </c>
      <c r="C65" t="s">
        <v>370</v>
      </c>
      <c r="D65">
        <f>'Implied Productivity Ratios'!E65/'Implied Productivity Ratios'!$V65</f>
        <v>0.68195241221525171</v>
      </c>
      <c r="E65">
        <f>'Implied Productivity Ratios'!F65/'Implied Productivity Ratios'!$V65</f>
        <v>0.6534687821776376</v>
      </c>
      <c r="F65">
        <f>'Implied Productivity Ratios'!G65/'Implied Productivity Ratios'!$V65</f>
        <v>0.63239720959734369</v>
      </c>
      <c r="G65">
        <f>'Implied Productivity Ratios'!H65/'Implied Productivity Ratios'!$V65</f>
        <v>0.8026884005438305</v>
      </c>
      <c r="H65">
        <f>'Implied Productivity Ratios'!I65/'Implied Productivity Ratios'!$V65</f>
        <v>1.1641945835190177</v>
      </c>
      <c r="I65">
        <f>'Implied Productivity Ratios'!J65/'Implied Productivity Ratios'!$V65</f>
        <v>1.1060590423670149</v>
      </c>
      <c r="J65">
        <f>'Implied Productivity Ratios'!K65/'Implied Productivity Ratios'!$V65</f>
        <v>1.1486242306572096</v>
      </c>
      <c r="K65">
        <f>'Implied Productivity Ratios'!L65/'Implied Productivity Ratios'!$V65</f>
        <v>1.1884682747309281</v>
      </c>
      <c r="L65">
        <f>'Implied Productivity Ratios'!M65/'Implied Productivity Ratios'!$V65</f>
        <v>1.2035049248554093</v>
      </c>
      <c r="M65">
        <f>'Implied Productivity Ratios'!N65/'Implied Productivity Ratios'!$V65</f>
        <v>1.2691320618703268</v>
      </c>
      <c r="N65">
        <f>'Implied Productivity Ratios'!O65/'Implied Productivity Ratios'!$V65</f>
        <v>1.2239968755369128</v>
      </c>
      <c r="O65">
        <f>'Implied Productivity Ratios'!P65/'Implied Productivity Ratios'!$V65</f>
        <v>1.1824461419460857</v>
      </c>
      <c r="P65">
        <f>'Implied Productivity Ratios'!Q65/'Implied Productivity Ratios'!$V65</f>
        <v>1.1119673818902271</v>
      </c>
      <c r="Q65">
        <f>'Implied Productivity Ratios'!R65/'Implied Productivity Ratios'!$V65</f>
        <v>1.0637790567313243</v>
      </c>
      <c r="R65">
        <f>'Implied Productivity Ratios'!S65/'Implied Productivity Ratios'!$V65</f>
        <v>1.0774139405001093</v>
      </c>
      <c r="S65">
        <f>'Implied Productivity Ratios'!T65/'Implied Productivity Ratios'!$V65</f>
        <v>1.0853943183859431</v>
      </c>
      <c r="T65">
        <f>'Implied Productivity Ratios'!U65/'Implied Productivity Ratios'!$V65</f>
        <v>1.0835352194087671</v>
      </c>
      <c r="U65">
        <f>'Implied Productivity Ratios'!V65/'Implied Productivity Ratios'!$V65</f>
        <v>1</v>
      </c>
      <c r="V65">
        <f>'Implied Productivity Ratios'!W65/'Implied Productivity Ratios'!$V65</f>
        <v>1.0054699136678646</v>
      </c>
      <c r="W65">
        <f>'Implied Productivity Ratios'!X65/'Implied Productivity Ratios'!$V65</f>
        <v>1.0809158342649647</v>
      </c>
      <c r="X65">
        <f>'Implied Productivity Ratios'!Y65/'Implied Productivity Ratios'!$V65</f>
        <v>1.080427142139045</v>
      </c>
      <c r="Y65">
        <f>'Implied Productivity Ratios'!Z65/'Implied Productivity Ratios'!$V65</f>
        <v>1.0695323752879098</v>
      </c>
      <c r="Z65">
        <f>'Implied Productivity Ratios'!AA65/'Implied Productivity Ratios'!$V65</f>
        <v>1.0619227529943387</v>
      </c>
      <c r="AA65">
        <f>'Implied Productivity Ratios'!AB65/'Implied Productivity Ratios'!$V65</f>
        <v>1.0538272327945639</v>
      </c>
      <c r="AB65">
        <f>'Implied Productivity Ratios'!AC65/'Implied Productivity Ratios'!$V65</f>
        <v>1.0464324980766158</v>
      </c>
      <c r="AC65">
        <f>'Implied Productivity Ratios'!AD65/'Implied Productivity Ratios'!$V65</f>
        <v>1.0408363399242615</v>
      </c>
      <c r="AD65">
        <f>'Implied Productivity Ratios'!AE65/'Implied Productivity Ratios'!$V65</f>
        <v>1.0356046813159667</v>
      </c>
      <c r="AE65">
        <f>'Implied Productivity Ratios'!AF65/'Implied Productivity Ratios'!$V65</f>
        <v>1.0309319082674915</v>
      </c>
      <c r="AF65">
        <f>'Implied Productivity Ratios'!AG65/'Implied Productivity Ratios'!$V65</f>
        <v>1.0265324168426648</v>
      </c>
      <c r="AG65">
        <f>'Implied Productivity Ratios'!AH65/'Implied Productivity Ratios'!$V65</f>
        <v>1.0212008052165638</v>
      </c>
      <c r="AH65">
        <f>'Implied Productivity Ratios'!AI65/'Implied Productivity Ratios'!$V65</f>
        <v>1.0149227873649509</v>
      </c>
      <c r="AI65">
        <f>'Implied Productivity Ratios'!AJ65/'Implied Productivity Ratios'!$V65</f>
        <v>1.0102591852906766</v>
      </c>
      <c r="AJ65">
        <f>'Implied Productivity Ratios'!AK65/'Implied Productivity Ratios'!$V65</f>
        <v>1.0082659999075587</v>
      </c>
      <c r="AK65">
        <f>'Implied Productivity Ratios'!AL65/'Implied Productivity Ratios'!$V65</f>
        <v>1.0066817091543627</v>
      </c>
      <c r="AL65">
        <f>'Implied Productivity Ratios'!AM65/'Implied Productivity Ratios'!$V65</f>
        <v>1.0047740763352941</v>
      </c>
      <c r="AM65">
        <f>'Implied Productivity Ratios'!AN65/'Implied Productivity Ratios'!$V65</f>
        <v>1.0032824832374403</v>
      </c>
      <c r="AN65">
        <f>'Implied Productivity Ratios'!AO65/'Implied Productivity Ratios'!$V65</f>
        <v>1.0019782058546893</v>
      </c>
      <c r="AO65">
        <f>'Implied Productivity Ratios'!AP65/'Implied Productivity Ratios'!$V65</f>
        <v>1.0014375870059182</v>
      </c>
      <c r="AP65">
        <f>'Implied Productivity Ratios'!AQ65/'Implied Productivity Ratios'!$V65</f>
        <v>1.0019954194683784</v>
      </c>
      <c r="AQ65">
        <f>'Implied Productivity Ratios'!AR65/'Implied Productivity Ratios'!$V65</f>
        <v>1.0036250664310433</v>
      </c>
      <c r="AR65">
        <f>'Implied Productivity Ratios'!AS65/'Implied Productivity Ratios'!$V65</f>
        <v>1.0058773749363887</v>
      </c>
      <c r="AS65">
        <f>'Implied Productivity Ratios'!AT65/'Implied Productivity Ratios'!$V65</f>
        <v>1.0088617491890592</v>
      </c>
      <c r="AT65">
        <f>'Implied Productivity Ratios'!AU65/'Implied Productivity Ratios'!$V65</f>
        <v>1.0130957318112668</v>
      </c>
      <c r="AU65">
        <f>'Implied Productivity Ratios'!AV65/'Implied Productivity Ratios'!$V65</f>
        <v>1.0185577988036369</v>
      </c>
      <c r="AV65">
        <f>'Implied Productivity Ratios'!AW65/'Implied Productivity Ratios'!$V65</f>
        <v>1.0245220125086383</v>
      </c>
      <c r="AW65">
        <f>'Implied Productivity Ratios'!AX65/'Implied Productivity Ratios'!$V65</f>
        <v>1.0311198401378505</v>
      </c>
      <c r="AX65">
        <f>'Implied Productivity Ratios'!AY65/'Implied Productivity Ratios'!$V65</f>
        <v>1.0383049026992814</v>
      </c>
      <c r="AY65">
        <f>'Implied Productivity Ratios'!AZ65/'Implied Productivity Ratios'!$V65</f>
        <v>1.0464617660201538</v>
      </c>
      <c r="AZ65">
        <f>'Implied Productivity Ratios'!BA65/'Implied Productivity Ratios'!$V65</f>
        <v>1.0560910874450471</v>
      </c>
      <c r="BA65">
        <f>'Implied Productivity Ratios'!BB65/'Implied Productivity Ratios'!$V65</f>
        <v>1.0670202335260373</v>
      </c>
      <c r="BB65">
        <f>'Implied Productivity Ratios'!BC65/'Implied Productivity Ratios'!$V65</f>
        <v>1.0794039806903981</v>
      </c>
      <c r="BC65" s="5">
        <f>'Implied Productivity Ratios'!BD65/'Implied Productivity Ratios'!$V65</f>
        <v>1.0890608088009077</v>
      </c>
      <c r="BD65" s="5">
        <f>'Implied Productivity Ratios'!BE65/'Implied Productivity Ratios'!$V65</f>
        <v>1.0987176369114173</v>
      </c>
      <c r="BE65" s="5">
        <f>'Implied Productivity Ratios'!BF65/'Implied Productivity Ratios'!$V65</f>
        <v>1.1083744650219269</v>
      </c>
      <c r="BF65" s="5">
        <f>'Implied Productivity Ratios'!BG65/'Implied Productivity Ratios'!$V65</f>
        <v>1.1180312931324365</v>
      </c>
      <c r="BG65" s="5">
        <f>'Implied Productivity Ratios'!BH65/'Implied Productivity Ratios'!$V65</f>
        <v>1.1276881212429462</v>
      </c>
    </row>
    <row r="66" spans="2:59">
      <c r="B66">
        <v>522</v>
      </c>
      <c r="C66" t="s">
        <v>374</v>
      </c>
      <c r="D66">
        <f>'Implied Productivity Ratios'!E66/'Implied Productivity Ratios'!$V66</f>
        <v>0.83523179852541518</v>
      </c>
      <c r="E66">
        <f>'Implied Productivity Ratios'!F66/'Implied Productivity Ratios'!$V66</f>
        <v>0.80500903384326039</v>
      </c>
      <c r="F66">
        <f>'Implied Productivity Ratios'!G66/'Implied Productivity Ratios'!$V66</f>
        <v>0.75662880596481241</v>
      </c>
      <c r="G66">
        <f>'Implied Productivity Ratios'!H66/'Implied Productivity Ratios'!$V66</f>
        <v>0.85020962954556301</v>
      </c>
      <c r="H66">
        <f>'Implied Productivity Ratios'!I66/'Implied Productivity Ratios'!$V66</f>
        <v>1.0929940120209412</v>
      </c>
      <c r="I66">
        <f>'Implied Productivity Ratios'!J66/'Implied Productivity Ratios'!$V66</f>
        <v>1.023431529864089</v>
      </c>
      <c r="J66">
        <f>'Implied Productivity Ratios'!K66/'Implied Productivity Ratios'!$V66</f>
        <v>1.1295657670087871</v>
      </c>
      <c r="K66">
        <f>'Implied Productivity Ratios'!L66/'Implied Productivity Ratios'!$V66</f>
        <v>1.2054143662516503</v>
      </c>
      <c r="L66">
        <f>'Implied Productivity Ratios'!M66/'Implied Productivity Ratios'!$V66</f>
        <v>1.1041180141821898</v>
      </c>
      <c r="M66">
        <f>'Implied Productivity Ratios'!N66/'Implied Productivity Ratios'!$V66</f>
        <v>1.1580046534656889</v>
      </c>
      <c r="N66">
        <f>'Implied Productivity Ratios'!O66/'Implied Productivity Ratios'!$V66</f>
        <v>1.1394627902253001</v>
      </c>
      <c r="O66">
        <f>'Implied Productivity Ratios'!P66/'Implied Productivity Ratios'!$V66</f>
        <v>1.0730271410561778</v>
      </c>
      <c r="P66">
        <f>'Implied Productivity Ratios'!Q66/'Implied Productivity Ratios'!$V66</f>
        <v>1.007163423805975</v>
      </c>
      <c r="Q66">
        <f>'Implied Productivity Ratios'!R66/'Implied Productivity Ratios'!$V66</f>
        <v>0.96720461296292626</v>
      </c>
      <c r="R66">
        <f>'Implied Productivity Ratios'!S66/'Implied Productivity Ratios'!$V66</f>
        <v>1.0113784637718652</v>
      </c>
      <c r="S66">
        <f>'Implied Productivity Ratios'!T66/'Implied Productivity Ratios'!$V66</f>
        <v>1.0793936254178149</v>
      </c>
      <c r="T66">
        <f>'Implied Productivity Ratios'!U66/'Implied Productivity Ratios'!$V66</f>
        <v>1.1159944840817504</v>
      </c>
      <c r="U66">
        <f>'Implied Productivity Ratios'!V66/'Implied Productivity Ratios'!$V66</f>
        <v>1</v>
      </c>
      <c r="V66">
        <f>'Implied Productivity Ratios'!W66/'Implied Productivity Ratios'!$V66</f>
        <v>0.99619668805233041</v>
      </c>
      <c r="W66">
        <f>'Implied Productivity Ratios'!X66/'Implied Productivity Ratios'!$V66</f>
        <v>1.0470470301341319</v>
      </c>
      <c r="X66">
        <f>'Implied Productivity Ratios'!Y66/'Implied Productivity Ratios'!$V66</f>
        <v>1.0560705276154037</v>
      </c>
      <c r="Y66">
        <f>'Implied Productivity Ratios'!Z66/'Implied Productivity Ratios'!$V66</f>
        <v>1.0620660949709444</v>
      </c>
      <c r="Z66">
        <f>'Implied Productivity Ratios'!AA66/'Implied Productivity Ratios'!$V66</f>
        <v>1.0707311732246849</v>
      </c>
      <c r="AA66">
        <f>'Implied Productivity Ratios'!AB66/'Implied Productivity Ratios'!$V66</f>
        <v>1.0782259819423585</v>
      </c>
      <c r="AB66">
        <f>'Implied Productivity Ratios'!AC66/'Implied Productivity Ratios'!$V66</f>
        <v>1.085909748292059</v>
      </c>
      <c r="AC66">
        <f>'Implied Productivity Ratios'!AD66/'Implied Productivity Ratios'!$V66</f>
        <v>1.0948899801711485</v>
      </c>
      <c r="AD66">
        <f>'Implied Productivity Ratios'!AE66/'Implied Productivity Ratios'!$V66</f>
        <v>1.1036338265549022</v>
      </c>
      <c r="AE66">
        <f>'Implied Productivity Ratios'!AF66/'Implied Productivity Ratios'!$V66</f>
        <v>1.1124594246494457</v>
      </c>
      <c r="AF66">
        <f>'Implied Productivity Ratios'!AG66/'Implied Productivity Ratios'!$V66</f>
        <v>1.1210503952980335</v>
      </c>
      <c r="AG66">
        <f>'Implied Productivity Ratios'!AH66/'Implied Productivity Ratios'!$V66</f>
        <v>1.1279859868048343</v>
      </c>
      <c r="AH66">
        <f>'Implied Productivity Ratios'!AI66/'Implied Productivity Ratios'!$V66</f>
        <v>1.1333248607914366</v>
      </c>
      <c r="AI66">
        <f>'Implied Productivity Ratios'!AJ66/'Implied Productivity Ratios'!$V66</f>
        <v>1.1399156039266678</v>
      </c>
      <c r="AJ66">
        <f>'Implied Productivity Ratios'!AK66/'Implied Productivity Ratios'!$V66</f>
        <v>1.1490782140217495</v>
      </c>
      <c r="AK66">
        <f>'Implied Productivity Ratios'!AL66/'Implied Productivity Ratios'!$V66</f>
        <v>1.1581675132792757</v>
      </c>
      <c r="AL66">
        <f>'Implied Productivity Ratios'!AM66/'Implied Productivity Ratios'!$V66</f>
        <v>1.1663180367568056</v>
      </c>
      <c r="AM66">
        <f>'Implied Productivity Ratios'!AN66/'Implied Productivity Ratios'!$V66</f>
        <v>1.1743321178174708</v>
      </c>
      <c r="AN66">
        <f>'Implied Productivity Ratios'!AO66/'Implied Productivity Ratios'!$V66</f>
        <v>1.1819955686428634</v>
      </c>
      <c r="AO66">
        <f>'Implied Productivity Ratios'!AP66/'Implied Productivity Ratios'!$V66</f>
        <v>1.1899471390059</v>
      </c>
      <c r="AP66">
        <f>'Implied Productivity Ratios'!AQ66/'Implied Productivity Ratios'!$V66</f>
        <v>1.198703356542447</v>
      </c>
      <c r="AQ66">
        <f>'Implied Productivity Ratios'!AR66/'Implied Productivity Ratios'!$V66</f>
        <v>1.2082226150586921</v>
      </c>
      <c r="AR66">
        <f>'Implied Productivity Ratios'!AS66/'Implied Productivity Ratios'!$V66</f>
        <v>1.2179789514545285</v>
      </c>
      <c r="AS66">
        <f>'Implied Productivity Ratios'!AT66/'Implied Productivity Ratios'!$V66</f>
        <v>1.2280052033506805</v>
      </c>
      <c r="AT66">
        <f>'Implied Productivity Ratios'!AU66/'Implied Productivity Ratios'!$V66</f>
        <v>1.239062883828441</v>
      </c>
      <c r="AU66">
        <f>'Implied Productivity Ratios'!AV66/'Implied Productivity Ratios'!$V66</f>
        <v>1.2510407840055167</v>
      </c>
      <c r="AV66">
        <f>'Implied Productivity Ratios'!AW66/'Implied Productivity Ratios'!$V66</f>
        <v>1.2630663471569867</v>
      </c>
      <c r="AW66">
        <f>'Implied Productivity Ratios'!AX66/'Implied Productivity Ratios'!$V66</f>
        <v>1.2752654518798217</v>
      </c>
      <c r="AX66">
        <f>'Implied Productivity Ratios'!AY66/'Implied Productivity Ratios'!$V66</f>
        <v>1.2875823268845867</v>
      </c>
      <c r="AY66">
        <f>'Implied Productivity Ratios'!AZ66/'Implied Productivity Ratios'!$V66</f>
        <v>1.3005194784876182</v>
      </c>
      <c r="AZ66">
        <f>'Implied Productivity Ratios'!BA66/'Implied Productivity Ratios'!$V66</f>
        <v>1.3146827082214285</v>
      </c>
      <c r="BA66">
        <f>'Implied Productivity Ratios'!BB66/'Implied Productivity Ratios'!$V66</f>
        <v>1.3298864910451369</v>
      </c>
      <c r="BB66">
        <f>'Implied Productivity Ratios'!BC66/'Implied Productivity Ratios'!$V66</f>
        <v>1.3462415191476285</v>
      </c>
      <c r="BC66" s="5">
        <f>'Implied Productivity Ratios'!BD66/'Implied Productivity Ratios'!$V66</f>
        <v>1.3604367326011899</v>
      </c>
      <c r="BD66" s="5">
        <f>'Implied Productivity Ratios'!BE66/'Implied Productivity Ratios'!$V66</f>
        <v>1.3746319460547514</v>
      </c>
      <c r="BE66" s="5">
        <f>'Implied Productivity Ratios'!BF66/'Implied Productivity Ratios'!$V66</f>
        <v>1.3888271595083128</v>
      </c>
      <c r="BF66" s="5">
        <f>'Implied Productivity Ratios'!BG66/'Implied Productivity Ratios'!$V66</f>
        <v>1.4030223729618743</v>
      </c>
      <c r="BG66" s="5">
        <f>'Implied Productivity Ratios'!BH66/'Implied Productivity Ratios'!$V66</f>
        <v>1.4172175864154357</v>
      </c>
    </row>
    <row r="67" spans="2:59">
      <c r="B67">
        <v>523</v>
      </c>
      <c r="C67" t="s">
        <v>378</v>
      </c>
      <c r="D67">
        <f>'Implied Productivity Ratios'!E67/'Implied Productivity Ratios'!$V67</f>
        <v>1.3573449554238652</v>
      </c>
      <c r="E67">
        <f>'Implied Productivity Ratios'!F67/'Implied Productivity Ratios'!$V67</f>
        <v>1.478365514656139</v>
      </c>
      <c r="F67">
        <f>'Implied Productivity Ratios'!G67/'Implied Productivity Ratios'!$V67</f>
        <v>1.1836214358269441</v>
      </c>
      <c r="G67">
        <f>'Implied Productivity Ratios'!H67/'Implied Productivity Ratios'!$V67</f>
        <v>0.58181157495633706</v>
      </c>
      <c r="H67">
        <f>'Implied Productivity Ratios'!I67/'Implied Productivity Ratios'!$V67</f>
        <v>1.4391364483416762</v>
      </c>
      <c r="I67">
        <f>'Implied Productivity Ratios'!J67/'Implied Productivity Ratios'!$V67</f>
        <v>1.3414664306952215</v>
      </c>
      <c r="J67">
        <f>'Implied Productivity Ratios'!K67/'Implied Productivity Ratios'!$V67</f>
        <v>1.0496663391173744</v>
      </c>
      <c r="K67">
        <f>'Implied Productivity Ratios'!L67/'Implied Productivity Ratios'!$V67</f>
        <v>1.326473736360176</v>
      </c>
      <c r="L67">
        <f>'Implied Productivity Ratios'!M67/'Implied Productivity Ratios'!$V67</f>
        <v>1.2513974169130901</v>
      </c>
      <c r="M67">
        <f>'Implied Productivity Ratios'!N67/'Implied Productivity Ratios'!$V67</f>
        <v>0.98954144401998845</v>
      </c>
      <c r="N67">
        <f>'Implied Productivity Ratios'!O67/'Implied Productivity Ratios'!$V67</f>
        <v>0.95108715218378415</v>
      </c>
      <c r="O67">
        <f>'Implied Productivity Ratios'!P67/'Implied Productivity Ratios'!$V67</f>
        <v>1.0442568286136984</v>
      </c>
      <c r="P67">
        <f>'Implied Productivity Ratios'!Q67/'Implied Productivity Ratios'!$V67</f>
        <v>1.0652516701863493</v>
      </c>
      <c r="Q67">
        <f>'Implied Productivity Ratios'!R67/'Implied Productivity Ratios'!$V67</f>
        <v>1.0110713766928465</v>
      </c>
      <c r="R67">
        <f>'Implied Productivity Ratios'!S67/'Implied Productivity Ratios'!$V67</f>
        <v>0.94170443933817982</v>
      </c>
      <c r="S67">
        <f>'Implied Productivity Ratios'!T67/'Implied Productivity Ratios'!$V67</f>
        <v>0.96876022992776933</v>
      </c>
      <c r="T67">
        <f>'Implied Productivity Ratios'!U67/'Implied Productivity Ratios'!$V67</f>
        <v>0.95222958551182568</v>
      </c>
      <c r="U67">
        <f>'Implied Productivity Ratios'!V67/'Implied Productivity Ratios'!$V67</f>
        <v>1</v>
      </c>
      <c r="V67">
        <f>'Implied Productivity Ratios'!W67/'Implied Productivity Ratios'!$V67</f>
        <v>1.0109687981082098</v>
      </c>
      <c r="W67">
        <f>'Implied Productivity Ratios'!X67/'Implied Productivity Ratios'!$V67</f>
        <v>1.0204966861580962</v>
      </c>
      <c r="X67">
        <f>'Implied Productivity Ratios'!Y67/'Implied Productivity Ratios'!$V67</f>
        <v>1.0106226705981716</v>
      </c>
      <c r="Y67">
        <f>'Implied Productivity Ratios'!Z67/'Implied Productivity Ratios'!$V67</f>
        <v>1.0062206441125561</v>
      </c>
      <c r="Z67">
        <f>'Implied Productivity Ratios'!AA67/'Implied Productivity Ratios'!$V67</f>
        <v>1.0046984654116575</v>
      </c>
      <c r="AA67">
        <f>'Implied Productivity Ratios'!AB67/'Implied Productivity Ratios'!$V67</f>
        <v>1.0023229833688139</v>
      </c>
      <c r="AB67">
        <f>'Implied Productivity Ratios'!AC67/'Implied Productivity Ratios'!$V67</f>
        <v>1.0003459701432478</v>
      </c>
      <c r="AC67">
        <f>'Implied Productivity Ratios'!AD67/'Implied Productivity Ratios'!$V67</f>
        <v>0.99973759297031539</v>
      </c>
      <c r="AD67">
        <f>'Implied Productivity Ratios'!AE67/'Implied Productivity Ratios'!$V67</f>
        <v>0.99917304705484933</v>
      </c>
      <c r="AE67">
        <f>'Implied Productivity Ratios'!AF67/'Implied Productivity Ratios'!$V67</f>
        <v>0.9989313020067474</v>
      </c>
      <c r="AF67">
        <f>'Implied Productivity Ratios'!AG67/'Implied Productivity Ratios'!$V67</f>
        <v>0.99875098600736123</v>
      </c>
      <c r="AG67">
        <f>'Implied Productivity Ratios'!AH67/'Implied Productivity Ratios'!$V67</f>
        <v>0.99738466734710429</v>
      </c>
      <c r="AH67">
        <f>'Implied Productivity Ratios'!AI67/'Implied Productivity Ratios'!$V67</f>
        <v>0.99492536439960666</v>
      </c>
      <c r="AI67">
        <f>'Implied Productivity Ratios'!AJ67/'Implied Productivity Ratios'!$V67</f>
        <v>0.9937520461422048</v>
      </c>
      <c r="AJ67">
        <f>'Implied Productivity Ratios'!AK67/'Implied Productivity Ratios'!$V67</f>
        <v>0.99493641168495905</v>
      </c>
      <c r="AK67">
        <f>'Implied Productivity Ratios'!AL67/'Implied Productivity Ratios'!$V67</f>
        <v>0.99635507374912013</v>
      </c>
      <c r="AL67">
        <f>'Implied Productivity Ratios'!AM67/'Implied Productivity Ratios'!$V67</f>
        <v>0.99733669616961951</v>
      </c>
      <c r="AM67">
        <f>'Implied Productivity Ratios'!AN67/'Implied Productivity Ratios'!$V67</f>
        <v>0.99851769442204474</v>
      </c>
      <c r="AN67">
        <f>'Implied Productivity Ratios'!AO67/'Implied Productivity Ratios'!$V67</f>
        <v>0.99974559479184111</v>
      </c>
      <c r="AO67">
        <f>'Implied Productivity Ratios'!AP67/'Implied Productivity Ratios'!$V67</f>
        <v>1.0015168955816653</v>
      </c>
      <c r="AP67">
        <f>'Implied Productivity Ratios'!AQ67/'Implied Productivity Ratios'!$V67</f>
        <v>1.0042033503103682</v>
      </c>
      <c r="AQ67">
        <f>'Implied Productivity Ratios'!AR67/'Implied Productivity Ratios'!$V67</f>
        <v>1.007754615525017</v>
      </c>
      <c r="AR67">
        <f>'Implied Productivity Ratios'!AS67/'Implied Productivity Ratios'!$V67</f>
        <v>1.0117678531846104</v>
      </c>
      <c r="AS67">
        <f>'Implied Productivity Ratios'!AT67/'Implied Productivity Ratios'!$V67</f>
        <v>1.0162761731154244</v>
      </c>
      <c r="AT67">
        <f>'Implied Productivity Ratios'!AU67/'Implied Productivity Ratios'!$V67</f>
        <v>1.0218752660676351</v>
      </c>
      <c r="AU67">
        <f>'Implied Productivity Ratios'!AV67/'Implied Productivity Ratios'!$V67</f>
        <v>1.0285167309943075</v>
      </c>
      <c r="AV67">
        <f>'Implied Productivity Ratios'!AW67/'Implied Productivity Ratios'!$V67</f>
        <v>1.0355099726327315</v>
      </c>
      <c r="AW67">
        <f>'Implied Productivity Ratios'!AX67/'Implied Productivity Ratios'!$V67</f>
        <v>1.0429377517157294</v>
      </c>
      <c r="AX67">
        <f>'Implied Productivity Ratios'!AY67/'Implied Productivity Ratios'!$V67</f>
        <v>1.0507733063253639</v>
      </c>
      <c r="AY67">
        <f>'Implied Productivity Ratios'!AZ67/'Implied Productivity Ratios'!$V67</f>
        <v>1.0594200582986284</v>
      </c>
      <c r="AZ67">
        <f>'Implied Productivity Ratios'!BA67/'Implied Productivity Ratios'!$V67</f>
        <v>1.0693091494419218</v>
      </c>
      <c r="BA67">
        <f>'Implied Productivity Ratios'!BB67/'Implied Productivity Ratios'!$V67</f>
        <v>1.0803386362274396</v>
      </c>
      <c r="BB67">
        <f>'Implied Productivity Ratios'!BC67/'Implied Productivity Ratios'!$V67</f>
        <v>1.0926043789954154</v>
      </c>
      <c r="BC67" s="5">
        <f>'Implied Productivity Ratios'!BD67/'Implied Productivity Ratios'!$V67</f>
        <v>1.1025377044513525</v>
      </c>
      <c r="BD67" s="5">
        <f>'Implied Productivity Ratios'!BE67/'Implied Productivity Ratios'!$V67</f>
        <v>1.1124710299072897</v>
      </c>
      <c r="BE67" s="5">
        <f>'Implied Productivity Ratios'!BF67/'Implied Productivity Ratios'!$V67</f>
        <v>1.1224043553632268</v>
      </c>
      <c r="BF67" s="5">
        <f>'Implied Productivity Ratios'!BG67/'Implied Productivity Ratios'!$V67</f>
        <v>1.1323376808191641</v>
      </c>
      <c r="BG67" s="5">
        <f>'Implied Productivity Ratios'!BH67/'Implied Productivity Ratios'!$V67</f>
        <v>1.1422710062751011</v>
      </c>
    </row>
    <row r="68" spans="2:59">
      <c r="B68">
        <v>524</v>
      </c>
      <c r="C68" t="s">
        <v>382</v>
      </c>
      <c r="D68">
        <f>'Implied Productivity Ratios'!E68/'Implied Productivity Ratios'!$V68</f>
        <v>0.74667867680454447</v>
      </c>
      <c r="E68">
        <f>'Implied Productivity Ratios'!F68/'Implied Productivity Ratios'!$V68</f>
        <v>0.78752506424564739</v>
      </c>
      <c r="F68">
        <f>'Implied Productivity Ratios'!G68/'Implied Productivity Ratios'!$V68</f>
        <v>0.85661098330434338</v>
      </c>
      <c r="G68">
        <f>'Implied Productivity Ratios'!H68/'Implied Productivity Ratios'!$V68</f>
        <v>0.74764327364275684</v>
      </c>
      <c r="H68">
        <f>'Implied Productivity Ratios'!I68/'Implied Productivity Ratios'!$V68</f>
        <v>0.77673936866266147</v>
      </c>
      <c r="I68">
        <f>'Implied Productivity Ratios'!J68/'Implied Productivity Ratios'!$V68</f>
        <v>0.78876034118106042</v>
      </c>
      <c r="J68">
        <f>'Implied Productivity Ratios'!K68/'Implied Productivity Ratios'!$V68</f>
        <v>0.78850801111532187</v>
      </c>
      <c r="K68">
        <f>'Implied Productivity Ratios'!L68/'Implied Productivity Ratios'!$V68</f>
        <v>0.81171097065762454</v>
      </c>
      <c r="L68">
        <f>'Implied Productivity Ratios'!M68/'Implied Productivity Ratios'!$V68</f>
        <v>0.74924675405874364</v>
      </c>
      <c r="M68">
        <f>'Implied Productivity Ratios'!N68/'Implied Productivity Ratios'!$V68</f>
        <v>0.91225865433967956</v>
      </c>
      <c r="N68">
        <f>'Implied Productivity Ratios'!O68/'Implied Productivity Ratios'!$V68</f>
        <v>1.0072593960302509</v>
      </c>
      <c r="O68">
        <f>'Implied Productivity Ratios'!P68/'Implied Productivity Ratios'!$V68</f>
        <v>1.0119787628694277</v>
      </c>
      <c r="P68">
        <f>'Implied Productivity Ratios'!Q68/'Implied Productivity Ratios'!$V68</f>
        <v>0.97131846723306359</v>
      </c>
      <c r="Q68">
        <f>'Implied Productivity Ratios'!R68/'Implied Productivity Ratios'!$V68</f>
        <v>0.96530496696509904</v>
      </c>
      <c r="R68">
        <f>'Implied Productivity Ratios'!S68/'Implied Productivity Ratios'!$V68</f>
        <v>1.0087599640401137</v>
      </c>
      <c r="S68">
        <f>'Implied Productivity Ratios'!T68/'Implied Productivity Ratios'!$V68</f>
        <v>0.95895262750208432</v>
      </c>
      <c r="T68">
        <f>'Implied Productivity Ratios'!U68/'Implied Productivity Ratios'!$V68</f>
        <v>0.97599035598416117</v>
      </c>
      <c r="U68">
        <f>'Implied Productivity Ratios'!V68/'Implied Productivity Ratios'!$V68</f>
        <v>1</v>
      </c>
      <c r="V68">
        <f>'Implied Productivity Ratios'!W68/'Implied Productivity Ratios'!$V68</f>
        <v>0.97446028835355958</v>
      </c>
      <c r="W68">
        <f>'Implied Productivity Ratios'!X68/'Implied Productivity Ratios'!$V68</f>
        <v>0.96966578361440636</v>
      </c>
      <c r="X68">
        <f>'Implied Productivity Ratios'!Y68/'Implied Productivity Ratios'!$V68</f>
        <v>0.98546863364771509</v>
      </c>
      <c r="Y68">
        <f>'Implied Productivity Ratios'!Z68/'Implied Productivity Ratios'!$V68</f>
        <v>1.0040599106617598</v>
      </c>
      <c r="Z68">
        <f>'Implied Productivity Ratios'!AA68/'Implied Productivity Ratios'!$V68</f>
        <v>1.0251174569126968</v>
      </c>
      <c r="AA68">
        <f>'Implied Productivity Ratios'!AB68/'Implied Productivity Ratios'!$V68</f>
        <v>1.0448170631874576</v>
      </c>
      <c r="AB68">
        <f>'Implied Productivity Ratios'!AC68/'Implied Productivity Ratios'!$V68</f>
        <v>1.0645359191678798</v>
      </c>
      <c r="AC68">
        <f>'Implied Productivity Ratios'!AD68/'Implied Productivity Ratios'!$V68</f>
        <v>1.0854029468182258</v>
      </c>
      <c r="AD68">
        <f>'Implied Productivity Ratios'!AE68/'Implied Productivity Ratios'!$V68</f>
        <v>1.1059429533367124</v>
      </c>
      <c r="AE68">
        <f>'Implied Productivity Ratios'!AF68/'Implied Productivity Ratios'!$V68</f>
        <v>1.1264427345422439</v>
      </c>
      <c r="AF68">
        <f>'Implied Productivity Ratios'!AG68/'Implied Productivity Ratios'!$V68</f>
        <v>1.1465833014810103</v>
      </c>
      <c r="AG68">
        <f>'Implied Productivity Ratios'!AH68/'Implied Productivity Ratios'!$V68</f>
        <v>1.1648817215349638</v>
      </c>
      <c r="AH68">
        <f>'Implied Productivity Ratios'!AI68/'Implied Productivity Ratios'!$V68</f>
        <v>1.181308840372298</v>
      </c>
      <c r="AI68">
        <f>'Implied Productivity Ratios'!AJ68/'Implied Productivity Ratios'!$V68</f>
        <v>1.1987398336765394</v>
      </c>
      <c r="AJ68">
        <f>'Implied Productivity Ratios'!AK68/'Implied Productivity Ratios'!$V68</f>
        <v>1.2185653038834956</v>
      </c>
      <c r="AK68">
        <f>'Implied Productivity Ratios'!AL68/'Implied Productivity Ratios'!$V68</f>
        <v>1.2380370132505694</v>
      </c>
      <c r="AL68">
        <f>'Implied Productivity Ratios'!AM68/'Implied Productivity Ratios'!$V68</f>
        <v>1.2562543003900053</v>
      </c>
      <c r="AM68">
        <f>'Implied Productivity Ratios'!AN68/'Implied Productivity Ratios'!$V68</f>
        <v>1.2739987454362247</v>
      </c>
      <c r="AN68">
        <f>'Implied Productivity Ratios'!AO68/'Implied Productivity Ratios'!$V68</f>
        <v>1.2910127709368902</v>
      </c>
      <c r="AO68">
        <f>'Implied Productivity Ratios'!AP68/'Implied Productivity Ratios'!$V68</f>
        <v>1.3079730884801046</v>
      </c>
      <c r="AP68">
        <f>'Implied Productivity Ratios'!AQ68/'Implied Productivity Ratios'!$V68</f>
        <v>1.3254257842362673</v>
      </c>
      <c r="AQ68">
        <f>'Implied Productivity Ratios'!AR68/'Implied Productivity Ratios'!$V68</f>
        <v>1.3433127958121329</v>
      </c>
      <c r="AR68">
        <f>'Implied Productivity Ratios'!AS68/'Implied Productivity Ratios'!$V68</f>
        <v>1.3610491181103188</v>
      </c>
      <c r="AS68">
        <f>'Implied Productivity Ratios'!AT68/'Implied Productivity Ratios'!$V68</f>
        <v>1.3786485547603029</v>
      </c>
      <c r="AT68">
        <f>'Implied Productivity Ratios'!AU68/'Implied Productivity Ratios'!$V68</f>
        <v>1.3969473251528732</v>
      </c>
      <c r="AU68">
        <f>'Implied Productivity Ratios'!AV68/'Implied Productivity Ratios'!$V68</f>
        <v>1.4158050880766244</v>
      </c>
      <c r="AV68">
        <f>'Implied Productivity Ratios'!AW68/'Implied Productivity Ratios'!$V68</f>
        <v>1.4342264295790386</v>
      </c>
      <c r="AW68">
        <f>'Implied Productivity Ratios'!AX68/'Implied Productivity Ratios'!$V68</f>
        <v>1.4523302051657765</v>
      </c>
      <c r="AX68">
        <f>'Implied Productivity Ratios'!AY68/'Implied Productivity Ratios'!$V68</f>
        <v>1.4700300298078932</v>
      </c>
      <c r="AY68">
        <f>'Implied Productivity Ratios'!AZ68/'Implied Productivity Ratios'!$V68</f>
        <v>1.487850020435481</v>
      </c>
      <c r="AZ68">
        <f>'Implied Productivity Ratios'!BA68/'Implied Productivity Ratios'!$V68</f>
        <v>1.5064345524886422</v>
      </c>
      <c r="BA68">
        <f>'Implied Productivity Ratios'!BB68/'Implied Productivity Ratios'!$V68</f>
        <v>1.5255614366582724</v>
      </c>
      <c r="BB68">
        <f>'Implied Productivity Ratios'!BC68/'Implied Productivity Ratios'!$V68</f>
        <v>1.5453128868809802</v>
      </c>
      <c r="BC68" s="5">
        <f>'Implied Productivity Ratios'!BD68/'Implied Productivity Ratios'!$V68</f>
        <v>1.5639094232240212</v>
      </c>
      <c r="BD68" s="5">
        <f>'Implied Productivity Ratios'!BE68/'Implied Productivity Ratios'!$V68</f>
        <v>1.5825059595670619</v>
      </c>
      <c r="BE68" s="5">
        <f>'Implied Productivity Ratios'!BF68/'Implied Productivity Ratios'!$V68</f>
        <v>1.6011024959101028</v>
      </c>
      <c r="BF68" s="5">
        <f>'Implied Productivity Ratios'!BG68/'Implied Productivity Ratios'!$V68</f>
        <v>1.6196990322531435</v>
      </c>
      <c r="BG68" s="5">
        <f>'Implied Productivity Ratios'!BH68/'Implied Productivity Ratios'!$V68</f>
        <v>1.6382955685961844</v>
      </c>
    </row>
    <row r="69" spans="2:59">
      <c r="B69">
        <v>525</v>
      </c>
      <c r="C69" t="s">
        <v>386</v>
      </c>
      <c r="D69">
        <f>'Implied Productivity Ratios'!E69/'Implied Productivity Ratios'!$V69</f>
        <v>2.3478185310241062</v>
      </c>
      <c r="E69">
        <f>'Implied Productivity Ratios'!F69/'Implied Productivity Ratios'!$V69</f>
        <v>2.3674761243585669</v>
      </c>
      <c r="F69">
        <f>'Implied Productivity Ratios'!G69/'Implied Productivity Ratios'!$V69</f>
        <v>1.6714327128488651</v>
      </c>
      <c r="G69">
        <f>'Implied Productivity Ratios'!H69/'Implied Productivity Ratios'!$V69</f>
        <v>0.82143397837925536</v>
      </c>
      <c r="H69">
        <f>'Implied Productivity Ratios'!I69/'Implied Productivity Ratios'!$V69</f>
        <v>0.14158837478010602</v>
      </c>
      <c r="I69">
        <f>'Implied Productivity Ratios'!J69/'Implied Productivity Ratios'!$V69</f>
        <v>0.98526840476221</v>
      </c>
      <c r="J69">
        <f>'Implied Productivity Ratios'!K69/'Implied Productivity Ratios'!$V69</f>
        <v>3.1854391615053892</v>
      </c>
      <c r="K69">
        <f>'Implied Productivity Ratios'!L69/'Implied Productivity Ratios'!$V69</f>
        <v>7.2134849809126669</v>
      </c>
      <c r="L69">
        <f>'Implied Productivity Ratios'!M69/'Implied Productivity Ratios'!$V69</f>
        <v>9.7914925397294272</v>
      </c>
      <c r="M69">
        <f>'Implied Productivity Ratios'!N69/'Implied Productivity Ratios'!$V69</f>
        <v>20.083639607973659</v>
      </c>
      <c r="N69">
        <f>'Implied Productivity Ratios'!O69/'Implied Productivity Ratios'!$V69</f>
        <v>9.5187939268313144</v>
      </c>
      <c r="O69">
        <f>'Implied Productivity Ratios'!P69/'Implied Productivity Ratios'!$V69</f>
        <v>1.121710487839263</v>
      </c>
      <c r="P69">
        <f>'Implied Productivity Ratios'!Q69/'Implied Productivity Ratios'!$V69</f>
        <v>1.7375447156232082</v>
      </c>
      <c r="Q69">
        <f>'Implied Productivity Ratios'!R69/'Implied Productivity Ratios'!$V69</f>
        <v>0.15809858428418377</v>
      </c>
      <c r="R69">
        <f>'Implied Productivity Ratios'!S69/'Implied Productivity Ratios'!$V69</f>
        <v>0.19140396851875169</v>
      </c>
      <c r="S69">
        <f>'Implied Productivity Ratios'!T69/'Implied Productivity Ratios'!$V69</f>
        <v>0.14338193738116381</v>
      </c>
      <c r="T69">
        <f>'Implied Productivity Ratios'!U69/'Implied Productivity Ratios'!$V69</f>
        <v>3.0421454567510438</v>
      </c>
      <c r="U69">
        <f>'Implied Productivity Ratios'!V69/'Implied Productivity Ratios'!$V69</f>
        <v>1</v>
      </c>
      <c r="V69">
        <f>'Implied Productivity Ratios'!W69/'Implied Productivity Ratios'!$V69</f>
        <v>0.65769366010431984</v>
      </c>
      <c r="W69">
        <f>'Implied Productivity Ratios'!X69/'Implied Productivity Ratios'!$V69</f>
        <v>0.72178073120434116</v>
      </c>
      <c r="X69">
        <f>'Implied Productivity Ratios'!Y69/'Implied Productivity Ratios'!$V69</f>
        <v>0.68077727913330832</v>
      </c>
      <c r="Y69">
        <f>'Implied Productivity Ratios'!Z69/'Implied Productivity Ratios'!$V69</f>
        <v>0.69312902539242927</v>
      </c>
      <c r="Z69">
        <f>'Implied Productivity Ratios'!AA69/'Implied Productivity Ratios'!$V69</f>
        <v>0.70722284804289526</v>
      </c>
      <c r="AA69">
        <f>'Implied Productivity Ratios'!AB69/'Implied Productivity Ratios'!$V69</f>
        <v>0.72029763726986129</v>
      </c>
      <c r="AB69">
        <f>'Implied Productivity Ratios'!AC69/'Implied Productivity Ratios'!$V69</f>
        <v>0.73339231492095269</v>
      </c>
      <c r="AC69">
        <f>'Implied Productivity Ratios'!AD69/'Implied Productivity Ratios'!$V69</f>
        <v>0.74735550797092964</v>
      </c>
      <c r="AD69">
        <f>'Implied Productivity Ratios'!AE69/'Implied Productivity Ratios'!$V69</f>
        <v>0.76112768714458545</v>
      </c>
      <c r="AE69">
        <f>'Implied Productivity Ratios'!AF69/'Implied Productivity Ratios'!$V69</f>
        <v>0.7749375117416637</v>
      </c>
      <c r="AF69">
        <f>'Implied Productivity Ratios'!AG69/'Implied Productivity Ratios'!$V69</f>
        <v>0.78859781240401161</v>
      </c>
      <c r="AG69">
        <f>'Implied Productivity Ratios'!AH69/'Implied Productivity Ratios'!$V69</f>
        <v>0.80105076150915788</v>
      </c>
      <c r="AH69">
        <f>'Implied Productivity Ratios'!AI69/'Implied Productivity Ratios'!$V69</f>
        <v>0.81232258877071106</v>
      </c>
      <c r="AI69">
        <f>'Implied Productivity Ratios'!AJ69/'Implied Productivity Ratios'!$V69</f>
        <v>0.82431674572814473</v>
      </c>
      <c r="AJ69">
        <f>'Implied Productivity Ratios'!AK69/'Implied Productivity Ratios'!$V69</f>
        <v>0.83799152902799756</v>
      </c>
      <c r="AK69">
        <f>'Implied Productivity Ratios'!AL69/'Implied Productivity Ratios'!$V69</f>
        <v>0.85157555911699245</v>
      </c>
      <c r="AL69">
        <f>'Implied Productivity Ratios'!AM69/'Implied Productivity Ratios'!$V69</f>
        <v>0.86442501186718546</v>
      </c>
      <c r="AM69">
        <f>'Implied Productivity Ratios'!AN69/'Implied Productivity Ratios'!$V69</f>
        <v>0.87708341743742524</v>
      </c>
      <c r="AN69">
        <f>'Implied Productivity Ratios'!AO69/'Implied Productivity Ratios'!$V69</f>
        <v>0.88937126559186386</v>
      </c>
      <c r="AO69">
        <f>'Implied Productivity Ratios'!AP69/'Implied Productivity Ratios'!$V69</f>
        <v>0.90176271804165631</v>
      </c>
      <c r="AP69">
        <f>'Implied Productivity Ratios'!AQ69/'Implied Productivity Ratios'!$V69</f>
        <v>0.91460242576236817</v>
      </c>
      <c r="AQ69">
        <f>'Implied Productivity Ratios'!AR69/'Implied Productivity Ratios'!$V69</f>
        <v>0.92782247763086567</v>
      </c>
      <c r="AR69">
        <f>'Implied Productivity Ratios'!AS69/'Implied Productivity Ratios'!$V69</f>
        <v>0.9410532823502914</v>
      </c>
      <c r="AS69">
        <f>'Implied Productivity Ratios'!AT69/'Implied Productivity Ratios'!$V69</f>
        <v>0.95430542787812644</v>
      </c>
      <c r="AT69">
        <f>'Implied Productivity Ratios'!AU69/'Implied Productivity Ratios'!$V69</f>
        <v>0.96817211105461798</v>
      </c>
      <c r="AU69">
        <f>'Implied Productivity Ratios'!AV69/'Implied Productivity Ratios'!$V69</f>
        <v>0.9825680776088771</v>
      </c>
      <c r="AV69">
        <f>'Implied Productivity Ratios'!AW69/'Implied Productivity Ratios'!$V69</f>
        <v>0.99682302743043516</v>
      </c>
      <c r="AW69">
        <f>'Implied Productivity Ratios'!AX69/'Implied Productivity Ratios'!$V69</f>
        <v>1.0109729074475071</v>
      </c>
      <c r="AX69">
        <f>'Implied Productivity Ratios'!AY69/'Implied Productivity Ratios'!$V69</f>
        <v>1.0249922363070878</v>
      </c>
      <c r="AY69">
        <f>'Implied Productivity Ratios'!AZ69/'Implied Productivity Ratios'!$V69</f>
        <v>1.0392502786276798</v>
      </c>
      <c r="AZ69">
        <f>'Implied Productivity Ratios'!BA69/'Implied Productivity Ratios'!$V69</f>
        <v>1.0541620133190379</v>
      </c>
      <c r="BA69">
        <f>'Implied Productivity Ratios'!BB69/'Implied Productivity Ratios'!$V69</f>
        <v>1.0696296366622309</v>
      </c>
      <c r="BB69">
        <f>'Implied Productivity Ratios'!BC69/'Implied Productivity Ratios'!$V69</f>
        <v>1.0856897138151651</v>
      </c>
      <c r="BC69" s="5">
        <f>'Implied Productivity Ratios'!BD69/'Implied Productivity Ratios'!$V69</f>
        <v>1.1006330750886966</v>
      </c>
      <c r="BD69" s="5">
        <f>'Implied Productivity Ratios'!BE69/'Implied Productivity Ratios'!$V69</f>
        <v>1.1155764363622283</v>
      </c>
      <c r="BE69" s="5">
        <f>'Implied Productivity Ratios'!BF69/'Implied Productivity Ratios'!$V69</f>
        <v>1.1305197976357597</v>
      </c>
      <c r="BF69" s="5">
        <f>'Implied Productivity Ratios'!BG69/'Implied Productivity Ratios'!$V69</f>
        <v>1.1454631589092912</v>
      </c>
      <c r="BG69" s="5">
        <f>'Implied Productivity Ratios'!BH69/'Implied Productivity Ratios'!$V69</f>
        <v>1.1604065201828226</v>
      </c>
    </row>
    <row r="70" spans="2:59">
      <c r="B70">
        <v>531</v>
      </c>
      <c r="C70" t="s">
        <v>390</v>
      </c>
      <c r="D70">
        <f>'Implied Productivity Ratios'!E70/'Implied Productivity Ratios'!$V70</f>
        <v>0.83176217261120899</v>
      </c>
      <c r="E70">
        <f>'Implied Productivity Ratios'!F70/'Implied Productivity Ratios'!$V70</f>
        <v>0.81102504076451287</v>
      </c>
      <c r="F70">
        <f>'Implied Productivity Ratios'!G70/'Implied Productivity Ratios'!$V70</f>
        <v>0.8705935363254198</v>
      </c>
      <c r="G70">
        <f>'Implied Productivity Ratios'!H70/'Implied Productivity Ratios'!$V70</f>
        <v>0.92103523965329226</v>
      </c>
      <c r="H70">
        <f>'Implied Productivity Ratios'!I70/'Implied Productivity Ratios'!$V70</f>
        <v>0.95192506306121649</v>
      </c>
      <c r="I70">
        <f>'Implied Productivity Ratios'!J70/'Implied Productivity Ratios'!$V70</f>
        <v>1.0104316858500835</v>
      </c>
      <c r="J70">
        <f>'Implied Productivity Ratios'!K70/'Implied Productivity Ratios'!$V70</f>
        <v>1.0297292696338325</v>
      </c>
      <c r="K70">
        <f>'Implied Productivity Ratios'!L70/'Implied Productivity Ratios'!$V70</f>
        <v>1.0262291127998977</v>
      </c>
      <c r="L70">
        <f>'Implied Productivity Ratios'!M70/'Implied Productivity Ratios'!$V70</f>
        <v>1.0259203938184203</v>
      </c>
      <c r="M70">
        <f>'Implied Productivity Ratios'!N70/'Implied Productivity Ratios'!$V70</f>
        <v>1.0034700332516677</v>
      </c>
      <c r="N70">
        <f>'Implied Productivity Ratios'!O70/'Implied Productivity Ratios'!$V70</f>
        <v>0.96858330729480646</v>
      </c>
      <c r="O70">
        <f>'Implied Productivity Ratios'!P70/'Implied Productivity Ratios'!$V70</f>
        <v>0.94781078470007585</v>
      </c>
      <c r="P70">
        <f>'Implied Productivity Ratios'!Q70/'Implied Productivity Ratios'!$V70</f>
        <v>0.93753988313698122</v>
      </c>
      <c r="Q70">
        <f>'Implied Productivity Ratios'!R70/'Implied Productivity Ratios'!$V70</f>
        <v>0.94429414664447242</v>
      </c>
      <c r="R70">
        <f>'Implied Productivity Ratios'!S70/'Implied Productivity Ratios'!$V70</f>
        <v>0.93031698618630065</v>
      </c>
      <c r="S70">
        <f>'Implied Productivity Ratios'!T70/'Implied Productivity Ratios'!$V70</f>
        <v>0.95691329207106957</v>
      </c>
      <c r="T70">
        <f>'Implied Productivity Ratios'!U70/'Implied Productivity Ratios'!$V70</f>
        <v>0.98072422081012145</v>
      </c>
      <c r="U70">
        <f>'Implied Productivity Ratios'!V70/'Implied Productivity Ratios'!$V70</f>
        <v>1</v>
      </c>
      <c r="V70">
        <f>'Implied Productivity Ratios'!W70/'Implied Productivity Ratios'!$V70</f>
        <v>1.0052898447375478</v>
      </c>
      <c r="W70">
        <f>'Implied Productivity Ratios'!X70/'Implied Productivity Ratios'!$V70</f>
        <v>1.0093766209518897</v>
      </c>
      <c r="X70">
        <f>'Implied Productivity Ratios'!Y70/'Implied Productivity Ratios'!$V70</f>
        <v>1.017071182884081</v>
      </c>
      <c r="Y70">
        <f>'Implied Productivity Ratios'!Z70/'Implied Productivity Ratios'!$V70</f>
        <v>1.0247847163594994</v>
      </c>
      <c r="Z70">
        <f>'Implied Productivity Ratios'!AA70/'Implied Productivity Ratios'!$V70</f>
        <v>1.0365700293634077</v>
      </c>
      <c r="AA70">
        <f>'Implied Productivity Ratios'!AB70/'Implied Productivity Ratios'!$V70</f>
        <v>1.0523146603658273</v>
      </c>
      <c r="AB70">
        <f>'Implied Productivity Ratios'!AC70/'Implied Productivity Ratios'!$V70</f>
        <v>1.0710075312288314</v>
      </c>
      <c r="AC70">
        <f>'Implied Productivity Ratios'!AD70/'Implied Productivity Ratios'!$V70</f>
        <v>1.0920309023845509</v>
      </c>
      <c r="AD70">
        <f>'Implied Productivity Ratios'!AE70/'Implied Productivity Ratios'!$V70</f>
        <v>1.1137278294812418</v>
      </c>
      <c r="AE70">
        <f>'Implied Productivity Ratios'!AF70/'Implied Productivity Ratios'!$V70</f>
        <v>1.13588483275825</v>
      </c>
      <c r="AF70">
        <f>'Implied Productivity Ratios'!AG70/'Implied Productivity Ratios'!$V70</f>
        <v>1.1588621350450783</v>
      </c>
      <c r="AG70">
        <f>'Implied Productivity Ratios'!AH70/'Implied Productivity Ratios'!$V70</f>
        <v>1.18090004901704</v>
      </c>
      <c r="AH70">
        <f>'Implied Productivity Ratios'!AI70/'Implied Productivity Ratios'!$V70</f>
        <v>1.2018742525779107</v>
      </c>
      <c r="AI70">
        <f>'Implied Productivity Ratios'!AJ70/'Implied Productivity Ratios'!$V70</f>
        <v>1.2232236501570419</v>
      </c>
      <c r="AJ70">
        <f>'Implied Productivity Ratios'!AK70/'Implied Productivity Ratios'!$V70</f>
        <v>1.2454796337678806</v>
      </c>
      <c r="AK70">
        <f>'Implied Productivity Ratios'!AL70/'Implied Productivity Ratios'!$V70</f>
        <v>1.2683339046309798</v>
      </c>
      <c r="AL70">
        <f>'Implied Productivity Ratios'!AM70/'Implied Productivity Ratios'!$V70</f>
        <v>1.2911588054841581</v>
      </c>
      <c r="AM70">
        <f>'Implied Productivity Ratios'!AN70/'Implied Productivity Ratios'!$V70</f>
        <v>1.3141497059024105</v>
      </c>
      <c r="AN70">
        <f>'Implied Productivity Ratios'!AO70/'Implied Productivity Ratios'!$V70</f>
        <v>1.3371727711381853</v>
      </c>
      <c r="AO70">
        <f>'Implied Productivity Ratios'!AP70/'Implied Productivity Ratios'!$V70</f>
        <v>1.3602277954177229</v>
      </c>
      <c r="AP70">
        <f>'Implied Productivity Ratios'!AQ70/'Implied Productivity Ratios'!$V70</f>
        <v>1.3834969353916586</v>
      </c>
      <c r="AQ70">
        <f>'Implied Productivity Ratios'!AR70/'Implied Productivity Ratios'!$V70</f>
        <v>1.4074117310592724</v>
      </c>
      <c r="AR70">
        <f>'Implied Productivity Ratios'!AS70/'Implied Productivity Ratios'!$V70</f>
        <v>1.4320299350384493</v>
      </c>
      <c r="AS70">
        <f>'Implied Productivity Ratios'!AT70/'Implied Productivity Ratios'!$V70</f>
        <v>1.4570025415183465</v>
      </c>
      <c r="AT70">
        <f>'Implied Productivity Ratios'!AU70/'Implied Productivity Ratios'!$V70</f>
        <v>1.4825891892057164</v>
      </c>
      <c r="AU70">
        <f>'Implied Productivity Ratios'!AV70/'Implied Productivity Ratios'!$V70</f>
        <v>1.5092653288085955</v>
      </c>
      <c r="AV70">
        <f>'Implied Productivity Ratios'!AW70/'Implied Productivity Ratios'!$V70</f>
        <v>1.5359820164432858</v>
      </c>
      <c r="AW70">
        <f>'Implied Productivity Ratios'!AX70/'Implied Productivity Ratios'!$V70</f>
        <v>1.5627522316150761</v>
      </c>
      <c r="AX70">
        <f>'Implied Productivity Ratios'!AY70/'Implied Productivity Ratios'!$V70</f>
        <v>1.5895225110440598</v>
      </c>
      <c r="AY70">
        <f>'Implied Productivity Ratios'!AZ70/'Implied Productivity Ratios'!$V70</f>
        <v>1.6171119880879379</v>
      </c>
      <c r="AZ70">
        <f>'Implied Productivity Ratios'!BA70/'Implied Productivity Ratios'!$V70</f>
        <v>1.6464818938074728</v>
      </c>
      <c r="BA70">
        <f>'Implied Productivity Ratios'!BB70/'Implied Productivity Ratios'!$V70</f>
        <v>1.6777355246275072</v>
      </c>
      <c r="BB70">
        <f>'Implied Productivity Ratios'!BC70/'Implied Productivity Ratios'!$V70</f>
        <v>1.7110656343774813</v>
      </c>
      <c r="BC70" s="5">
        <f>'Implied Productivity Ratios'!BD70/'Implied Productivity Ratios'!$V70</f>
        <v>1.7407283149299622</v>
      </c>
      <c r="BD70" s="5">
        <f>'Implied Productivity Ratios'!BE70/'Implied Productivity Ratios'!$V70</f>
        <v>1.7703909954824433</v>
      </c>
      <c r="BE70" s="5">
        <f>'Implied Productivity Ratios'!BF70/'Implied Productivity Ratios'!$V70</f>
        <v>1.8000536760349242</v>
      </c>
      <c r="BF70" s="5">
        <f>'Implied Productivity Ratios'!BG70/'Implied Productivity Ratios'!$V70</f>
        <v>1.8297163565874053</v>
      </c>
      <c r="BG70" s="5">
        <f>'Implied Productivity Ratios'!BH70/'Implied Productivity Ratios'!$V70</f>
        <v>1.8593790371398862</v>
      </c>
    </row>
    <row r="71" spans="2:59">
      <c r="B71">
        <v>532</v>
      </c>
      <c r="C71" t="s">
        <v>394</v>
      </c>
      <c r="D71">
        <f>'Implied Productivity Ratios'!E71/'Implied Productivity Ratios'!$V71</f>
        <v>0.48857059923460749</v>
      </c>
      <c r="E71">
        <f>'Implied Productivity Ratios'!F71/'Implied Productivity Ratios'!$V71</f>
        <v>0.55902688788083121</v>
      </c>
      <c r="F71">
        <f>'Implied Productivity Ratios'!G71/'Implied Productivity Ratios'!$V71</f>
        <v>0.53776284900911009</v>
      </c>
      <c r="G71">
        <f>'Implied Productivity Ratios'!H71/'Implied Productivity Ratios'!$V71</f>
        <v>0.58771087231587027</v>
      </c>
      <c r="H71">
        <f>'Implied Productivity Ratios'!I71/'Implied Productivity Ratios'!$V71</f>
        <v>0.58010909140754663</v>
      </c>
      <c r="I71">
        <f>'Implied Productivity Ratios'!J71/'Implied Productivity Ratios'!$V71</f>
        <v>0.61460955764047154</v>
      </c>
      <c r="J71">
        <f>'Implied Productivity Ratios'!K71/'Implied Productivity Ratios'!$V71</f>
        <v>0.63082728616188388</v>
      </c>
      <c r="K71">
        <f>'Implied Productivity Ratios'!L71/'Implied Productivity Ratios'!$V71</f>
        <v>0.65128960259939817</v>
      </c>
      <c r="L71">
        <f>'Implied Productivity Ratios'!M71/'Implied Productivity Ratios'!$V71</f>
        <v>0.66564721235747326</v>
      </c>
      <c r="M71">
        <f>'Implied Productivity Ratios'!N71/'Implied Productivity Ratios'!$V71</f>
        <v>0.66433111895877583</v>
      </c>
      <c r="N71">
        <f>'Implied Productivity Ratios'!O71/'Implied Productivity Ratios'!$V71</f>
        <v>0.70211195638857349</v>
      </c>
      <c r="O71">
        <f>'Implied Productivity Ratios'!P71/'Implied Productivity Ratios'!$V71</f>
        <v>0.73880723208793342</v>
      </c>
      <c r="P71">
        <f>'Implied Productivity Ratios'!Q71/'Implied Productivity Ratios'!$V71</f>
        <v>0.74087937499224721</v>
      </c>
      <c r="Q71">
        <f>'Implied Productivity Ratios'!R71/'Implied Productivity Ratios'!$V71</f>
        <v>0.77938550027690756</v>
      </c>
      <c r="R71">
        <f>'Implied Productivity Ratios'!S71/'Implied Productivity Ratios'!$V71</f>
        <v>0.80626788395019777</v>
      </c>
      <c r="S71">
        <f>'Implied Productivity Ratios'!T71/'Implied Productivity Ratios'!$V71</f>
        <v>0.96771200500070731</v>
      </c>
      <c r="T71">
        <f>'Implied Productivity Ratios'!U71/'Implied Productivity Ratios'!$V71</f>
        <v>1.0477534329560447</v>
      </c>
      <c r="U71">
        <f>'Implied Productivity Ratios'!V71/'Implied Productivity Ratios'!$V71</f>
        <v>1</v>
      </c>
      <c r="V71">
        <f>'Implied Productivity Ratios'!W71/'Implied Productivity Ratios'!$V71</f>
        <v>1.0257927852581508</v>
      </c>
      <c r="W71">
        <f>'Implied Productivity Ratios'!X71/'Implied Productivity Ratios'!$V71</f>
        <v>1.0575648527327306</v>
      </c>
      <c r="X71">
        <f>'Implied Productivity Ratios'!Y71/'Implied Productivity Ratios'!$V71</f>
        <v>1.0946142788055691</v>
      </c>
      <c r="Y71">
        <f>'Implied Productivity Ratios'!Z71/'Implied Productivity Ratios'!$V71</f>
        <v>1.1315783057906621</v>
      </c>
      <c r="Z71">
        <f>'Implied Productivity Ratios'!AA71/'Implied Productivity Ratios'!$V71</f>
        <v>1.173410917758184</v>
      </c>
      <c r="AA71">
        <f>'Implied Productivity Ratios'!AB71/'Implied Productivity Ratios'!$V71</f>
        <v>1.2201880823909672</v>
      </c>
      <c r="AB71">
        <f>'Implied Productivity Ratios'!AC71/'Implied Productivity Ratios'!$V71</f>
        <v>1.2709743622208156</v>
      </c>
      <c r="AC71">
        <f>'Implied Productivity Ratios'!AD71/'Implied Productivity Ratios'!$V71</f>
        <v>1.3252544333230043</v>
      </c>
      <c r="AD71">
        <f>'Implied Productivity Ratios'!AE71/'Implied Productivity Ratios'!$V71</f>
        <v>1.3810416890610455</v>
      </c>
      <c r="AE71">
        <f>'Implied Productivity Ratios'!AF71/'Implied Productivity Ratios'!$V71</f>
        <v>1.438028814464607</v>
      </c>
      <c r="AF71">
        <f>'Implied Productivity Ratios'!AG71/'Implied Productivity Ratios'!$V71</f>
        <v>1.4966352496973907</v>
      </c>
      <c r="AG71">
        <f>'Implied Productivity Ratios'!AH71/'Implied Productivity Ratios'!$V71</f>
        <v>1.5545144723850357</v>
      </c>
      <c r="AH71">
        <f>'Implied Productivity Ratios'!AI71/'Implied Productivity Ratios'!$V71</f>
        <v>1.6112903044152964</v>
      </c>
      <c r="AI71">
        <f>'Implied Productivity Ratios'!AJ71/'Implied Productivity Ratios'!$V71</f>
        <v>1.6687557491349929</v>
      </c>
      <c r="AJ71">
        <f>'Implied Productivity Ratios'!AK71/'Implied Productivity Ratios'!$V71</f>
        <v>1.7275277757032947</v>
      </c>
      <c r="AK71">
        <f>'Implied Productivity Ratios'!AL71/'Implied Productivity Ratios'!$V71</f>
        <v>1.7870871846458414</v>
      </c>
      <c r="AL71">
        <f>'Implied Productivity Ratios'!AM71/'Implied Productivity Ratios'!$V71</f>
        <v>1.8464881726097742</v>
      </c>
      <c r="AM71">
        <f>'Implied Productivity Ratios'!AN71/'Implied Productivity Ratios'!$V71</f>
        <v>1.9058536359322893</v>
      </c>
      <c r="AN71">
        <f>'Implied Productivity Ratios'!AO71/'Implied Productivity Ratios'!$V71</f>
        <v>1.9648537390285956</v>
      </c>
      <c r="AO71">
        <f>'Implied Productivity Ratios'!AP71/'Implied Productivity Ratios'!$V71</f>
        <v>2.0233751819187811</v>
      </c>
      <c r="AP71">
        <f>'Implied Productivity Ratios'!AQ71/'Implied Productivity Ratios'!$V71</f>
        <v>2.0815782661217122</v>
      </c>
      <c r="AQ71">
        <f>'Implied Productivity Ratios'!AR71/'Implied Productivity Ratios'!$V71</f>
        <v>2.1399774036090462</v>
      </c>
      <c r="AR71">
        <f>'Implied Productivity Ratios'!AS71/'Implied Productivity Ratios'!$V71</f>
        <v>2.1985723551313003</v>
      </c>
      <c r="AS71">
        <f>'Implied Productivity Ratios'!AT71/'Implied Productivity Ratios'!$V71</f>
        <v>2.2567133676833939</v>
      </c>
      <c r="AT71">
        <f>'Implied Productivity Ratios'!AU71/'Implied Productivity Ratios'!$V71</f>
        <v>2.3146761761870618</v>
      </c>
      <c r="AU71">
        <f>'Implied Productivity Ratios'!AV71/'Implied Productivity Ratios'!$V71</f>
        <v>2.3730713757195208</v>
      </c>
      <c r="AV71">
        <f>'Implied Productivity Ratios'!AW71/'Implied Productivity Ratios'!$V71</f>
        <v>2.4301312285620376</v>
      </c>
      <c r="AW71">
        <f>'Implied Productivity Ratios'!AX71/'Implied Productivity Ratios'!$V71</f>
        <v>2.4857654506621367</v>
      </c>
      <c r="AX71">
        <f>'Implied Productivity Ratios'!AY71/'Implied Productivity Ratios'!$V71</f>
        <v>2.5397270419657634</v>
      </c>
      <c r="AY71">
        <f>'Implied Productivity Ratios'!AZ71/'Implied Productivity Ratios'!$V71</f>
        <v>2.5931858184094891</v>
      </c>
      <c r="AZ71">
        <f>'Implied Productivity Ratios'!BA71/'Implied Productivity Ratios'!$V71</f>
        <v>2.6476085346365141</v>
      </c>
      <c r="BA71">
        <f>'Implied Productivity Ratios'!BB71/'Implied Productivity Ratios'!$V71</f>
        <v>2.7029939352029837</v>
      </c>
      <c r="BB71">
        <f>'Implied Productivity Ratios'!BC71/'Implied Productivity Ratios'!$V71</f>
        <v>2.7595391993548386</v>
      </c>
      <c r="BC71" s="5">
        <f>'Implied Productivity Ratios'!BD71/'Implied Productivity Ratios'!$V71</f>
        <v>2.8142939490933792</v>
      </c>
      <c r="BD71" s="5">
        <f>'Implied Productivity Ratios'!BE71/'Implied Productivity Ratios'!$V71</f>
        <v>2.8690486988319197</v>
      </c>
      <c r="BE71" s="5">
        <f>'Implied Productivity Ratios'!BF71/'Implied Productivity Ratios'!$V71</f>
        <v>2.9238034485704598</v>
      </c>
      <c r="BF71" s="5">
        <f>'Implied Productivity Ratios'!BG71/'Implied Productivity Ratios'!$V71</f>
        <v>2.9785581983090004</v>
      </c>
      <c r="BG71" s="5">
        <f>'Implied Productivity Ratios'!BH71/'Implied Productivity Ratios'!$V71</f>
        <v>3.0333129480475405</v>
      </c>
    </row>
    <row r="72" spans="2:59">
      <c r="B72">
        <v>533</v>
      </c>
      <c r="C72" t="s">
        <v>398</v>
      </c>
      <c r="D72">
        <f>'Implied Productivity Ratios'!E72/'Implied Productivity Ratios'!$V72</f>
        <v>0.62540175538819753</v>
      </c>
      <c r="E72">
        <f>'Implied Productivity Ratios'!F72/'Implied Productivity Ratios'!$V72</f>
        <v>0.73404147969082978</v>
      </c>
      <c r="F72">
        <f>'Implied Productivity Ratios'!G72/'Implied Productivity Ratios'!$V72</f>
        <v>0.67913908187027427</v>
      </c>
      <c r="G72">
        <f>'Implied Productivity Ratios'!H72/'Implied Productivity Ratios'!$V72</f>
        <v>0.69843456332800102</v>
      </c>
      <c r="H72">
        <f>'Implied Productivity Ratios'!I72/'Implied Productivity Ratios'!$V72</f>
        <v>0.68731203077919956</v>
      </c>
      <c r="I72">
        <f>'Implied Productivity Ratios'!J72/'Implied Productivity Ratios'!$V72</f>
        <v>0.69140935615251176</v>
      </c>
      <c r="J72">
        <f>'Implied Productivity Ratios'!K72/'Implied Productivity Ratios'!$V72</f>
        <v>0.66204083606545161</v>
      </c>
      <c r="K72">
        <f>'Implied Productivity Ratios'!L72/'Implied Productivity Ratios'!$V72</f>
        <v>0.68844419866819462</v>
      </c>
      <c r="L72">
        <f>'Implied Productivity Ratios'!M72/'Implied Productivity Ratios'!$V72</f>
        <v>0.68186544633201229</v>
      </c>
      <c r="M72">
        <f>'Implied Productivity Ratios'!N72/'Implied Productivity Ratios'!$V72</f>
        <v>0.69404862517483235</v>
      </c>
      <c r="N72">
        <f>'Implied Productivity Ratios'!O72/'Implied Productivity Ratios'!$V72</f>
        <v>0.7165536458377314</v>
      </c>
      <c r="O72">
        <f>'Implied Productivity Ratios'!P72/'Implied Productivity Ratios'!$V72</f>
        <v>0.7777416957601514</v>
      </c>
      <c r="P72">
        <f>'Implied Productivity Ratios'!Q72/'Implied Productivity Ratios'!$V72</f>
        <v>0.80139196867746132</v>
      </c>
      <c r="Q72">
        <f>'Implied Productivity Ratios'!R72/'Implied Productivity Ratios'!$V72</f>
        <v>0.79087340417573426</v>
      </c>
      <c r="R72">
        <f>'Implied Productivity Ratios'!S72/'Implied Productivity Ratios'!$V72</f>
        <v>0.80242996973102343</v>
      </c>
      <c r="S72">
        <f>'Implied Productivity Ratios'!T72/'Implied Productivity Ratios'!$V72</f>
        <v>0.98585570476867856</v>
      </c>
      <c r="T72">
        <f>'Implied Productivity Ratios'!U72/'Implied Productivity Ratios'!$V72</f>
        <v>1.0221913766726731</v>
      </c>
      <c r="U72">
        <f>'Implied Productivity Ratios'!V72/'Implied Productivity Ratios'!$V72</f>
        <v>1</v>
      </c>
      <c r="V72">
        <f>'Implied Productivity Ratios'!W72/'Implied Productivity Ratios'!$V72</f>
        <v>0.95292156369184067</v>
      </c>
      <c r="W72">
        <f>'Implied Productivity Ratios'!X72/'Implied Productivity Ratios'!$V72</f>
        <v>0.95632106657258797</v>
      </c>
      <c r="X72">
        <f>'Implied Productivity Ratios'!Y72/'Implied Productivity Ratios'!$V72</f>
        <v>0.97653924692769534</v>
      </c>
      <c r="Y72">
        <f>'Implied Productivity Ratios'!Z72/'Implied Productivity Ratios'!$V72</f>
        <v>0.99930054852055394</v>
      </c>
      <c r="Z72">
        <f>'Implied Productivity Ratios'!AA72/'Implied Productivity Ratios'!$V72</f>
        <v>1.0259159147070018</v>
      </c>
      <c r="AA72">
        <f>'Implied Productivity Ratios'!AB72/'Implied Productivity Ratios'!$V72</f>
        <v>1.0567159648727245</v>
      </c>
      <c r="AB72">
        <f>'Implied Productivity Ratios'!AC72/'Implied Productivity Ratios'!$V72</f>
        <v>1.0907182534523963</v>
      </c>
      <c r="AC72">
        <f>'Implied Productivity Ratios'!AD72/'Implied Productivity Ratios'!$V72</f>
        <v>1.1272424306230631</v>
      </c>
      <c r="AD72">
        <f>'Implied Productivity Ratios'!AE72/'Implied Productivity Ratios'!$V72</f>
        <v>1.1646176139349655</v>
      </c>
      <c r="AE72">
        <f>'Implied Productivity Ratios'!AF72/'Implied Productivity Ratios'!$V72</f>
        <v>1.2025984972439612</v>
      </c>
      <c r="AF72">
        <f>'Implied Productivity Ratios'!AG72/'Implied Productivity Ratios'!$V72</f>
        <v>1.2415943445263298</v>
      </c>
      <c r="AG72">
        <f>'Implied Productivity Ratios'!AH72/'Implied Productivity Ratios'!$V72</f>
        <v>1.2796612615233407</v>
      </c>
      <c r="AH72">
        <f>'Implied Productivity Ratios'!AI72/'Implied Productivity Ratios'!$V72</f>
        <v>1.316583356799057</v>
      </c>
      <c r="AI72">
        <f>'Implied Productivity Ratios'!AJ72/'Implied Productivity Ratios'!$V72</f>
        <v>1.3537890226265503</v>
      </c>
      <c r="AJ72">
        <f>'Implied Productivity Ratios'!AK72/'Implied Productivity Ratios'!$V72</f>
        <v>1.3918213231649819</v>
      </c>
      <c r="AK72">
        <f>'Implied Productivity Ratios'!AL72/'Implied Productivity Ratios'!$V72</f>
        <v>1.4303486582841274</v>
      </c>
      <c r="AL72">
        <f>'Implied Productivity Ratios'!AM72/'Implied Productivity Ratios'!$V72</f>
        <v>1.4686872813066354</v>
      </c>
      <c r="AM72">
        <f>'Implied Productivity Ratios'!AN72/'Implied Productivity Ratios'!$V72</f>
        <v>1.5070089957735389</v>
      </c>
      <c r="AN72">
        <f>'Implied Productivity Ratios'!AO72/'Implied Productivity Ratios'!$V72</f>
        <v>1.5449276846657671</v>
      </c>
      <c r="AO72">
        <f>'Implied Productivity Ratios'!AP72/'Implied Productivity Ratios'!$V72</f>
        <v>1.5825244926580355</v>
      </c>
      <c r="AP72">
        <f>'Implied Productivity Ratios'!AQ72/'Implied Productivity Ratios'!$V72</f>
        <v>1.6199612359137086</v>
      </c>
      <c r="AQ72">
        <f>'Implied Productivity Ratios'!AR72/'Implied Productivity Ratios'!$V72</f>
        <v>1.6576255429387774</v>
      </c>
      <c r="AR72">
        <f>'Implied Productivity Ratios'!AS72/'Implied Productivity Ratios'!$V72</f>
        <v>1.6955033467553189</v>
      </c>
      <c r="AS72">
        <f>'Implied Productivity Ratios'!AT72/'Implied Productivity Ratios'!$V72</f>
        <v>1.7332529201201923</v>
      </c>
      <c r="AT72">
        <f>'Implied Productivity Ratios'!AU72/'Implied Productivity Ratios'!$V72</f>
        <v>1.7710924843452081</v>
      </c>
      <c r="AU72">
        <f>'Implied Productivity Ratios'!AV72/'Implied Productivity Ratios'!$V72</f>
        <v>1.8093994466154961</v>
      </c>
      <c r="AV72">
        <f>'Implied Productivity Ratios'!AW72/'Implied Productivity Ratios'!$V72</f>
        <v>1.8471484156737783</v>
      </c>
      <c r="AW72">
        <f>'Implied Productivity Ratios'!AX72/'Implied Productivity Ratios'!$V72</f>
        <v>1.8840558629865889</v>
      </c>
      <c r="AX72">
        <f>'Implied Productivity Ratios'!AY72/'Implied Productivity Ratios'!$V72</f>
        <v>1.9200767171945612</v>
      </c>
      <c r="AY72">
        <f>'Implied Productivity Ratios'!AZ72/'Implied Productivity Ratios'!$V72</f>
        <v>1.9561195512462517</v>
      </c>
      <c r="AZ72">
        <f>'Implied Productivity Ratios'!BA72/'Implied Productivity Ratios'!$V72</f>
        <v>1.9934362529309106</v>
      </c>
      <c r="BA72">
        <f>'Implied Productivity Ratios'!BB72/'Implied Productivity Ratios'!$V72</f>
        <v>2.0318590315259453</v>
      </c>
      <c r="BB72">
        <f>'Implied Productivity Ratios'!BC72/'Implied Productivity Ratios'!$V72</f>
        <v>2.0718369975925079</v>
      </c>
      <c r="BC72" s="5">
        <f>'Implied Productivity Ratios'!BD72/'Implied Productivity Ratios'!$V72</f>
        <v>2.1093932245136915</v>
      </c>
      <c r="BD72" s="5">
        <f>'Implied Productivity Ratios'!BE72/'Implied Productivity Ratios'!$V72</f>
        <v>2.146949451434875</v>
      </c>
      <c r="BE72" s="5">
        <f>'Implied Productivity Ratios'!BF72/'Implied Productivity Ratios'!$V72</f>
        <v>2.184505678356059</v>
      </c>
      <c r="BF72" s="5">
        <f>'Implied Productivity Ratios'!BG72/'Implied Productivity Ratios'!$V72</f>
        <v>2.2220619052772426</v>
      </c>
      <c r="BG72" s="5">
        <f>'Implied Productivity Ratios'!BH72/'Implied Productivity Ratios'!$V72</f>
        <v>2.2596181321984266</v>
      </c>
    </row>
    <row r="73" spans="2:59">
      <c r="B73">
        <v>541</v>
      </c>
      <c r="C73" t="s">
        <v>26</v>
      </c>
      <c r="D73">
        <f>'Implied Productivity Ratios'!E73/'Implied Productivity Ratios'!$V73</f>
        <v>0.73195324864562405</v>
      </c>
      <c r="E73">
        <f>'Implied Productivity Ratios'!F73/'Implied Productivity Ratios'!$V73</f>
        <v>0.72865359586571976</v>
      </c>
      <c r="F73">
        <f>'Implied Productivity Ratios'!G73/'Implied Productivity Ratios'!$V73</f>
        <v>0.73339117781682328</v>
      </c>
      <c r="G73">
        <f>'Implied Productivity Ratios'!H73/'Implied Productivity Ratios'!$V73</f>
        <v>0.77541709613861731</v>
      </c>
      <c r="H73">
        <f>'Implied Productivity Ratios'!I73/'Implied Productivity Ratios'!$V73</f>
        <v>0.7656358443940412</v>
      </c>
      <c r="I73">
        <f>'Implied Productivity Ratios'!J73/'Implied Productivity Ratios'!$V73</f>
        <v>0.78787985283063944</v>
      </c>
      <c r="J73">
        <f>'Implied Productivity Ratios'!K73/'Implied Productivity Ratios'!$V73</f>
        <v>0.80171809902630309</v>
      </c>
      <c r="K73">
        <f>'Implied Productivity Ratios'!L73/'Implied Productivity Ratios'!$V73</f>
        <v>0.81135295049794509</v>
      </c>
      <c r="L73">
        <f>'Implied Productivity Ratios'!M73/'Implied Productivity Ratios'!$V73</f>
        <v>0.79498059672054544</v>
      </c>
      <c r="M73">
        <f>'Implied Productivity Ratios'!N73/'Implied Productivity Ratios'!$V73</f>
        <v>0.80650354943163094</v>
      </c>
      <c r="N73">
        <f>'Implied Productivity Ratios'!O73/'Implied Productivity Ratios'!$V73</f>
        <v>0.81794788444142341</v>
      </c>
      <c r="O73">
        <f>'Implied Productivity Ratios'!P73/'Implied Productivity Ratios'!$V73</f>
        <v>0.8225166546494741</v>
      </c>
      <c r="P73">
        <f>'Implied Productivity Ratios'!Q73/'Implied Productivity Ratios'!$V73</f>
        <v>0.83569351502121558</v>
      </c>
      <c r="Q73">
        <f>'Implied Productivity Ratios'!R73/'Implied Productivity Ratios'!$V73</f>
        <v>0.86902585013071942</v>
      </c>
      <c r="R73">
        <f>'Implied Productivity Ratios'!S73/'Implied Productivity Ratios'!$V73</f>
        <v>0.89170831513133164</v>
      </c>
      <c r="S73">
        <f>'Implied Productivity Ratios'!T73/'Implied Productivity Ratios'!$V73</f>
        <v>0.90713482761871578</v>
      </c>
      <c r="T73">
        <f>'Implied Productivity Ratios'!U73/'Implied Productivity Ratios'!$V73</f>
        <v>0.98475531601211108</v>
      </c>
      <c r="U73">
        <f>'Implied Productivity Ratios'!V73/'Implied Productivity Ratios'!$V73</f>
        <v>1</v>
      </c>
      <c r="V73">
        <f>'Implied Productivity Ratios'!W73/'Implied Productivity Ratios'!$V73</f>
        <v>1.0211666431640585</v>
      </c>
      <c r="W73">
        <f>'Implied Productivity Ratios'!X73/'Implied Productivity Ratios'!$V73</f>
        <v>1.0516546088268679</v>
      </c>
      <c r="X73">
        <f>'Implied Productivity Ratios'!Y73/'Implied Productivity Ratios'!$V73</f>
        <v>1.0733345439696784</v>
      </c>
      <c r="Y73">
        <f>'Implied Productivity Ratios'!Z73/'Implied Productivity Ratios'!$V73</f>
        <v>1.0924393690929031</v>
      </c>
      <c r="Z73">
        <f>'Implied Productivity Ratios'!AA73/'Implied Productivity Ratios'!$V73</f>
        <v>1.1173938365721217</v>
      </c>
      <c r="AA73">
        <f>'Implied Productivity Ratios'!AB73/'Implied Productivity Ratios'!$V73</f>
        <v>1.1449471060149641</v>
      </c>
      <c r="AB73">
        <f>'Implied Productivity Ratios'!AC73/'Implied Productivity Ratios'!$V73</f>
        <v>1.1746905754448187</v>
      </c>
      <c r="AC73">
        <f>'Implied Productivity Ratios'!AD73/'Implied Productivity Ratios'!$V73</f>
        <v>1.206229647655807</v>
      </c>
      <c r="AD73">
        <f>'Implied Productivity Ratios'!AE73/'Implied Productivity Ratios'!$V73</f>
        <v>1.2369366058591822</v>
      </c>
      <c r="AE73">
        <f>'Implied Productivity Ratios'!AF73/'Implied Productivity Ratios'!$V73</f>
        <v>1.2681337102644543</v>
      </c>
      <c r="AF73">
        <f>'Implied Productivity Ratios'!AG73/'Implied Productivity Ratios'!$V73</f>
        <v>1.2984910160488301</v>
      </c>
      <c r="AG73">
        <f>'Implied Productivity Ratios'!AH73/'Implied Productivity Ratios'!$V73</f>
        <v>1.3265895055193035</v>
      </c>
      <c r="AH73">
        <f>'Implied Productivity Ratios'!AI73/'Implied Productivity Ratios'!$V73</f>
        <v>1.3531373572789283</v>
      </c>
      <c r="AI73">
        <f>'Implied Productivity Ratios'!AJ73/'Implied Productivity Ratios'!$V73</f>
        <v>1.3809963902733193</v>
      </c>
      <c r="AJ73">
        <f>'Implied Productivity Ratios'!AK73/'Implied Productivity Ratios'!$V73</f>
        <v>1.4111650302212024</v>
      </c>
      <c r="AK73">
        <f>'Implied Productivity Ratios'!AL73/'Implied Productivity Ratios'!$V73</f>
        <v>1.4415886848868489</v>
      </c>
      <c r="AL73">
        <f>'Implied Productivity Ratios'!AM73/'Implied Productivity Ratios'!$V73</f>
        <v>1.4721780233531294</v>
      </c>
      <c r="AM73">
        <f>'Implied Productivity Ratios'!AN73/'Implied Productivity Ratios'!$V73</f>
        <v>1.5026322238906447</v>
      </c>
      <c r="AN73">
        <f>'Implied Productivity Ratios'!AO73/'Implied Productivity Ratios'!$V73</f>
        <v>1.5321180593946087</v>
      </c>
      <c r="AO73">
        <f>'Implied Productivity Ratios'!AP73/'Implied Productivity Ratios'!$V73</f>
        <v>1.561494445049453</v>
      </c>
      <c r="AP73">
        <f>'Implied Productivity Ratios'!AQ73/'Implied Productivity Ratios'!$V73</f>
        <v>1.5912201416444582</v>
      </c>
      <c r="AQ73">
        <f>'Implied Productivity Ratios'!AR73/'Implied Productivity Ratios'!$V73</f>
        <v>1.6213745997412456</v>
      </c>
      <c r="AR73">
        <f>'Implied Productivity Ratios'!AS73/'Implied Productivity Ratios'!$V73</f>
        <v>1.6519058608303445</v>
      </c>
      <c r="AS73">
        <f>'Implied Productivity Ratios'!AT73/'Implied Productivity Ratios'!$V73</f>
        <v>1.6829700137217853</v>
      </c>
      <c r="AT73">
        <f>'Implied Productivity Ratios'!AU73/'Implied Productivity Ratios'!$V73</f>
        <v>1.7158443983016294</v>
      </c>
      <c r="AU73">
        <f>'Implied Productivity Ratios'!AV73/'Implied Productivity Ratios'!$V73</f>
        <v>1.750371392350778</v>
      </c>
      <c r="AV73">
        <f>'Implied Productivity Ratios'!AW73/'Implied Productivity Ratios'!$V73</f>
        <v>1.7856539601820791</v>
      </c>
      <c r="AW73">
        <f>'Implied Productivity Ratios'!AX73/'Implied Productivity Ratios'!$V73</f>
        <v>1.8215722893891302</v>
      </c>
      <c r="AX73">
        <f>'Implied Productivity Ratios'!AY73/'Implied Productivity Ratios'!$V73</f>
        <v>1.8583129426022473</v>
      </c>
      <c r="AY73">
        <f>'Implied Productivity Ratios'!AZ73/'Implied Productivity Ratios'!$V73</f>
        <v>1.8968252910393648</v>
      </c>
      <c r="AZ73">
        <f>'Implied Productivity Ratios'!BA73/'Implied Productivity Ratios'!$V73</f>
        <v>1.937023367220041</v>
      </c>
      <c r="BA73">
        <f>'Implied Productivity Ratios'!BB73/'Implied Productivity Ratios'!$V73</f>
        <v>1.9797507015219831</v>
      </c>
      <c r="BB73">
        <f>'Implied Productivity Ratios'!BC73/'Implied Productivity Ratios'!$V73</f>
        <v>2.0248322967515224</v>
      </c>
      <c r="BC73" s="5">
        <f>'Implied Productivity Ratios'!BD73/'Implied Productivity Ratios'!$V73</f>
        <v>2.0654842982240011</v>
      </c>
      <c r="BD73" s="5">
        <f>'Implied Productivity Ratios'!BE73/'Implied Productivity Ratios'!$V73</f>
        <v>2.1061362996964794</v>
      </c>
      <c r="BE73" s="5">
        <f>'Implied Productivity Ratios'!BF73/'Implied Productivity Ratios'!$V73</f>
        <v>2.1467883011689581</v>
      </c>
      <c r="BF73" s="5">
        <f>'Implied Productivity Ratios'!BG73/'Implied Productivity Ratios'!$V73</f>
        <v>2.1874403026414364</v>
      </c>
      <c r="BG73" s="5">
        <f>'Implied Productivity Ratios'!BH73/'Implied Productivity Ratios'!$V73</f>
        <v>2.2280923041139151</v>
      </c>
    </row>
    <row r="74" spans="2:59">
      <c r="B74">
        <v>551</v>
      </c>
      <c r="C74" t="s">
        <v>27</v>
      </c>
      <c r="D74">
        <f>'Implied Productivity Ratios'!E74/'Implied Productivity Ratios'!$V74</f>
        <v>0.69495626230277907</v>
      </c>
      <c r="E74">
        <f>'Implied Productivity Ratios'!F74/'Implied Productivity Ratios'!$V74</f>
        <v>0.67669499563716595</v>
      </c>
      <c r="F74">
        <f>'Implied Productivity Ratios'!G74/'Implied Productivity Ratios'!$V74</f>
        <v>0.64773801500690809</v>
      </c>
      <c r="G74">
        <f>'Implied Productivity Ratios'!H74/'Implied Productivity Ratios'!$V74</f>
        <v>0.63772654219746672</v>
      </c>
      <c r="H74">
        <f>'Implied Productivity Ratios'!I74/'Implied Productivity Ratios'!$V74</f>
        <v>0.59531019478724068</v>
      </c>
      <c r="I74">
        <f>'Implied Productivity Ratios'!J74/'Implied Productivity Ratios'!$V74</f>
        <v>0.63630420489117012</v>
      </c>
      <c r="J74">
        <f>'Implied Productivity Ratios'!K74/'Implied Productivity Ratios'!$V74</f>
        <v>0.63923342555294449</v>
      </c>
      <c r="K74">
        <f>'Implied Productivity Ratios'!L74/'Implied Productivity Ratios'!$V74</f>
        <v>0.66241989516303035</v>
      </c>
      <c r="L74">
        <f>'Implied Productivity Ratios'!M74/'Implied Productivity Ratios'!$V74</f>
        <v>0.67602886490694225</v>
      </c>
      <c r="M74">
        <f>'Implied Productivity Ratios'!N74/'Implied Productivity Ratios'!$V74</f>
        <v>0.70273542137229605</v>
      </c>
      <c r="N74">
        <f>'Implied Productivity Ratios'!O74/'Implied Productivity Ratios'!$V74</f>
        <v>0.70656257992184579</v>
      </c>
      <c r="O74">
        <f>'Implied Productivity Ratios'!P74/'Implied Productivity Ratios'!$V74</f>
        <v>0.70407763642959409</v>
      </c>
      <c r="P74">
        <f>'Implied Productivity Ratios'!Q74/'Implied Productivity Ratios'!$V74</f>
        <v>0.73787579798978731</v>
      </c>
      <c r="Q74">
        <f>'Implied Productivity Ratios'!R74/'Implied Productivity Ratios'!$V74</f>
        <v>0.77187614933224513</v>
      </c>
      <c r="R74">
        <f>'Implied Productivity Ratios'!S74/'Implied Productivity Ratios'!$V74</f>
        <v>0.81149129943201437</v>
      </c>
      <c r="S74">
        <f>'Implied Productivity Ratios'!T74/'Implied Productivity Ratios'!$V74</f>
        <v>0.85719999736952812</v>
      </c>
      <c r="T74">
        <f>'Implied Productivity Ratios'!U74/'Implied Productivity Ratios'!$V74</f>
        <v>0.94310225827339145</v>
      </c>
      <c r="U74">
        <f>'Implied Productivity Ratios'!V74/'Implied Productivity Ratios'!$V74</f>
        <v>1</v>
      </c>
      <c r="V74">
        <f>'Implied Productivity Ratios'!W74/'Implied Productivity Ratios'!$V74</f>
        <v>0.99655830527777123</v>
      </c>
      <c r="W74">
        <f>'Implied Productivity Ratios'!X74/'Implied Productivity Ratios'!$V74</f>
        <v>1.0202034949992329</v>
      </c>
      <c r="X74">
        <f>'Implied Productivity Ratios'!Y74/'Implied Productivity Ratios'!$V74</f>
        <v>1.0398102555542887</v>
      </c>
      <c r="Y74">
        <f>'Implied Productivity Ratios'!Z74/'Implied Productivity Ratios'!$V74</f>
        <v>1.0560938091123555</v>
      </c>
      <c r="Z74">
        <f>'Implied Productivity Ratios'!AA74/'Implied Productivity Ratios'!$V74</f>
        <v>1.0758469351518407</v>
      </c>
      <c r="AA74">
        <f>'Implied Productivity Ratios'!AB74/'Implied Productivity Ratios'!$V74</f>
        <v>1.0985225362791897</v>
      </c>
      <c r="AB74">
        <f>'Implied Productivity Ratios'!AC74/'Implied Productivity Ratios'!$V74</f>
        <v>1.1239624852031413</v>
      </c>
      <c r="AC74">
        <f>'Implied Productivity Ratios'!AD74/'Implied Productivity Ratios'!$V74</f>
        <v>1.1512478771048233</v>
      </c>
      <c r="AD74">
        <f>'Implied Productivity Ratios'!AE74/'Implied Productivity Ratios'!$V74</f>
        <v>1.1777114486711986</v>
      </c>
      <c r="AE74">
        <f>'Implied Productivity Ratios'!AF74/'Implied Productivity Ratios'!$V74</f>
        <v>1.2042982277511822</v>
      </c>
      <c r="AF74">
        <f>'Implied Productivity Ratios'!AG74/'Implied Productivity Ratios'!$V74</f>
        <v>1.231447838073938</v>
      </c>
      <c r="AG74">
        <f>'Implied Productivity Ratios'!AH74/'Implied Productivity Ratios'!$V74</f>
        <v>1.2568183331661482</v>
      </c>
      <c r="AH74">
        <f>'Implied Productivity Ratios'!AI74/'Implied Productivity Ratios'!$V74</f>
        <v>1.2813157820241199</v>
      </c>
      <c r="AI74">
        <f>'Implied Productivity Ratios'!AJ74/'Implied Productivity Ratios'!$V74</f>
        <v>1.307551090960513</v>
      </c>
      <c r="AJ74">
        <f>'Implied Productivity Ratios'!AK74/'Implied Productivity Ratios'!$V74</f>
        <v>1.3356820268967491</v>
      </c>
      <c r="AK74">
        <f>'Implied Productivity Ratios'!AL74/'Implied Productivity Ratios'!$V74</f>
        <v>1.3639560985528008</v>
      </c>
      <c r="AL74">
        <f>'Implied Productivity Ratios'!AM74/'Implied Productivity Ratios'!$V74</f>
        <v>1.3918832911002079</v>
      </c>
      <c r="AM74">
        <f>'Implied Productivity Ratios'!AN74/'Implied Productivity Ratios'!$V74</f>
        <v>1.4194072627211958</v>
      </c>
      <c r="AN74">
        <f>'Implied Productivity Ratios'!AO74/'Implied Productivity Ratios'!$V74</f>
        <v>1.4463437094586551</v>
      </c>
      <c r="AO74">
        <f>'Implied Productivity Ratios'!AP74/'Implied Productivity Ratios'!$V74</f>
        <v>1.4734090592082183</v>
      </c>
      <c r="AP74">
        <f>'Implied Productivity Ratios'!AQ74/'Implied Productivity Ratios'!$V74</f>
        <v>1.5008840823702581</v>
      </c>
      <c r="AQ74">
        <f>'Implied Productivity Ratios'!AR74/'Implied Productivity Ratios'!$V74</f>
        <v>1.5290557951099708</v>
      </c>
      <c r="AR74">
        <f>'Implied Productivity Ratios'!AS74/'Implied Productivity Ratios'!$V74</f>
        <v>1.5576693637633858</v>
      </c>
      <c r="AS74">
        <f>'Implied Productivity Ratios'!AT74/'Implied Productivity Ratios'!$V74</f>
        <v>1.5862853873970371</v>
      </c>
      <c r="AT74">
        <f>'Implied Productivity Ratios'!AU74/'Implied Productivity Ratios'!$V74</f>
        <v>1.6157726170297273</v>
      </c>
      <c r="AU74">
        <f>'Implied Productivity Ratios'!AV74/'Implied Productivity Ratios'!$V74</f>
        <v>1.6463794386238066</v>
      </c>
      <c r="AV74">
        <f>'Implied Productivity Ratios'!AW74/'Implied Productivity Ratios'!$V74</f>
        <v>1.6770391786048313</v>
      </c>
      <c r="AW74">
        <f>'Implied Productivity Ratios'!AX74/'Implied Productivity Ratios'!$V74</f>
        <v>1.7078501068727434</v>
      </c>
      <c r="AX74">
        <f>'Implied Productivity Ratios'!AY74/'Implied Productivity Ratios'!$V74</f>
        <v>1.7387632785134479</v>
      </c>
      <c r="AY74">
        <f>'Implied Productivity Ratios'!AZ74/'Implied Productivity Ratios'!$V74</f>
        <v>1.7706998233176658</v>
      </c>
      <c r="AZ74">
        <f>'Implied Productivity Ratios'!BA74/'Implied Productivity Ratios'!$V74</f>
        <v>1.8035727499610856</v>
      </c>
      <c r="BA74">
        <f>'Implied Productivity Ratios'!BB74/'Implied Productivity Ratios'!$V74</f>
        <v>1.8381898372329688</v>
      </c>
      <c r="BB74">
        <f>'Implied Productivity Ratios'!BC74/'Implied Productivity Ratios'!$V74</f>
        <v>1.8746746477894989</v>
      </c>
      <c r="BC74" s="5">
        <f>'Implied Productivity Ratios'!BD74/'Implied Productivity Ratios'!$V74</f>
        <v>1.9080395559728502</v>
      </c>
      <c r="BD74" s="5">
        <f>'Implied Productivity Ratios'!BE74/'Implied Productivity Ratios'!$V74</f>
        <v>1.9414044641562014</v>
      </c>
      <c r="BE74" s="5">
        <f>'Implied Productivity Ratios'!BF74/'Implied Productivity Ratios'!$V74</f>
        <v>1.9747693723395525</v>
      </c>
      <c r="BF74" s="5">
        <f>'Implied Productivity Ratios'!BG74/'Implied Productivity Ratios'!$V74</f>
        <v>2.0081342805229037</v>
      </c>
      <c r="BG74" s="5">
        <f>'Implied Productivity Ratios'!BH74/'Implied Productivity Ratios'!$V74</f>
        <v>2.041499188706255</v>
      </c>
    </row>
    <row r="75" spans="2:59">
      <c r="B75">
        <v>561</v>
      </c>
      <c r="C75" t="s">
        <v>406</v>
      </c>
      <c r="D75">
        <f>'Implied Productivity Ratios'!E75/'Implied Productivity Ratios'!$V75</f>
        <v>0.72944999719668557</v>
      </c>
      <c r="E75">
        <f>'Implied Productivity Ratios'!F75/'Implied Productivity Ratios'!$V75</f>
        <v>0.72804710103277215</v>
      </c>
      <c r="F75">
        <f>'Implied Productivity Ratios'!G75/'Implied Productivity Ratios'!$V75</f>
        <v>0.75923557374621686</v>
      </c>
      <c r="G75">
        <f>'Implied Productivity Ratios'!H75/'Implied Productivity Ratios'!$V75</f>
        <v>0.78940382548222265</v>
      </c>
      <c r="H75">
        <f>'Implied Productivity Ratios'!I75/'Implied Productivity Ratios'!$V75</f>
        <v>0.8080029184226728</v>
      </c>
      <c r="I75">
        <f>'Implied Productivity Ratios'!J75/'Implied Productivity Ratios'!$V75</f>
        <v>0.82048159409316557</v>
      </c>
      <c r="J75">
        <f>'Implied Productivity Ratios'!K75/'Implied Productivity Ratios'!$V75</f>
        <v>0.82594965927412223</v>
      </c>
      <c r="K75">
        <f>'Implied Productivity Ratios'!L75/'Implied Productivity Ratios'!$V75</f>
        <v>0.82675204580938799</v>
      </c>
      <c r="L75">
        <f>'Implied Productivity Ratios'!M75/'Implied Productivity Ratios'!$V75</f>
        <v>0.81504919398018572</v>
      </c>
      <c r="M75">
        <f>'Implied Productivity Ratios'!N75/'Implied Productivity Ratios'!$V75</f>
        <v>0.81694238634108296</v>
      </c>
      <c r="N75">
        <f>'Implied Productivity Ratios'!O75/'Implied Productivity Ratios'!$V75</f>
        <v>0.8066615321880124</v>
      </c>
      <c r="O75">
        <f>'Implied Productivity Ratios'!P75/'Implied Productivity Ratios'!$V75</f>
        <v>0.79774216743894788</v>
      </c>
      <c r="P75">
        <f>'Implied Productivity Ratios'!Q75/'Implied Productivity Ratios'!$V75</f>
        <v>0.83820586288386101</v>
      </c>
      <c r="Q75">
        <f>'Implied Productivity Ratios'!R75/'Implied Productivity Ratios'!$V75</f>
        <v>0.86619002354214381</v>
      </c>
      <c r="R75">
        <f>'Implied Productivity Ratios'!S75/'Implied Productivity Ratios'!$V75</f>
        <v>0.88709452784052523</v>
      </c>
      <c r="S75">
        <f>'Implied Productivity Ratios'!T75/'Implied Productivity Ratios'!$V75</f>
        <v>0.9121439950035406</v>
      </c>
      <c r="T75">
        <f>'Implied Productivity Ratios'!U75/'Implied Productivity Ratios'!$V75</f>
        <v>0.96404198384949169</v>
      </c>
      <c r="U75">
        <f>'Implied Productivity Ratios'!V75/'Implied Productivity Ratios'!$V75</f>
        <v>1</v>
      </c>
      <c r="V75">
        <f>'Implied Productivity Ratios'!W75/'Implied Productivity Ratios'!$V75</f>
        <v>1.0242772747455018</v>
      </c>
      <c r="W75">
        <f>'Implied Productivity Ratios'!X75/'Implied Productivity Ratios'!$V75</f>
        <v>1.0478491374055923</v>
      </c>
      <c r="X75">
        <f>'Implied Productivity Ratios'!Y75/'Implied Productivity Ratios'!$V75</f>
        <v>1.0764342319340745</v>
      </c>
      <c r="Y75">
        <f>'Implied Productivity Ratios'!Z75/'Implied Productivity Ratios'!$V75</f>
        <v>1.0873782440938475</v>
      </c>
      <c r="Z75">
        <f>'Implied Productivity Ratios'!AA75/'Implied Productivity Ratios'!$V75</f>
        <v>1.0959287379740681</v>
      </c>
      <c r="AA75">
        <f>'Implied Productivity Ratios'!AB75/'Implied Productivity Ratios'!$V75</f>
        <v>1.1051240338738608</v>
      </c>
      <c r="AB75">
        <f>'Implied Productivity Ratios'!AC75/'Implied Productivity Ratios'!$V75</f>
        <v>1.1156852619133455</v>
      </c>
      <c r="AC75">
        <f>'Implied Productivity Ratios'!AD75/'Implied Productivity Ratios'!$V75</f>
        <v>1.1281252229332304</v>
      </c>
      <c r="AD75">
        <f>'Implied Productivity Ratios'!AE75/'Implied Productivity Ratios'!$V75</f>
        <v>1.141280094223682</v>
      </c>
      <c r="AE75">
        <f>'Implied Productivity Ratios'!AF75/'Implied Productivity Ratios'!$V75</f>
        <v>1.1543809740635809</v>
      </c>
      <c r="AF75">
        <f>'Implied Productivity Ratios'!AG75/'Implied Productivity Ratios'!$V75</f>
        <v>1.1665694830916324</v>
      </c>
      <c r="AG75">
        <f>'Implied Productivity Ratios'!AH75/'Implied Productivity Ratios'!$V75</f>
        <v>1.1769708733608304</v>
      </c>
      <c r="AH75">
        <f>'Implied Productivity Ratios'!AI75/'Implied Productivity Ratios'!$V75</f>
        <v>1.1874813223053811</v>
      </c>
      <c r="AI75">
        <f>'Implied Productivity Ratios'!AJ75/'Implied Productivity Ratios'!$V75</f>
        <v>1.1991416904906509</v>
      </c>
      <c r="AJ75">
        <f>'Implied Productivity Ratios'!AK75/'Implied Productivity Ratios'!$V75</f>
        <v>1.212274726751573</v>
      </c>
      <c r="AK75">
        <f>'Implied Productivity Ratios'!AL75/'Implied Productivity Ratios'!$V75</f>
        <v>1.2262446004633023</v>
      </c>
      <c r="AL75">
        <f>'Implied Productivity Ratios'!AM75/'Implied Productivity Ratios'!$V75</f>
        <v>1.2409602029415971</v>
      </c>
      <c r="AM75">
        <f>'Implied Productivity Ratios'!AN75/'Implied Productivity Ratios'!$V75</f>
        <v>1.2563890391461372</v>
      </c>
      <c r="AN75">
        <f>'Implied Productivity Ratios'!AO75/'Implied Productivity Ratios'!$V75</f>
        <v>1.2725118013881946</v>
      </c>
      <c r="AO75">
        <f>'Implied Productivity Ratios'!AP75/'Implied Productivity Ratios'!$V75</f>
        <v>1.2894253579242385</v>
      </c>
      <c r="AP75">
        <f>'Implied Productivity Ratios'!AQ75/'Implied Productivity Ratios'!$V75</f>
        <v>1.3076010896536279</v>
      </c>
      <c r="AQ75">
        <f>'Implied Productivity Ratios'!AR75/'Implied Productivity Ratios'!$V75</f>
        <v>1.3266947882547324</v>
      </c>
      <c r="AR75">
        <f>'Implied Productivity Ratios'!AS75/'Implied Productivity Ratios'!$V75</f>
        <v>1.3459368720284828</v>
      </c>
      <c r="AS75">
        <f>'Implied Productivity Ratios'!AT75/'Implied Productivity Ratios'!$V75</f>
        <v>1.3660505263026739</v>
      </c>
      <c r="AT75">
        <f>'Implied Productivity Ratios'!AU75/'Implied Productivity Ratios'!$V75</f>
        <v>1.3871608200899237</v>
      </c>
      <c r="AU75">
        <f>'Implied Productivity Ratios'!AV75/'Implied Productivity Ratios'!$V75</f>
        <v>1.4086916330567745</v>
      </c>
      <c r="AV75">
        <f>'Implied Productivity Ratios'!AW75/'Implied Productivity Ratios'!$V75</f>
        <v>1.4298233578291115</v>
      </c>
      <c r="AW75">
        <f>'Implied Productivity Ratios'!AX75/'Implied Productivity Ratios'!$V75</f>
        <v>1.4510739733572884</v>
      </c>
      <c r="AX75">
        <f>'Implied Productivity Ratios'!AY75/'Implied Productivity Ratios'!$V75</f>
        <v>1.4725250926351054</v>
      </c>
      <c r="AY75">
        <f>'Implied Productivity Ratios'!AZ75/'Implied Productivity Ratios'!$V75</f>
        <v>1.4945269473712732</v>
      </c>
      <c r="AZ75">
        <f>'Implied Productivity Ratios'!BA75/'Implied Productivity Ratios'!$V75</f>
        <v>1.5171418920895676</v>
      </c>
      <c r="BA75">
        <f>'Implied Productivity Ratios'!BB75/'Implied Productivity Ratios'!$V75</f>
        <v>1.540983660531827</v>
      </c>
      <c r="BB75">
        <f>'Implied Productivity Ratios'!BC75/'Implied Productivity Ratios'!$V75</f>
        <v>1.565799249960069</v>
      </c>
      <c r="BC75" s="5">
        <f>'Implied Productivity Ratios'!BD75/'Implied Productivity Ratios'!$V75</f>
        <v>1.5887443052806252</v>
      </c>
      <c r="BD75" s="5">
        <f>'Implied Productivity Ratios'!BE75/'Implied Productivity Ratios'!$V75</f>
        <v>1.6116893606011813</v>
      </c>
      <c r="BE75" s="5">
        <f>'Implied Productivity Ratios'!BF75/'Implied Productivity Ratios'!$V75</f>
        <v>1.6346344159217374</v>
      </c>
      <c r="BF75" s="5">
        <f>'Implied Productivity Ratios'!BG75/'Implied Productivity Ratios'!$V75</f>
        <v>1.6575794712422935</v>
      </c>
      <c r="BG75" s="5">
        <f>'Implied Productivity Ratios'!BH75/'Implied Productivity Ratios'!$V75</f>
        <v>1.6805245265628497</v>
      </c>
    </row>
    <row r="76" spans="2:59">
      <c r="B76">
        <v>562</v>
      </c>
      <c r="C76" t="s">
        <v>410</v>
      </c>
      <c r="D76">
        <f>'Implied Productivity Ratios'!E76/'Implied Productivity Ratios'!$V76</f>
        <v>1.0627075466906364</v>
      </c>
      <c r="E76">
        <f>'Implied Productivity Ratios'!F76/'Implied Productivity Ratios'!$V76</f>
        <v>0.97288664418337367</v>
      </c>
      <c r="F76">
        <f>'Implied Productivity Ratios'!G76/'Implied Productivity Ratios'!$V76</f>
        <v>1.0387830417879471</v>
      </c>
      <c r="G76">
        <f>'Implied Productivity Ratios'!H76/'Implied Productivity Ratios'!$V76</f>
        <v>1.0468705110930483</v>
      </c>
      <c r="H76">
        <f>'Implied Productivity Ratios'!I76/'Implied Productivity Ratios'!$V76</f>
        <v>1.067097277573815</v>
      </c>
      <c r="I76">
        <f>'Implied Productivity Ratios'!J76/'Implied Productivity Ratios'!$V76</f>
        <v>1.2709639863662385</v>
      </c>
      <c r="J76">
        <f>'Implied Productivity Ratios'!K76/'Implied Productivity Ratios'!$V76</f>
        <v>1.0936840645727817</v>
      </c>
      <c r="K76">
        <f>'Implied Productivity Ratios'!L76/'Implied Productivity Ratios'!$V76</f>
        <v>1.0693521299718747</v>
      </c>
      <c r="L76">
        <f>'Implied Productivity Ratios'!M76/'Implied Productivity Ratios'!$V76</f>
        <v>1.0426344562781273</v>
      </c>
      <c r="M76">
        <f>'Implied Productivity Ratios'!N76/'Implied Productivity Ratios'!$V76</f>
        <v>1.0434766819663426</v>
      </c>
      <c r="N76">
        <f>'Implied Productivity Ratios'!O76/'Implied Productivity Ratios'!$V76</f>
        <v>1.0259111863160109</v>
      </c>
      <c r="O76">
        <f>'Implied Productivity Ratios'!P76/'Implied Productivity Ratios'!$V76</f>
        <v>0.96728543787528698</v>
      </c>
      <c r="P76">
        <f>'Implied Productivity Ratios'!Q76/'Implied Productivity Ratios'!$V76</f>
        <v>1.0231171223075821</v>
      </c>
      <c r="Q76">
        <f>'Implied Productivity Ratios'!R76/'Implied Productivity Ratios'!$V76</f>
        <v>0.99982576250049937</v>
      </c>
      <c r="R76">
        <f>'Implied Productivity Ratios'!S76/'Implied Productivity Ratios'!$V76</f>
        <v>0.95655978954836418</v>
      </c>
      <c r="S76">
        <f>'Implied Productivity Ratios'!T76/'Implied Productivity Ratios'!$V76</f>
        <v>0.94185608914459318</v>
      </c>
      <c r="T76">
        <f>'Implied Productivity Ratios'!U76/'Implied Productivity Ratios'!$V76</f>
        <v>1.0064249361441864</v>
      </c>
      <c r="U76">
        <f>'Implied Productivity Ratios'!V76/'Implied Productivity Ratios'!$V76</f>
        <v>1</v>
      </c>
      <c r="V76">
        <f>'Implied Productivity Ratios'!W76/'Implied Productivity Ratios'!$V76</f>
        <v>0.92461612795745296</v>
      </c>
      <c r="W76">
        <f>'Implied Productivity Ratios'!X76/'Implied Productivity Ratios'!$V76</f>
        <v>0.91511337262260684</v>
      </c>
      <c r="X76">
        <f>'Implied Productivity Ratios'!Y76/'Implied Productivity Ratios'!$V76</f>
        <v>0.90159428028278832</v>
      </c>
      <c r="Y76">
        <f>'Implied Productivity Ratios'!Z76/'Implied Productivity Ratios'!$V76</f>
        <v>0.87806455030253094</v>
      </c>
      <c r="Z76">
        <f>'Implied Productivity Ratios'!AA76/'Implied Productivity Ratios'!$V76</f>
        <v>0.85430111414957599</v>
      </c>
      <c r="AA76">
        <f>'Implied Productivity Ratios'!AB76/'Implied Productivity Ratios'!$V76</f>
        <v>0.83270596525519069</v>
      </c>
      <c r="AB76">
        <f>'Implied Productivity Ratios'!AC76/'Implied Productivity Ratios'!$V76</f>
        <v>0.81361035244007152</v>
      </c>
      <c r="AC76">
        <f>'Implied Productivity Ratios'!AD76/'Implied Productivity Ratios'!$V76</f>
        <v>0.79716968226964779</v>
      </c>
      <c r="AD76">
        <f>'Implied Productivity Ratios'!AE76/'Implied Productivity Ratios'!$V76</f>
        <v>0.78241521115085533</v>
      </c>
      <c r="AE76">
        <f>'Implied Productivity Ratios'!AF76/'Implied Productivity Ratios'!$V76</f>
        <v>0.76874863962235351</v>
      </c>
      <c r="AF76">
        <f>'Implied Productivity Ratios'!AG76/'Implied Productivity Ratios'!$V76</f>
        <v>0.75556480848753882</v>
      </c>
      <c r="AG76">
        <f>'Implied Productivity Ratios'!AH76/'Implied Productivity Ratios'!$V76</f>
        <v>0.74230934558209194</v>
      </c>
      <c r="AH76">
        <f>'Implied Productivity Ratios'!AI76/'Implied Productivity Ratios'!$V76</f>
        <v>0.73018582581388858</v>
      </c>
      <c r="AI76">
        <f>'Implied Productivity Ratios'!AJ76/'Implied Productivity Ratios'!$V76</f>
        <v>0.71977797898056806</v>
      </c>
      <c r="AJ76">
        <f>'Implied Productivity Ratios'!AK76/'Implied Productivity Ratios'!$V76</f>
        <v>0.71118899644587263</v>
      </c>
      <c r="AK76">
        <f>'Implied Productivity Ratios'!AL76/'Implied Productivity Ratios'!$V76</f>
        <v>0.70395639623806794</v>
      </c>
      <c r="AL76">
        <f>'Implied Productivity Ratios'!AM76/'Implied Productivity Ratios'!$V76</f>
        <v>0.69797803087046351</v>
      </c>
      <c r="AM76">
        <f>'Implied Productivity Ratios'!AN76/'Implied Productivity Ratios'!$V76</f>
        <v>0.69319961403604924</v>
      </c>
      <c r="AN76">
        <f>'Implied Productivity Ratios'!AO76/'Implied Productivity Ratios'!$V76</f>
        <v>0.68956965139265369</v>
      </c>
      <c r="AO76">
        <f>'Implied Productivity Ratios'!AP76/'Implied Productivity Ratios'!$V76</f>
        <v>0.68710762102452672</v>
      </c>
      <c r="AP76">
        <f>'Implied Productivity Ratios'!AQ76/'Implied Productivity Ratios'!$V76</f>
        <v>0.6860358342504721</v>
      </c>
      <c r="AQ76">
        <f>'Implied Productivity Ratios'!AR76/'Implied Productivity Ratios'!$V76</f>
        <v>0.68614307310433631</v>
      </c>
      <c r="AR76">
        <f>'Implied Productivity Ratios'!AS76/'Implied Productivity Ratios'!$V76</f>
        <v>0.68701977398169234</v>
      </c>
      <c r="AS76">
        <f>'Implied Productivity Ratios'!AT76/'Implied Productivity Ratios'!$V76</f>
        <v>0.68903631951647004</v>
      </c>
      <c r="AT76">
        <f>'Implied Productivity Ratios'!AU76/'Implied Productivity Ratios'!$V76</f>
        <v>0.69225197489488755</v>
      </c>
      <c r="AU76">
        <f>'Implied Productivity Ratios'!AV76/'Implied Productivity Ratios'!$V76</f>
        <v>0.6963783000056023</v>
      </c>
      <c r="AV76">
        <f>'Implied Productivity Ratios'!AW76/'Implied Productivity Ratios'!$V76</f>
        <v>0.70102789478264615</v>
      </c>
      <c r="AW76">
        <f>'Implied Productivity Ratios'!AX76/'Implied Productivity Ratios'!$V76</f>
        <v>0.70647414510196604</v>
      </c>
      <c r="AX76">
        <f>'Implied Productivity Ratios'!AY76/'Implied Productivity Ratios'!$V76</f>
        <v>0.71277989675805498</v>
      </c>
      <c r="AY76">
        <f>'Implied Productivity Ratios'!AZ76/'Implied Productivity Ratios'!$V76</f>
        <v>0.72013805103470452</v>
      </c>
      <c r="AZ76">
        <f>'Implied Productivity Ratios'!BA76/'Implied Productivity Ratios'!$V76</f>
        <v>0.72862908580272623</v>
      </c>
      <c r="BA76">
        <f>'Implied Productivity Ratios'!BB76/'Implied Productivity Ratios'!$V76</f>
        <v>0.73855406786063937</v>
      </c>
      <c r="BB76">
        <f>'Implied Productivity Ratios'!BC76/'Implied Productivity Ratios'!$V76</f>
        <v>0.74981779624846812</v>
      </c>
      <c r="BC76" s="5">
        <f>'Implied Productivity Ratios'!BD76/'Implied Productivity Ratios'!$V76</f>
        <v>0.7584865264777686</v>
      </c>
      <c r="BD76" s="5">
        <f>'Implied Productivity Ratios'!BE76/'Implied Productivity Ratios'!$V76</f>
        <v>0.76715525670706897</v>
      </c>
      <c r="BE76" s="5">
        <f>'Implied Productivity Ratios'!BF76/'Implied Productivity Ratios'!$V76</f>
        <v>0.77582398693636945</v>
      </c>
      <c r="BF76" s="5">
        <f>'Implied Productivity Ratios'!BG76/'Implied Productivity Ratios'!$V76</f>
        <v>0.78449271716566993</v>
      </c>
      <c r="BG76" s="5">
        <f>'Implied Productivity Ratios'!BH76/'Implied Productivity Ratios'!$V76</f>
        <v>0.7931614473949703</v>
      </c>
    </row>
    <row r="77" spans="2:59">
      <c r="B77">
        <v>611</v>
      </c>
      <c r="C77" t="s">
        <v>28</v>
      </c>
      <c r="D77">
        <f>'Implied Productivity Ratios'!E77/'Implied Productivity Ratios'!$V77</f>
        <v>1.0214911567832394</v>
      </c>
      <c r="E77">
        <f>'Implied Productivity Ratios'!F77/'Implied Productivity Ratios'!$V77</f>
        <v>1.0217005081969355</v>
      </c>
      <c r="F77">
        <f>'Implied Productivity Ratios'!G77/'Implied Productivity Ratios'!$V77</f>
        <v>1.0112800601449037</v>
      </c>
      <c r="G77">
        <f>'Implied Productivity Ratios'!H77/'Implied Productivity Ratios'!$V77</f>
        <v>1.0494639546326068</v>
      </c>
      <c r="H77">
        <f>'Implied Productivity Ratios'!I77/'Implied Productivity Ratios'!$V77</f>
        <v>1.1164120087140361</v>
      </c>
      <c r="I77">
        <f>'Implied Productivity Ratios'!J77/'Implied Productivity Ratios'!$V77</f>
        <v>1.1318706421581237</v>
      </c>
      <c r="J77">
        <f>'Implied Productivity Ratios'!K77/'Implied Productivity Ratios'!$V77</f>
        <v>1.1155646751725774</v>
      </c>
      <c r="K77">
        <f>'Implied Productivity Ratios'!L77/'Implied Productivity Ratios'!$V77</f>
        <v>1.0982788165833752</v>
      </c>
      <c r="L77">
        <f>'Implied Productivity Ratios'!M77/'Implied Productivity Ratios'!$V77</f>
        <v>1.0581122875300788</v>
      </c>
      <c r="M77">
        <f>'Implied Productivity Ratios'!N77/'Implied Productivity Ratios'!$V77</f>
        <v>1.0442981739162314</v>
      </c>
      <c r="N77">
        <f>'Implied Productivity Ratios'!O77/'Implied Productivity Ratios'!$V77</f>
        <v>1.0215024391767211</v>
      </c>
      <c r="O77">
        <f>'Implied Productivity Ratios'!P77/'Implied Productivity Ratios'!$V77</f>
        <v>1.0255488851072976</v>
      </c>
      <c r="P77">
        <f>'Implied Productivity Ratios'!Q77/'Implied Productivity Ratios'!$V77</f>
        <v>0.99047183411662776</v>
      </c>
      <c r="Q77">
        <f>'Implied Productivity Ratios'!R77/'Implied Productivity Ratios'!$V77</f>
        <v>0.99288517001226473</v>
      </c>
      <c r="R77">
        <f>'Implied Productivity Ratios'!S77/'Implied Productivity Ratios'!$V77</f>
        <v>1.0030053192273305</v>
      </c>
      <c r="S77">
        <f>'Implied Productivity Ratios'!T77/'Implied Productivity Ratios'!$V77</f>
        <v>0.99167049402330576</v>
      </c>
      <c r="T77">
        <f>'Implied Productivity Ratios'!U77/'Implied Productivity Ratios'!$V77</f>
        <v>0.99119234132659206</v>
      </c>
      <c r="U77">
        <f>'Implied Productivity Ratios'!V77/'Implied Productivity Ratios'!$V77</f>
        <v>1</v>
      </c>
      <c r="V77">
        <f>'Implied Productivity Ratios'!W77/'Implied Productivity Ratios'!$V77</f>
        <v>0.98490594379611862</v>
      </c>
      <c r="W77">
        <f>'Implied Productivity Ratios'!X77/'Implied Productivity Ratios'!$V77</f>
        <v>0.97685530336195703</v>
      </c>
      <c r="X77">
        <f>'Implied Productivity Ratios'!Y77/'Implied Productivity Ratios'!$V77</f>
        <v>0.97409423166198372</v>
      </c>
      <c r="Y77">
        <f>'Implied Productivity Ratios'!Z77/'Implied Productivity Ratios'!$V77</f>
        <v>0.97768935684342595</v>
      </c>
      <c r="Z77">
        <f>'Implied Productivity Ratios'!AA77/'Implied Productivity Ratios'!$V77</f>
        <v>0.98608659968654588</v>
      </c>
      <c r="AA77">
        <f>'Implied Productivity Ratios'!AB77/'Implied Productivity Ratios'!$V77</f>
        <v>0.99686914146550865</v>
      </c>
      <c r="AB77">
        <f>'Implied Productivity Ratios'!AC77/'Implied Productivity Ratios'!$V77</f>
        <v>1.0072062022248136</v>
      </c>
      <c r="AC77">
        <f>'Implied Productivity Ratios'!AD77/'Implied Productivity Ratios'!$V77</f>
        <v>1.0186882941460189</v>
      </c>
      <c r="AD77">
        <f>'Implied Productivity Ratios'!AE77/'Implied Productivity Ratios'!$V77</f>
        <v>1.0289757870464049</v>
      </c>
      <c r="AE77">
        <f>'Implied Productivity Ratios'!AF77/'Implied Productivity Ratios'!$V77</f>
        <v>1.0387070183448972</v>
      </c>
      <c r="AF77">
        <f>'Implied Productivity Ratios'!AG77/'Implied Productivity Ratios'!$V77</f>
        <v>1.0484647110419623</v>
      </c>
      <c r="AG77">
        <f>'Implied Productivity Ratios'!AH77/'Implied Productivity Ratios'!$V77</f>
        <v>1.056483077005139</v>
      </c>
      <c r="AH77">
        <f>'Implied Productivity Ratios'!AI77/'Implied Productivity Ratios'!$V77</f>
        <v>1.0638199431245863</v>
      </c>
      <c r="AI77">
        <f>'Implied Productivity Ratios'!AJ77/'Implied Productivity Ratios'!$V77</f>
        <v>1.072658841538501</v>
      </c>
      <c r="AJ77">
        <f>'Implied Productivity Ratios'!AK77/'Implied Productivity Ratios'!$V77</f>
        <v>1.0828109956528538</v>
      </c>
      <c r="AK77">
        <f>'Implied Productivity Ratios'!AL77/'Implied Productivity Ratios'!$V77</f>
        <v>1.0933491119873895</v>
      </c>
      <c r="AL77">
        <f>'Implied Productivity Ratios'!AM77/'Implied Productivity Ratios'!$V77</f>
        <v>1.1039123033729301</v>
      </c>
      <c r="AM77">
        <f>'Implied Productivity Ratios'!AN77/'Implied Productivity Ratios'!$V77</f>
        <v>1.1148584927657721</v>
      </c>
      <c r="AN77">
        <f>'Implied Productivity Ratios'!AO77/'Implied Productivity Ratios'!$V77</f>
        <v>1.1260327291633114</v>
      </c>
      <c r="AO77">
        <f>'Implied Productivity Ratios'!AP77/'Implied Productivity Ratios'!$V77</f>
        <v>1.1377453402977449</v>
      </c>
      <c r="AP77">
        <f>'Implied Productivity Ratios'!AQ77/'Implied Productivity Ratios'!$V77</f>
        <v>1.1505704694281915</v>
      </c>
      <c r="AQ77">
        <f>'Implied Productivity Ratios'!AR77/'Implied Productivity Ratios'!$V77</f>
        <v>1.1644458291046829</v>
      </c>
      <c r="AR77">
        <f>'Implied Productivity Ratios'!AS77/'Implied Productivity Ratios'!$V77</f>
        <v>1.1782913020418175</v>
      </c>
      <c r="AS77">
        <f>'Implied Productivity Ratios'!AT77/'Implied Productivity Ratios'!$V77</f>
        <v>1.1919795577069516</v>
      </c>
      <c r="AT77">
        <f>'Implied Productivity Ratios'!AU77/'Implied Productivity Ratios'!$V77</f>
        <v>1.2062780921395371</v>
      </c>
      <c r="AU77">
        <f>'Implied Productivity Ratios'!AV77/'Implied Productivity Ratios'!$V77</f>
        <v>1.2208953887272029</v>
      </c>
      <c r="AV77">
        <f>'Implied Productivity Ratios'!AW77/'Implied Productivity Ratios'!$V77</f>
        <v>1.235371447771574</v>
      </c>
      <c r="AW77">
        <f>'Implied Productivity Ratios'!AX77/'Implied Productivity Ratios'!$V77</f>
        <v>1.2500848260130988</v>
      </c>
      <c r="AX77">
        <f>'Implied Productivity Ratios'!AY77/'Implied Productivity Ratios'!$V77</f>
        <v>1.2651452130960743</v>
      </c>
      <c r="AY77">
        <f>'Implied Productivity Ratios'!AZ77/'Implied Productivity Ratios'!$V77</f>
        <v>1.2810463284379943</v>
      </c>
      <c r="AZ77">
        <f>'Implied Productivity Ratios'!BA77/'Implied Productivity Ratios'!$V77</f>
        <v>1.2984016028676526</v>
      </c>
      <c r="BA77">
        <f>'Implied Productivity Ratios'!BB77/'Implied Productivity Ratios'!$V77</f>
        <v>1.3168835207503353</v>
      </c>
      <c r="BB77">
        <f>'Implied Productivity Ratios'!BC77/'Implied Productivity Ratios'!$V77</f>
        <v>1.3358743160798416</v>
      </c>
      <c r="BC77" s="5">
        <f>'Implied Productivity Ratios'!BD77/'Implied Productivity Ratios'!$V77</f>
        <v>1.3530322140931903</v>
      </c>
      <c r="BD77" s="5">
        <f>'Implied Productivity Ratios'!BE77/'Implied Productivity Ratios'!$V77</f>
        <v>1.370190112106539</v>
      </c>
      <c r="BE77" s="5">
        <f>'Implied Productivity Ratios'!BF77/'Implied Productivity Ratios'!$V77</f>
        <v>1.3873480101198874</v>
      </c>
      <c r="BF77" s="5">
        <f>'Implied Productivity Ratios'!BG77/'Implied Productivity Ratios'!$V77</f>
        <v>1.4045059081332361</v>
      </c>
      <c r="BG77" s="5">
        <f>'Implied Productivity Ratios'!BH77/'Implied Productivity Ratios'!$V77</f>
        <v>1.4216638061465847</v>
      </c>
    </row>
    <row r="78" spans="2:59">
      <c r="B78">
        <v>621</v>
      </c>
      <c r="C78" t="s">
        <v>416</v>
      </c>
      <c r="D78">
        <f>'Implied Productivity Ratios'!E78/'Implied Productivity Ratios'!$V78</f>
        <v>0.87136583025794079</v>
      </c>
      <c r="E78">
        <f>'Implied Productivity Ratios'!F78/'Implied Productivity Ratios'!$V78</f>
        <v>0.89081224046271834</v>
      </c>
      <c r="F78">
        <f>'Implied Productivity Ratios'!G78/'Implied Productivity Ratios'!$V78</f>
        <v>0.86119629049088042</v>
      </c>
      <c r="G78">
        <f>'Implied Productivity Ratios'!H78/'Implied Productivity Ratios'!$V78</f>
        <v>0.89668989402067278</v>
      </c>
      <c r="H78">
        <f>'Implied Productivity Ratios'!I78/'Implied Productivity Ratios'!$V78</f>
        <v>0.89363628087691449</v>
      </c>
      <c r="I78">
        <f>'Implied Productivity Ratios'!J78/'Implied Productivity Ratios'!$V78</f>
        <v>0.89259563640774153</v>
      </c>
      <c r="J78">
        <f>'Implied Productivity Ratios'!K78/'Implied Productivity Ratios'!$V78</f>
        <v>0.89918094041208008</v>
      </c>
      <c r="K78">
        <f>'Implied Productivity Ratios'!L78/'Implied Productivity Ratios'!$V78</f>
        <v>0.89222731457975735</v>
      </c>
      <c r="L78">
        <f>'Implied Productivity Ratios'!M78/'Implied Productivity Ratios'!$V78</f>
        <v>0.89749972682284374</v>
      </c>
      <c r="M78">
        <f>'Implied Productivity Ratios'!N78/'Implied Productivity Ratios'!$V78</f>
        <v>0.89418710608027174</v>
      </c>
      <c r="N78">
        <f>'Implied Productivity Ratios'!O78/'Implied Productivity Ratios'!$V78</f>
        <v>0.91457543879218706</v>
      </c>
      <c r="O78">
        <f>'Implied Productivity Ratios'!P78/'Implied Productivity Ratios'!$V78</f>
        <v>0.92840377060759172</v>
      </c>
      <c r="P78">
        <f>'Implied Productivity Ratios'!Q78/'Implied Productivity Ratios'!$V78</f>
        <v>0.93540773506459751</v>
      </c>
      <c r="Q78">
        <f>'Implied Productivity Ratios'!R78/'Implied Productivity Ratios'!$V78</f>
        <v>0.94432093273759621</v>
      </c>
      <c r="R78">
        <f>'Implied Productivity Ratios'!S78/'Implied Productivity Ratios'!$V78</f>
        <v>0.96409123975231681</v>
      </c>
      <c r="S78">
        <f>'Implied Productivity Ratios'!T78/'Implied Productivity Ratios'!$V78</f>
        <v>0.95000682647864332</v>
      </c>
      <c r="T78">
        <f>'Implied Productivity Ratios'!U78/'Implied Productivity Ratios'!$V78</f>
        <v>0.97852801249013077</v>
      </c>
      <c r="U78">
        <f>'Implied Productivity Ratios'!V78/'Implied Productivity Ratios'!$V78</f>
        <v>1</v>
      </c>
      <c r="V78">
        <f>'Implied Productivity Ratios'!W78/'Implied Productivity Ratios'!$V78</f>
        <v>1.047402389414875</v>
      </c>
      <c r="W78">
        <f>'Implied Productivity Ratios'!X78/'Implied Productivity Ratios'!$V78</f>
        <v>1.0688041248620708</v>
      </c>
      <c r="X78">
        <f>'Implied Productivity Ratios'!Y78/'Implied Productivity Ratios'!$V78</f>
        <v>1.0761443448694066</v>
      </c>
      <c r="Y78">
        <f>'Implied Productivity Ratios'!Z78/'Implied Productivity Ratios'!$V78</f>
        <v>1.0778561655815246</v>
      </c>
      <c r="Z78">
        <f>'Implied Productivity Ratios'!AA78/'Implied Productivity Ratios'!$V78</f>
        <v>1.0799785638814494</v>
      </c>
      <c r="AA78">
        <f>'Implied Productivity Ratios'!AB78/'Implied Productivity Ratios'!$V78</f>
        <v>1.0850933479648845</v>
      </c>
      <c r="AB78">
        <f>'Implied Productivity Ratios'!AC78/'Implied Productivity Ratios'!$V78</f>
        <v>1.0930463462592306</v>
      </c>
      <c r="AC78">
        <f>'Implied Productivity Ratios'!AD78/'Implied Productivity Ratios'!$V78</f>
        <v>1.1031848506993338</v>
      </c>
      <c r="AD78">
        <f>'Implied Productivity Ratios'!AE78/'Implied Productivity Ratios'!$V78</f>
        <v>1.1135637585280627</v>
      </c>
      <c r="AE78">
        <f>'Implied Productivity Ratios'!AF78/'Implied Productivity Ratios'!$V78</f>
        <v>1.1249987835385982</v>
      </c>
      <c r="AF78">
        <f>'Implied Productivity Ratios'!AG78/'Implied Productivity Ratios'!$V78</f>
        <v>1.1380349976873727</v>
      </c>
      <c r="AG78">
        <f>'Implied Productivity Ratios'!AH78/'Implied Productivity Ratios'!$V78</f>
        <v>1.1502203077226203</v>
      </c>
      <c r="AH78">
        <f>'Implied Productivity Ratios'!AI78/'Implied Productivity Ratios'!$V78</f>
        <v>1.1630530676948356</v>
      </c>
      <c r="AI78">
        <f>'Implied Productivity Ratios'!AJ78/'Implied Productivity Ratios'!$V78</f>
        <v>1.1791461457194115</v>
      </c>
      <c r="AJ78">
        <f>'Implied Productivity Ratios'!AK78/'Implied Productivity Ratios'!$V78</f>
        <v>1.1974141402361191</v>
      </c>
      <c r="AK78">
        <f>'Implied Productivity Ratios'!AL78/'Implied Productivity Ratios'!$V78</f>
        <v>1.2169518488885311</v>
      </c>
      <c r="AL78">
        <f>'Implied Productivity Ratios'!AM78/'Implied Productivity Ratios'!$V78</f>
        <v>1.2370074205716026</v>
      </c>
      <c r="AM78">
        <f>'Implied Productivity Ratios'!AN78/'Implied Productivity Ratios'!$V78</f>
        <v>1.2572626460644105</v>
      </c>
      <c r="AN78">
        <f>'Implied Productivity Ratios'!AO78/'Implied Productivity Ratios'!$V78</f>
        <v>1.278047785622543</v>
      </c>
      <c r="AO78">
        <f>'Implied Productivity Ratios'!AP78/'Implied Productivity Ratios'!$V78</f>
        <v>1.2987986853766862</v>
      </c>
      <c r="AP78">
        <f>'Implied Productivity Ratios'!AQ78/'Implied Productivity Ratios'!$V78</f>
        <v>1.3198641074568866</v>
      </c>
      <c r="AQ78">
        <f>'Implied Productivity Ratios'!AR78/'Implied Productivity Ratios'!$V78</f>
        <v>1.3417849888055109</v>
      </c>
      <c r="AR78">
        <f>'Implied Productivity Ratios'!AS78/'Implied Productivity Ratios'!$V78</f>
        <v>1.364284655041629</v>
      </c>
      <c r="AS78">
        <f>'Implied Productivity Ratios'!AT78/'Implied Productivity Ratios'!$V78</f>
        <v>1.3867843541688296</v>
      </c>
      <c r="AT78">
        <f>'Implied Productivity Ratios'!AU78/'Implied Productivity Ratios'!$V78</f>
        <v>1.4099600115073023</v>
      </c>
      <c r="AU78">
        <f>'Implied Productivity Ratios'!AV78/'Implied Productivity Ratios'!$V78</f>
        <v>1.4339004800694171</v>
      </c>
      <c r="AV78">
        <f>'Implied Productivity Ratios'!AW78/'Implied Productivity Ratios'!$V78</f>
        <v>1.4576965358149419</v>
      </c>
      <c r="AW78">
        <f>'Implied Productivity Ratios'!AX78/'Implied Productivity Ratios'!$V78</f>
        <v>1.481770135420053</v>
      </c>
      <c r="AX78">
        <f>'Implied Productivity Ratios'!AY78/'Implied Productivity Ratios'!$V78</f>
        <v>1.5060667201601825</v>
      </c>
      <c r="AY78">
        <f>'Implied Productivity Ratios'!AZ78/'Implied Productivity Ratios'!$V78</f>
        <v>1.5312784537520221</v>
      </c>
      <c r="AZ78">
        <f>'Implied Productivity Ratios'!BA78/'Implied Productivity Ratios'!$V78</f>
        <v>1.5582831834406103</v>
      </c>
      <c r="BA78">
        <f>'Implied Productivity Ratios'!BB78/'Implied Productivity Ratios'!$V78</f>
        <v>1.5867812281719469</v>
      </c>
      <c r="BB78">
        <f>'Implied Productivity Ratios'!BC78/'Implied Productivity Ratios'!$V78</f>
        <v>1.6163411049182435</v>
      </c>
      <c r="BC78" s="5">
        <f>'Implied Productivity Ratios'!BD78/'Implied Productivity Ratios'!$V78</f>
        <v>1.6432552988178815</v>
      </c>
      <c r="BD78" s="5">
        <f>'Implied Productivity Ratios'!BE78/'Implied Productivity Ratios'!$V78</f>
        <v>1.6701694927175195</v>
      </c>
      <c r="BE78" s="5">
        <f>'Implied Productivity Ratios'!BF78/'Implied Productivity Ratios'!$V78</f>
        <v>1.6970836866171575</v>
      </c>
      <c r="BF78" s="5">
        <f>'Implied Productivity Ratios'!BG78/'Implied Productivity Ratios'!$V78</f>
        <v>1.7239978805167955</v>
      </c>
      <c r="BG78" s="5">
        <f>'Implied Productivity Ratios'!BH78/'Implied Productivity Ratios'!$V78</f>
        <v>1.7509120744164335</v>
      </c>
    </row>
    <row r="79" spans="2:59">
      <c r="B79">
        <v>622</v>
      </c>
      <c r="C79" t="s">
        <v>420</v>
      </c>
      <c r="D79">
        <f>'Implied Productivity Ratios'!E79/'Implied Productivity Ratios'!$V79</f>
        <v>0.80426142887360719</v>
      </c>
      <c r="E79">
        <f>'Implied Productivity Ratios'!F79/'Implied Productivity Ratios'!$V79</f>
        <v>0.82054192273543103</v>
      </c>
      <c r="F79">
        <f>'Implied Productivity Ratios'!G79/'Implied Productivity Ratios'!$V79</f>
        <v>0.8207295656818574</v>
      </c>
      <c r="G79">
        <f>'Implied Productivity Ratios'!H79/'Implied Productivity Ratios'!$V79</f>
        <v>0.85623038348478042</v>
      </c>
      <c r="H79">
        <f>'Implied Productivity Ratios'!I79/'Implied Productivity Ratios'!$V79</f>
        <v>0.88642737356333567</v>
      </c>
      <c r="I79">
        <f>'Implied Productivity Ratios'!J79/'Implied Productivity Ratios'!$V79</f>
        <v>0.87191865696925885</v>
      </c>
      <c r="J79">
        <f>'Implied Productivity Ratios'!K79/'Implied Productivity Ratios'!$V79</f>
        <v>0.88047876878013753</v>
      </c>
      <c r="K79">
        <f>'Implied Productivity Ratios'!L79/'Implied Productivity Ratios'!$V79</f>
        <v>0.88590556598162928</v>
      </c>
      <c r="L79">
        <f>'Implied Productivity Ratios'!M79/'Implied Productivity Ratios'!$V79</f>
        <v>0.89231532662772106</v>
      </c>
      <c r="M79">
        <f>'Implied Productivity Ratios'!N79/'Implied Productivity Ratios'!$V79</f>
        <v>0.91181775691136935</v>
      </c>
      <c r="N79">
        <f>'Implied Productivity Ratios'!O79/'Implied Productivity Ratios'!$V79</f>
        <v>0.94135822765855937</v>
      </c>
      <c r="O79">
        <f>'Implied Productivity Ratios'!P79/'Implied Productivity Ratios'!$V79</f>
        <v>0.93423654917701915</v>
      </c>
      <c r="P79">
        <f>'Implied Productivity Ratios'!Q79/'Implied Productivity Ratios'!$V79</f>
        <v>0.94101601697829451</v>
      </c>
      <c r="Q79">
        <f>'Implied Productivity Ratios'!R79/'Implied Productivity Ratios'!$V79</f>
        <v>0.95381542168701683</v>
      </c>
      <c r="R79">
        <f>'Implied Productivity Ratios'!S79/'Implied Productivity Ratios'!$V79</f>
        <v>0.95658366621347179</v>
      </c>
      <c r="S79">
        <f>'Implied Productivity Ratios'!T79/'Implied Productivity Ratios'!$V79</f>
        <v>0.97436015047037827</v>
      </c>
      <c r="T79">
        <f>'Implied Productivity Ratios'!U79/'Implied Productivity Ratios'!$V79</f>
        <v>0.99635836721180926</v>
      </c>
      <c r="U79">
        <f>'Implied Productivity Ratios'!V79/'Implied Productivity Ratios'!$V79</f>
        <v>1</v>
      </c>
      <c r="V79">
        <f>'Implied Productivity Ratios'!W79/'Implied Productivity Ratios'!$V79</f>
        <v>0.98031077930334587</v>
      </c>
      <c r="W79">
        <f>'Implied Productivity Ratios'!X79/'Implied Productivity Ratios'!$V79</f>
        <v>0.97231794259487458</v>
      </c>
      <c r="X79">
        <f>'Implied Productivity Ratios'!Y79/'Implied Productivity Ratios'!$V79</f>
        <v>0.97384918386607955</v>
      </c>
      <c r="Y79">
        <f>'Implied Productivity Ratios'!Z79/'Implied Productivity Ratios'!$V79</f>
        <v>0.97332395238102565</v>
      </c>
      <c r="Z79">
        <f>'Implied Productivity Ratios'!AA79/'Implied Productivity Ratios'!$V79</f>
        <v>0.97307598309149346</v>
      </c>
      <c r="AA79">
        <f>'Implied Productivity Ratios'!AB79/'Implied Productivity Ratios'!$V79</f>
        <v>0.97559235219361262</v>
      </c>
      <c r="AB79">
        <f>'Implied Productivity Ratios'!AC79/'Implied Productivity Ratios'!$V79</f>
        <v>0.98076378967588862</v>
      </c>
      <c r="AC79">
        <f>'Implied Productivity Ratios'!AD79/'Implied Productivity Ratios'!$V79</f>
        <v>0.98797212461033157</v>
      </c>
      <c r="AD79">
        <f>'Implied Productivity Ratios'!AE79/'Implied Productivity Ratios'!$V79</f>
        <v>0.99545538282357504</v>
      </c>
      <c r="AE79">
        <f>'Implied Productivity Ratios'!AF79/'Implied Productivity Ratios'!$V79</f>
        <v>1.0039167378118281</v>
      </c>
      <c r="AF79">
        <f>'Implied Productivity Ratios'!AG79/'Implied Productivity Ratios'!$V79</f>
        <v>1.0138321315440906</v>
      </c>
      <c r="AG79">
        <f>'Implied Productivity Ratios'!AH79/'Implied Productivity Ratios'!$V79</f>
        <v>1.0230000774457431</v>
      </c>
      <c r="AH79">
        <f>'Implied Productivity Ratios'!AI79/'Implied Productivity Ratios'!$V79</f>
        <v>1.0327589644179809</v>
      </c>
      <c r="AI79">
        <f>'Implied Productivity Ratios'!AJ79/'Implied Productivity Ratios'!$V79</f>
        <v>1.0454265492734396</v>
      </c>
      <c r="AJ79">
        <f>'Implied Productivity Ratios'!AK79/'Implied Productivity Ratios'!$V79</f>
        <v>1.0600209276544559</v>
      </c>
      <c r="AK79">
        <f>'Implied Productivity Ratios'!AL79/'Implied Productivity Ratios'!$V79</f>
        <v>1.0757353023587533</v>
      </c>
      <c r="AL79">
        <f>'Implied Productivity Ratios'!AM79/'Implied Productivity Ratios'!$V79</f>
        <v>1.0919315218639469</v>
      </c>
      <c r="AM79">
        <f>'Implied Productivity Ratios'!AN79/'Implied Productivity Ratios'!$V79</f>
        <v>1.108333553448787</v>
      </c>
      <c r="AN79">
        <f>'Implied Productivity Ratios'!AO79/'Implied Productivity Ratios'!$V79</f>
        <v>1.1252283706113033</v>
      </c>
      <c r="AO79">
        <f>'Implied Productivity Ratios'!AP79/'Implied Productivity Ratios'!$V79</f>
        <v>1.1421258607547242</v>
      </c>
      <c r="AP79">
        <f>'Implied Productivity Ratios'!AQ79/'Implied Productivity Ratios'!$V79</f>
        <v>1.1593200406479283</v>
      </c>
      <c r="AQ79">
        <f>'Implied Productivity Ratios'!AR79/'Implied Productivity Ratios'!$V79</f>
        <v>1.177278143460164</v>
      </c>
      <c r="AR79">
        <f>'Implied Productivity Ratios'!AS79/'Implied Productivity Ratios'!$V79</f>
        <v>1.1957651302789596</v>
      </c>
      <c r="AS79">
        <f>'Implied Productivity Ratios'!AT79/'Implied Productivity Ratios'!$V79</f>
        <v>1.2142853128657831</v>
      </c>
      <c r="AT79">
        <f>'Implied Productivity Ratios'!AU79/'Implied Productivity Ratios'!$V79</f>
        <v>1.2334356166644698</v>
      </c>
      <c r="AU79">
        <f>'Implied Productivity Ratios'!AV79/'Implied Productivity Ratios'!$V79</f>
        <v>1.2532949715994872</v>
      </c>
      <c r="AV79">
        <f>'Implied Productivity Ratios'!AW79/'Implied Productivity Ratios'!$V79</f>
        <v>1.273079528550102</v>
      </c>
      <c r="AW79">
        <f>'Implied Productivity Ratios'!AX79/'Implied Productivity Ratios'!$V79</f>
        <v>1.2931466954064077</v>
      </c>
      <c r="AX79">
        <f>'Implied Productivity Ratios'!AY79/'Implied Productivity Ratios'!$V79</f>
        <v>1.3134575333049472</v>
      </c>
      <c r="AY79">
        <f>'Implied Productivity Ratios'!AZ79/'Implied Productivity Ratios'!$V79</f>
        <v>1.3346075701447988</v>
      </c>
      <c r="AZ79">
        <f>'Implied Productivity Ratios'!BA79/'Implied Productivity Ratios'!$V79</f>
        <v>1.3573156717617663</v>
      </c>
      <c r="BA79">
        <f>'Implied Productivity Ratios'!BB79/'Implied Productivity Ratios'!$V79</f>
        <v>1.3813506027773788</v>
      </c>
      <c r="BB79">
        <f>'Implied Productivity Ratios'!BC79/'Implied Productivity Ratios'!$V79</f>
        <v>1.4063788709354494</v>
      </c>
      <c r="BC79" s="5">
        <f>'Implied Productivity Ratios'!BD79/'Implied Productivity Ratios'!$V79</f>
        <v>1.4290253060412577</v>
      </c>
      <c r="BD79" s="5">
        <f>'Implied Productivity Ratios'!BE79/'Implied Productivity Ratios'!$V79</f>
        <v>1.4516717411470657</v>
      </c>
      <c r="BE79" s="5">
        <f>'Implied Productivity Ratios'!BF79/'Implied Productivity Ratios'!$V79</f>
        <v>1.4743181762528739</v>
      </c>
      <c r="BF79" s="5">
        <f>'Implied Productivity Ratios'!BG79/'Implied Productivity Ratios'!$V79</f>
        <v>1.4969646113586821</v>
      </c>
      <c r="BG79" s="5">
        <f>'Implied Productivity Ratios'!BH79/'Implied Productivity Ratios'!$V79</f>
        <v>1.5196110464644903</v>
      </c>
    </row>
    <row r="80" spans="2:59">
      <c r="B80">
        <v>623</v>
      </c>
      <c r="C80" t="s">
        <v>424</v>
      </c>
      <c r="D80">
        <f>'Implied Productivity Ratios'!E80/'Implied Productivity Ratios'!$V80</f>
        <v>0.88310614464903237</v>
      </c>
      <c r="E80">
        <f>'Implied Productivity Ratios'!F80/'Implied Productivity Ratios'!$V80</f>
        <v>0.89270488410514959</v>
      </c>
      <c r="F80">
        <f>'Implied Productivity Ratios'!G80/'Implied Productivity Ratios'!$V80</f>
        <v>0.87450009488408675</v>
      </c>
      <c r="G80">
        <f>'Implied Productivity Ratios'!H80/'Implied Productivity Ratios'!$V80</f>
        <v>0.8920601182260679</v>
      </c>
      <c r="H80">
        <f>'Implied Productivity Ratios'!I80/'Implied Productivity Ratios'!$V80</f>
        <v>0.87577728640888808</v>
      </c>
      <c r="I80">
        <f>'Implied Productivity Ratios'!J80/'Implied Productivity Ratios'!$V80</f>
        <v>0.88097461613486161</v>
      </c>
      <c r="J80">
        <f>'Implied Productivity Ratios'!K80/'Implied Productivity Ratios'!$V80</f>
        <v>0.87321189682627975</v>
      </c>
      <c r="K80">
        <f>'Implied Productivity Ratios'!L80/'Implied Productivity Ratios'!$V80</f>
        <v>0.87337901227008308</v>
      </c>
      <c r="L80">
        <f>'Implied Productivity Ratios'!M80/'Implied Productivity Ratios'!$V80</f>
        <v>0.88208737540274651</v>
      </c>
      <c r="M80">
        <f>'Implied Productivity Ratios'!N80/'Implied Productivity Ratios'!$V80</f>
        <v>0.89092608513032667</v>
      </c>
      <c r="N80">
        <f>'Implied Productivity Ratios'!O80/'Implied Productivity Ratios'!$V80</f>
        <v>0.89435328712673889</v>
      </c>
      <c r="O80">
        <f>'Implied Productivity Ratios'!P80/'Implied Productivity Ratios'!$V80</f>
        <v>0.88760187852926953</v>
      </c>
      <c r="P80">
        <f>'Implied Productivity Ratios'!Q80/'Implied Productivity Ratios'!$V80</f>
        <v>0.87791681659517529</v>
      </c>
      <c r="Q80">
        <f>'Implied Productivity Ratios'!R80/'Implied Productivity Ratios'!$V80</f>
        <v>0.8796562276950437</v>
      </c>
      <c r="R80">
        <f>'Implied Productivity Ratios'!S80/'Implied Productivity Ratios'!$V80</f>
        <v>0.86835352793951681</v>
      </c>
      <c r="S80">
        <f>'Implied Productivity Ratios'!T80/'Implied Productivity Ratios'!$V80</f>
        <v>0.9042885026886287</v>
      </c>
      <c r="T80">
        <f>'Implied Productivity Ratios'!U80/'Implied Productivity Ratios'!$V80</f>
        <v>0.93371839618194941</v>
      </c>
      <c r="U80">
        <f>'Implied Productivity Ratios'!V80/'Implied Productivity Ratios'!$V80</f>
        <v>1</v>
      </c>
      <c r="V80">
        <f>'Implied Productivity Ratios'!W80/'Implied Productivity Ratios'!$V80</f>
        <v>0.96562982141429465</v>
      </c>
      <c r="W80">
        <f>'Implied Productivity Ratios'!X80/'Implied Productivity Ratios'!$V80</f>
        <v>0.95754094461830241</v>
      </c>
      <c r="X80">
        <f>'Implied Productivity Ratios'!Y80/'Implied Productivity Ratios'!$V80</f>
        <v>0.96363985841243649</v>
      </c>
      <c r="Y80">
        <f>'Implied Productivity Ratios'!Z80/'Implied Productivity Ratios'!$V80</f>
        <v>0.96840274078907418</v>
      </c>
      <c r="Z80">
        <f>'Implied Productivity Ratios'!AA80/'Implied Productivity Ratios'!$V80</f>
        <v>0.97329613264425996</v>
      </c>
      <c r="AA80">
        <f>'Implied Productivity Ratios'!AB80/'Implied Productivity Ratios'!$V80</f>
        <v>0.98079781524366361</v>
      </c>
      <c r="AB80">
        <f>'Implied Productivity Ratios'!AC80/'Implied Productivity Ratios'!$V80</f>
        <v>0.99084828874574304</v>
      </c>
      <c r="AC80">
        <f>'Implied Productivity Ratios'!AD80/'Implied Productivity Ratios'!$V80</f>
        <v>1.0028788019654713</v>
      </c>
      <c r="AD80">
        <f>'Implied Productivity Ratios'!AE80/'Implied Productivity Ratios'!$V80</f>
        <v>1.0151011911021863</v>
      </c>
      <c r="AE80">
        <f>'Implied Productivity Ratios'!AF80/'Implied Productivity Ratios'!$V80</f>
        <v>1.0282239694856294</v>
      </c>
      <c r="AF80">
        <f>'Implied Productivity Ratios'!AG80/'Implied Productivity Ratios'!$V80</f>
        <v>1.0427330203880734</v>
      </c>
      <c r="AG80">
        <f>'Implied Productivity Ratios'!AH80/'Implied Productivity Ratios'!$V80</f>
        <v>1.0563742715973361</v>
      </c>
      <c r="AH80">
        <f>'Implied Productivity Ratios'!AI80/'Implied Productivity Ratios'!$V80</f>
        <v>1.0705177394903667</v>
      </c>
      <c r="AI80">
        <f>'Implied Productivity Ratios'!AJ80/'Implied Productivity Ratios'!$V80</f>
        <v>1.087576328142259</v>
      </c>
      <c r="AJ80">
        <f>'Implied Productivity Ratios'!AK80/'Implied Productivity Ratios'!$V80</f>
        <v>1.1065575516038033</v>
      </c>
      <c r="AK80">
        <f>'Implied Productivity Ratios'!AL80/'Implied Productivity Ratios'!$V80</f>
        <v>1.1266209937631295</v>
      </c>
      <c r="AL80">
        <f>'Implied Productivity Ratios'!AM80/'Implied Productivity Ratios'!$V80</f>
        <v>1.1470849569594632</v>
      </c>
      <c r="AM80">
        <f>'Implied Productivity Ratios'!AN80/'Implied Productivity Ratios'!$V80</f>
        <v>1.1676569642069048</v>
      </c>
      <c r="AN80">
        <f>'Implied Productivity Ratios'!AO80/'Implied Productivity Ratios'!$V80</f>
        <v>1.1886313826091033</v>
      </c>
      <c r="AO80">
        <f>'Implied Productivity Ratios'!AP80/'Implied Productivity Ratios'!$V80</f>
        <v>1.2094820928827605</v>
      </c>
      <c r="AP80">
        <f>'Implied Productivity Ratios'!AQ80/'Implied Productivity Ratios'!$V80</f>
        <v>1.23050823496061</v>
      </c>
      <c r="AQ80">
        <f>'Implied Productivity Ratios'!AR80/'Implied Productivity Ratios'!$V80</f>
        <v>1.2522052838956914</v>
      </c>
      <c r="AR80">
        <f>'Implied Productivity Ratios'!AS80/'Implied Productivity Ratios'!$V80</f>
        <v>1.2743151735248539</v>
      </c>
      <c r="AS80">
        <f>'Implied Productivity Ratios'!AT80/'Implied Productivity Ratios'!$V80</f>
        <v>1.2962929195575716</v>
      </c>
      <c r="AT80">
        <f>'Implied Productivity Ratios'!AU80/'Implied Productivity Ratios'!$V80</f>
        <v>1.3187584485932065</v>
      </c>
      <c r="AU80">
        <f>'Implied Productivity Ratios'!AV80/'Implied Productivity Ratios'!$V80</f>
        <v>1.3417874649846744</v>
      </c>
      <c r="AV80">
        <f>'Implied Productivity Ratios'!AW80/'Implied Productivity Ratios'!$V80</f>
        <v>1.3645296761854364</v>
      </c>
      <c r="AW80">
        <f>'Implied Productivity Ratios'!AX80/'Implied Productivity Ratios'!$V80</f>
        <v>1.3873591569160137</v>
      </c>
      <c r="AX80">
        <f>'Implied Productivity Ratios'!AY80/'Implied Productivity Ratios'!$V80</f>
        <v>1.4102188335787196</v>
      </c>
      <c r="AY80">
        <f>'Implied Productivity Ratios'!AZ80/'Implied Productivity Ratios'!$V80</f>
        <v>1.4337351885870848</v>
      </c>
      <c r="AZ80">
        <f>'Implied Productivity Ratios'!BA80/'Implied Productivity Ratios'!$V80</f>
        <v>1.4586433675042116</v>
      </c>
      <c r="BA80">
        <f>'Implied Productivity Ratios'!BB80/'Implied Productivity Ratios'!$V80</f>
        <v>1.484703079069178</v>
      </c>
      <c r="BB80">
        <f>'Implied Productivity Ratios'!BC80/'Implied Productivity Ratios'!$V80</f>
        <v>1.5115612044720446</v>
      </c>
      <c r="BC80" s="5">
        <f>'Implied Productivity Ratios'!BD80/'Implied Productivity Ratios'!$V80</f>
        <v>1.5364016139832506</v>
      </c>
      <c r="BD80" s="5">
        <f>'Implied Productivity Ratios'!BE80/'Implied Productivity Ratios'!$V80</f>
        <v>1.5612420234944566</v>
      </c>
      <c r="BE80" s="5">
        <f>'Implied Productivity Ratios'!BF80/'Implied Productivity Ratios'!$V80</f>
        <v>1.5860824330056627</v>
      </c>
      <c r="BF80" s="5">
        <f>'Implied Productivity Ratios'!BG80/'Implied Productivity Ratios'!$V80</f>
        <v>1.6109228425168687</v>
      </c>
      <c r="BG80" s="5">
        <f>'Implied Productivity Ratios'!BH80/'Implied Productivity Ratios'!$V80</f>
        <v>1.6357632520280747</v>
      </c>
    </row>
    <row r="81" spans="2:59">
      <c r="B81">
        <v>624</v>
      </c>
      <c r="C81" t="s">
        <v>428</v>
      </c>
      <c r="D81">
        <f>'Implied Productivity Ratios'!E81/'Implied Productivity Ratios'!$V81</f>
        <v>1.0995101995095855</v>
      </c>
      <c r="E81">
        <f>'Implied Productivity Ratios'!F81/'Implied Productivity Ratios'!$V81</f>
        <v>1.0730064704145565</v>
      </c>
      <c r="F81">
        <f>'Implied Productivity Ratios'!G81/'Implied Productivity Ratios'!$V81</f>
        <v>1.0462828399015933</v>
      </c>
      <c r="G81">
        <f>'Implied Productivity Ratios'!H81/'Implied Productivity Ratios'!$V81</f>
        <v>1.0424899932136331</v>
      </c>
      <c r="H81">
        <f>'Implied Productivity Ratios'!I81/'Implied Productivity Ratios'!$V81</f>
        <v>1.0041404719509943</v>
      </c>
      <c r="I81">
        <f>'Implied Productivity Ratios'!J81/'Implied Productivity Ratios'!$V81</f>
        <v>0.99218973099708674</v>
      </c>
      <c r="J81">
        <f>'Implied Productivity Ratios'!K81/'Implied Productivity Ratios'!$V81</f>
        <v>0.95020835819595961</v>
      </c>
      <c r="K81">
        <f>'Implied Productivity Ratios'!L81/'Implied Productivity Ratios'!$V81</f>
        <v>0.98148826172223747</v>
      </c>
      <c r="L81">
        <f>'Implied Productivity Ratios'!M81/'Implied Productivity Ratios'!$V81</f>
        <v>0.98390994055699732</v>
      </c>
      <c r="M81">
        <f>'Implied Productivity Ratios'!N81/'Implied Productivity Ratios'!$V81</f>
        <v>0.98433396113425098</v>
      </c>
      <c r="N81">
        <f>'Implied Productivity Ratios'!O81/'Implied Productivity Ratios'!$V81</f>
        <v>0.97116251775487339</v>
      </c>
      <c r="O81">
        <f>'Implied Productivity Ratios'!P81/'Implied Productivity Ratios'!$V81</f>
        <v>0.95380185649985327</v>
      </c>
      <c r="P81">
        <f>'Implied Productivity Ratios'!Q81/'Implied Productivity Ratios'!$V81</f>
        <v>0.9394351337343827</v>
      </c>
      <c r="Q81">
        <f>'Implied Productivity Ratios'!R81/'Implied Productivity Ratios'!$V81</f>
        <v>0.93733500414629201</v>
      </c>
      <c r="R81">
        <f>'Implied Productivity Ratios'!S81/'Implied Productivity Ratios'!$V81</f>
        <v>0.94803813732182363</v>
      </c>
      <c r="S81">
        <f>'Implied Productivity Ratios'!T81/'Implied Productivity Ratios'!$V81</f>
        <v>0.96259111815801723</v>
      </c>
      <c r="T81">
        <f>'Implied Productivity Ratios'!U81/'Implied Productivity Ratios'!$V81</f>
        <v>0.95429224584357364</v>
      </c>
      <c r="U81">
        <f>'Implied Productivity Ratios'!V81/'Implied Productivity Ratios'!$V81</f>
        <v>1</v>
      </c>
      <c r="V81">
        <f>'Implied Productivity Ratios'!W81/'Implied Productivity Ratios'!$V81</f>
        <v>0.96217615154532221</v>
      </c>
      <c r="W81">
        <f>'Implied Productivity Ratios'!X81/'Implied Productivity Ratios'!$V81</f>
        <v>0.96977366945539656</v>
      </c>
      <c r="X81">
        <f>'Implied Productivity Ratios'!Y81/'Implied Productivity Ratios'!$V81</f>
        <v>0.95797269017350994</v>
      </c>
      <c r="Y81">
        <f>'Implied Productivity Ratios'!Z81/'Implied Productivity Ratios'!$V81</f>
        <v>0.94143292401485401</v>
      </c>
      <c r="Z81">
        <f>'Implied Productivity Ratios'!AA81/'Implied Productivity Ratios'!$V81</f>
        <v>0.92614143799848136</v>
      </c>
      <c r="AA81">
        <f>'Implied Productivity Ratios'!AB81/'Implied Productivity Ratios'!$V81</f>
        <v>0.91415837360063545</v>
      </c>
      <c r="AB81">
        <f>'Implied Productivity Ratios'!AC81/'Implied Productivity Ratios'!$V81</f>
        <v>0.90521147286599912</v>
      </c>
      <c r="AC81">
        <f>'Implied Productivity Ratios'!AD81/'Implied Productivity Ratios'!$V81</f>
        <v>0.89863317701241463</v>
      </c>
      <c r="AD81">
        <f>'Implied Productivity Ratios'!AE81/'Implied Productivity Ratios'!$V81</f>
        <v>0.89275860007469465</v>
      </c>
      <c r="AE81">
        <f>'Implied Productivity Ratios'!AF81/'Implied Productivity Ratios'!$V81</f>
        <v>0.88822929702859843</v>
      </c>
      <c r="AF81">
        <f>'Implied Productivity Ratios'!AG81/'Implied Productivity Ratios'!$V81</f>
        <v>0.88540656556105979</v>
      </c>
      <c r="AG81">
        <f>'Implied Productivity Ratios'!AH81/'Implied Productivity Ratios'!$V81</f>
        <v>0.88235316218741644</v>
      </c>
      <c r="AH81">
        <f>'Implied Productivity Ratios'!AI81/'Implied Productivity Ratios'!$V81</f>
        <v>0.88025480015232815</v>
      </c>
      <c r="AI81">
        <f>'Implied Productivity Ratios'!AJ81/'Implied Productivity Ratios'!$V81</f>
        <v>0.88104205078582842</v>
      </c>
      <c r="AJ81">
        <f>'Implied Productivity Ratios'!AK81/'Implied Productivity Ratios'!$V81</f>
        <v>0.88383406474617177</v>
      </c>
      <c r="AK81">
        <f>'Implied Productivity Ratios'!AL81/'Implied Productivity Ratios'!$V81</f>
        <v>0.88790559725262841</v>
      </c>
      <c r="AL81">
        <f>'Implied Productivity Ratios'!AM81/'Implied Productivity Ratios'!$V81</f>
        <v>0.89268418257958781</v>
      </c>
      <c r="AM81">
        <f>'Implied Productivity Ratios'!AN81/'Implied Productivity Ratios'!$V81</f>
        <v>0.8979506703159339</v>
      </c>
      <c r="AN81">
        <f>'Implied Productivity Ratios'!AO81/'Implied Productivity Ratios'!$V81</f>
        <v>0.90394962675553714</v>
      </c>
      <c r="AO81">
        <f>'Implied Productivity Ratios'!AP81/'Implied Productivity Ratios'!$V81</f>
        <v>0.91029249926052658</v>
      </c>
      <c r="AP81">
        <f>'Implied Productivity Ratios'!AQ81/'Implied Productivity Ratios'!$V81</f>
        <v>0.91723346139185968</v>
      </c>
      <c r="AQ81">
        <f>'Implied Productivity Ratios'!AR81/'Implied Productivity Ratios'!$V81</f>
        <v>0.92515556762474338</v>
      </c>
      <c r="AR81">
        <f>'Implied Productivity Ratios'!AS81/'Implied Productivity Ratios'!$V81</f>
        <v>0.93386668521252247</v>
      </c>
      <c r="AS81">
        <f>'Implied Productivity Ratios'!AT81/'Implied Productivity Ratios'!$V81</f>
        <v>0.94297737630839362</v>
      </c>
      <c r="AT81">
        <f>'Implied Productivity Ratios'!AU81/'Implied Productivity Ratios'!$V81</f>
        <v>0.95297297378192414</v>
      </c>
      <c r="AU81">
        <f>'Implied Productivity Ratios'!AV81/'Implied Productivity Ratios'!$V81</f>
        <v>0.96392284418584095</v>
      </c>
      <c r="AV81">
        <f>'Implied Productivity Ratios'!AW81/'Implied Productivity Ratios'!$V81</f>
        <v>0.97523053514176583</v>
      </c>
      <c r="AW81">
        <f>'Implied Productivity Ratios'!AX81/'Implied Productivity Ratios'!$V81</f>
        <v>0.98719335147501108</v>
      </c>
      <c r="AX81">
        <f>'Implied Productivity Ratios'!AY81/'Implied Productivity Ratios'!$V81</f>
        <v>0.99979744266679615</v>
      </c>
      <c r="AY81">
        <f>'Implied Productivity Ratios'!AZ81/'Implied Productivity Ratios'!$V81</f>
        <v>1.0135213718118081</v>
      </c>
      <c r="AZ81">
        <f>'Implied Productivity Ratios'!BA81/'Implied Productivity Ratios'!$V81</f>
        <v>1.0288753505496324</v>
      </c>
      <c r="BA81">
        <f>'Implied Productivity Ratios'!BB81/'Implied Productivity Ratios'!$V81</f>
        <v>1.0457584025155693</v>
      </c>
      <c r="BB81">
        <f>'Implied Productivity Ratios'!BC81/'Implied Productivity Ratios'!$V81</f>
        <v>1.0639249279519793</v>
      </c>
      <c r="BC81" s="5">
        <f>'Implied Productivity Ratios'!BD81/'Implied Productivity Ratios'!$V81</f>
        <v>1.079271243247373</v>
      </c>
      <c r="BD81" s="5">
        <f>'Implied Productivity Ratios'!BE81/'Implied Productivity Ratios'!$V81</f>
        <v>1.0946175585427667</v>
      </c>
      <c r="BE81" s="5">
        <f>'Implied Productivity Ratios'!BF81/'Implied Productivity Ratios'!$V81</f>
        <v>1.1099638738381603</v>
      </c>
      <c r="BF81" s="5">
        <f>'Implied Productivity Ratios'!BG81/'Implied Productivity Ratios'!$V81</f>
        <v>1.1253101891335542</v>
      </c>
      <c r="BG81" s="5">
        <f>'Implied Productivity Ratios'!BH81/'Implied Productivity Ratios'!$V81</f>
        <v>1.1406565044289478</v>
      </c>
    </row>
    <row r="82" spans="2:59">
      <c r="B82">
        <v>711</v>
      </c>
      <c r="C82" t="s">
        <v>432</v>
      </c>
      <c r="D82">
        <f>'Implied Productivity Ratios'!E82/'Implied Productivity Ratios'!$V82</f>
        <v>0.83571931824049817</v>
      </c>
      <c r="E82">
        <f>'Implied Productivity Ratios'!F82/'Implied Productivity Ratios'!$V82</f>
        <v>0.8579723992111703</v>
      </c>
      <c r="F82">
        <f>'Implied Productivity Ratios'!G82/'Implied Productivity Ratios'!$V82</f>
        <v>0.81771957775291593</v>
      </c>
      <c r="G82">
        <f>'Implied Productivity Ratios'!H82/'Implied Productivity Ratios'!$V82</f>
        <v>0.84592577816724901</v>
      </c>
      <c r="H82">
        <f>'Implied Productivity Ratios'!I82/'Implied Productivity Ratios'!$V82</f>
        <v>0.88317815951797896</v>
      </c>
      <c r="I82">
        <f>'Implied Productivity Ratios'!J82/'Implied Productivity Ratios'!$V82</f>
        <v>0.9147081652778184</v>
      </c>
      <c r="J82">
        <f>'Implied Productivity Ratios'!K82/'Implied Productivity Ratios'!$V82</f>
        <v>0.95797127467754895</v>
      </c>
      <c r="K82">
        <f>'Implied Productivity Ratios'!L82/'Implied Productivity Ratios'!$V82</f>
        <v>0.9928954373306601</v>
      </c>
      <c r="L82">
        <f>'Implied Productivity Ratios'!M82/'Implied Productivity Ratios'!$V82</f>
        <v>0.96654009963158571</v>
      </c>
      <c r="M82">
        <f>'Implied Productivity Ratios'!N82/'Implied Productivity Ratios'!$V82</f>
        <v>0.97613383758652761</v>
      </c>
      <c r="N82">
        <f>'Implied Productivity Ratios'!O82/'Implied Productivity Ratios'!$V82</f>
        <v>0.91248547740798946</v>
      </c>
      <c r="O82">
        <f>'Implied Productivity Ratios'!P82/'Implied Productivity Ratios'!$V82</f>
        <v>0.91436304986764927</v>
      </c>
      <c r="P82">
        <f>'Implied Productivity Ratios'!Q82/'Implied Productivity Ratios'!$V82</f>
        <v>0.92090662651856181</v>
      </c>
      <c r="Q82">
        <f>'Implied Productivity Ratios'!R82/'Implied Productivity Ratios'!$V82</f>
        <v>0.94479198197683789</v>
      </c>
      <c r="R82">
        <f>'Implied Productivity Ratios'!S82/'Implied Productivity Ratios'!$V82</f>
        <v>0.93707128789121696</v>
      </c>
      <c r="S82">
        <f>'Implied Productivity Ratios'!T82/'Implied Productivity Ratios'!$V82</f>
        <v>1.003417291770722</v>
      </c>
      <c r="T82">
        <f>'Implied Productivity Ratios'!U82/'Implied Productivity Ratios'!$V82</f>
        <v>1.0229201261390457</v>
      </c>
      <c r="U82">
        <f>'Implied Productivity Ratios'!V82/'Implied Productivity Ratios'!$V82</f>
        <v>1</v>
      </c>
      <c r="V82">
        <f>'Implied Productivity Ratios'!W82/'Implied Productivity Ratios'!$V82</f>
        <v>0.9764400895383375</v>
      </c>
      <c r="W82">
        <f>'Implied Productivity Ratios'!X82/'Implied Productivity Ratios'!$V82</f>
        <v>1.0046212716861922</v>
      </c>
      <c r="X82">
        <f>'Implied Productivity Ratios'!Y82/'Implied Productivity Ratios'!$V82</f>
        <v>1.0275219361835144</v>
      </c>
      <c r="Y82">
        <f>'Implied Productivity Ratios'!Z82/'Implied Productivity Ratios'!$V82</f>
        <v>1.0253061177954006</v>
      </c>
      <c r="Z82">
        <f>'Implied Productivity Ratios'!AA82/'Implied Productivity Ratios'!$V82</f>
        <v>1.0202320776156071</v>
      </c>
      <c r="AA82">
        <f>'Implied Productivity Ratios'!AB82/'Implied Productivity Ratios'!$V82</f>
        <v>1.0160013658754112</v>
      </c>
      <c r="AB82">
        <f>'Implied Productivity Ratios'!AC82/'Implied Productivity Ratios'!$V82</f>
        <v>1.0154709405912987</v>
      </c>
      <c r="AC82">
        <f>'Implied Productivity Ratios'!AD82/'Implied Productivity Ratios'!$V82</f>
        <v>1.0184421442150542</v>
      </c>
      <c r="AD82">
        <f>'Implied Productivity Ratios'!AE82/'Implied Productivity Ratios'!$V82</f>
        <v>1.021970671159266</v>
      </c>
      <c r="AE82">
        <f>'Implied Productivity Ratios'!AF82/'Implied Productivity Ratios'!$V82</f>
        <v>1.0264991017509151</v>
      </c>
      <c r="AF82">
        <f>'Implied Productivity Ratios'!AG82/'Implied Productivity Ratios'!$V82</f>
        <v>1.0319099919541803</v>
      </c>
      <c r="AG82">
        <f>'Implied Productivity Ratios'!AH82/'Implied Productivity Ratios'!$V82</f>
        <v>1.0358464224863211</v>
      </c>
      <c r="AH82">
        <f>'Implied Productivity Ratios'!AI82/'Implied Productivity Ratios'!$V82</f>
        <v>1.0394707452857914</v>
      </c>
      <c r="AI82">
        <f>'Implied Productivity Ratios'!AJ82/'Implied Productivity Ratios'!$V82</f>
        <v>1.0452090230138651</v>
      </c>
      <c r="AJ82">
        <f>'Implied Productivity Ratios'!AK82/'Implied Productivity Ratios'!$V82</f>
        <v>1.0523084160290155</v>
      </c>
      <c r="AK82">
        <f>'Implied Productivity Ratios'!AL82/'Implied Productivity Ratios'!$V82</f>
        <v>1.0599517071180327</v>
      </c>
      <c r="AL82">
        <f>'Implied Productivity Ratios'!AM82/'Implied Productivity Ratios'!$V82</f>
        <v>1.0681234907271393</v>
      </c>
      <c r="AM82">
        <f>'Implied Productivity Ratios'!AN82/'Implied Productivity Ratios'!$V82</f>
        <v>1.0767474391641534</v>
      </c>
      <c r="AN82">
        <f>'Implied Productivity Ratios'!AO82/'Implied Productivity Ratios'!$V82</f>
        <v>1.0853995603942435</v>
      </c>
      <c r="AO82">
        <f>'Implied Productivity Ratios'!AP82/'Implied Productivity Ratios'!$V82</f>
        <v>1.0943556156131875</v>
      </c>
      <c r="AP82">
        <f>'Implied Productivity Ratios'!AQ82/'Implied Productivity Ratios'!$V82</f>
        <v>1.1038048308511064</v>
      </c>
      <c r="AQ82">
        <f>'Implied Productivity Ratios'!AR82/'Implied Productivity Ratios'!$V82</f>
        <v>1.1140009194471956</v>
      </c>
      <c r="AR82">
        <f>'Implied Productivity Ratios'!AS82/'Implied Productivity Ratios'!$V82</f>
        <v>1.1248658981769597</v>
      </c>
      <c r="AS82">
        <f>'Implied Productivity Ratios'!AT82/'Implied Productivity Ratios'!$V82</f>
        <v>1.136191925917531</v>
      </c>
      <c r="AT82">
        <f>'Implied Productivity Ratios'!AU82/'Implied Productivity Ratios'!$V82</f>
        <v>1.1486008956142815</v>
      </c>
      <c r="AU82">
        <f>'Implied Productivity Ratios'!AV82/'Implied Productivity Ratios'!$V82</f>
        <v>1.1621091906122396</v>
      </c>
      <c r="AV82">
        <f>'Implied Productivity Ratios'!AW82/'Implied Productivity Ratios'!$V82</f>
        <v>1.1761400936701085</v>
      </c>
      <c r="AW82">
        <f>'Implied Productivity Ratios'!AX82/'Implied Productivity Ratios'!$V82</f>
        <v>1.1906277184475462</v>
      </c>
      <c r="AX82">
        <f>'Implied Productivity Ratios'!AY82/'Implied Productivity Ratios'!$V82</f>
        <v>1.2057464825973716</v>
      </c>
      <c r="AY82">
        <f>'Implied Productivity Ratios'!AZ82/'Implied Productivity Ratios'!$V82</f>
        <v>1.2220803727689986</v>
      </c>
      <c r="AZ82">
        <f>'Implied Productivity Ratios'!BA82/'Implied Productivity Ratios'!$V82</f>
        <v>1.2403062378696641</v>
      </c>
      <c r="BA82">
        <f>'Implied Productivity Ratios'!BB82/'Implied Productivity Ratios'!$V82</f>
        <v>1.260011951467386</v>
      </c>
      <c r="BB82">
        <f>'Implied Productivity Ratios'!BC82/'Implied Productivity Ratios'!$V82</f>
        <v>1.2809616497307328</v>
      </c>
      <c r="BC82" s="5">
        <f>'Implied Productivity Ratios'!BD82/'Implied Productivity Ratios'!$V82</f>
        <v>1.2990284359873703</v>
      </c>
      <c r="BD82" s="5">
        <f>'Implied Productivity Ratios'!BE82/'Implied Productivity Ratios'!$V82</f>
        <v>1.3170952222440075</v>
      </c>
      <c r="BE82" s="5">
        <f>'Implied Productivity Ratios'!BF82/'Implied Productivity Ratios'!$V82</f>
        <v>1.3351620085006448</v>
      </c>
      <c r="BF82" s="5">
        <f>'Implied Productivity Ratios'!BG82/'Implied Productivity Ratios'!$V82</f>
        <v>1.3532287947572823</v>
      </c>
      <c r="BG82" s="5">
        <f>'Implied Productivity Ratios'!BH82/'Implied Productivity Ratios'!$V82</f>
        <v>1.3712955810139196</v>
      </c>
    </row>
    <row r="83" spans="2:59">
      <c r="B83">
        <v>712</v>
      </c>
      <c r="C83" t="s">
        <v>436</v>
      </c>
      <c r="D83">
        <f>'Implied Productivity Ratios'!E83/'Implied Productivity Ratios'!$V83</f>
        <v>0.91333676601523162</v>
      </c>
      <c r="E83">
        <f>'Implied Productivity Ratios'!F83/'Implied Productivity Ratios'!$V83</f>
        <v>0.89203909784253121</v>
      </c>
      <c r="F83">
        <f>'Implied Productivity Ratios'!G83/'Implied Productivity Ratios'!$V83</f>
        <v>0.85601913494709247</v>
      </c>
      <c r="G83">
        <f>'Implied Productivity Ratios'!H83/'Implied Productivity Ratios'!$V83</f>
        <v>0.88179649640664404</v>
      </c>
      <c r="H83">
        <f>'Implied Productivity Ratios'!I83/'Implied Productivity Ratios'!$V83</f>
        <v>0.93860837544062525</v>
      </c>
      <c r="I83">
        <f>'Implied Productivity Ratios'!J83/'Implied Productivity Ratios'!$V83</f>
        <v>0.95039454183147765</v>
      </c>
      <c r="J83">
        <f>'Implied Productivity Ratios'!K83/'Implied Productivity Ratios'!$V83</f>
        <v>0.99612746619480685</v>
      </c>
      <c r="K83">
        <f>'Implied Productivity Ratios'!L83/'Implied Productivity Ratios'!$V83</f>
        <v>1.021781094324228</v>
      </c>
      <c r="L83">
        <f>'Implied Productivity Ratios'!M83/'Implied Productivity Ratios'!$V83</f>
        <v>1.0158254754141209</v>
      </c>
      <c r="M83">
        <f>'Implied Productivity Ratios'!N83/'Implied Productivity Ratios'!$V83</f>
        <v>1.0210075651740513</v>
      </c>
      <c r="N83">
        <f>'Implied Productivity Ratios'!O83/'Implied Productivity Ratios'!$V83</f>
        <v>0.93431276528746343</v>
      </c>
      <c r="O83">
        <f>'Implied Productivity Ratios'!P83/'Implied Productivity Ratios'!$V83</f>
        <v>0.92827142454331057</v>
      </c>
      <c r="P83">
        <f>'Implied Productivity Ratios'!Q83/'Implied Productivity Ratios'!$V83</f>
        <v>0.93322932128708491</v>
      </c>
      <c r="Q83">
        <f>'Implied Productivity Ratios'!R83/'Implied Productivity Ratios'!$V83</f>
        <v>0.94799977038876138</v>
      </c>
      <c r="R83">
        <f>'Implied Productivity Ratios'!S83/'Implied Productivity Ratios'!$V83</f>
        <v>0.94564655998371516</v>
      </c>
      <c r="S83">
        <f>'Implied Productivity Ratios'!T83/'Implied Productivity Ratios'!$V83</f>
        <v>0.95260478124919779</v>
      </c>
      <c r="T83">
        <f>'Implied Productivity Ratios'!U83/'Implied Productivity Ratios'!$V83</f>
        <v>0.97403298403666294</v>
      </c>
      <c r="U83">
        <f>'Implied Productivity Ratios'!V83/'Implied Productivity Ratios'!$V83</f>
        <v>1</v>
      </c>
      <c r="V83">
        <f>'Implied Productivity Ratios'!W83/'Implied Productivity Ratios'!$V83</f>
        <v>1.0268719679130573</v>
      </c>
      <c r="W83">
        <f>'Implied Productivity Ratios'!X83/'Implied Productivity Ratios'!$V83</f>
        <v>1.0724234925532516</v>
      </c>
      <c r="X83">
        <f>'Implied Productivity Ratios'!Y83/'Implied Productivity Ratios'!$V83</f>
        <v>1.1333978690731845</v>
      </c>
      <c r="Y83">
        <f>'Implied Productivity Ratios'!Z83/'Implied Productivity Ratios'!$V83</f>
        <v>1.1709628977458881</v>
      </c>
      <c r="Z83">
        <f>'Implied Productivity Ratios'!AA83/'Implied Productivity Ratios'!$V83</f>
        <v>1.2046169489059413</v>
      </c>
      <c r="AA83">
        <f>'Implied Productivity Ratios'!AB83/'Implied Productivity Ratios'!$V83</f>
        <v>1.2386156460635658</v>
      </c>
      <c r="AB83">
        <f>'Implied Productivity Ratios'!AC83/'Implied Productivity Ratios'!$V83</f>
        <v>1.2767517382450697</v>
      </c>
      <c r="AC83">
        <f>'Implied Productivity Ratios'!AD83/'Implied Productivity Ratios'!$V83</f>
        <v>1.3191155021017678</v>
      </c>
      <c r="AD83">
        <f>'Implied Productivity Ratios'!AE83/'Implied Productivity Ratios'!$V83</f>
        <v>1.3620415725209012</v>
      </c>
      <c r="AE83">
        <f>'Implied Productivity Ratios'!AF83/'Implied Productivity Ratios'!$V83</f>
        <v>1.4061001031116906</v>
      </c>
      <c r="AF83">
        <f>'Implied Productivity Ratios'!AG83/'Implied Productivity Ratios'!$V83</f>
        <v>1.4510238957357016</v>
      </c>
      <c r="AG83">
        <f>'Implied Productivity Ratios'!AH83/'Implied Productivity Ratios'!$V83</f>
        <v>1.4934456317887972</v>
      </c>
      <c r="AH83">
        <f>'Implied Productivity Ratios'!AI83/'Implied Productivity Ratios'!$V83</f>
        <v>1.5348878891659608</v>
      </c>
      <c r="AI83">
        <f>'Implied Productivity Ratios'!AJ83/'Implied Productivity Ratios'!$V83</f>
        <v>1.5788723671898364</v>
      </c>
      <c r="AJ83">
        <f>'Implied Productivity Ratios'!AK83/'Implied Productivity Ratios'!$V83</f>
        <v>1.624270312962816</v>
      </c>
      <c r="AK83">
        <f>'Implied Productivity Ratios'!AL83/'Implied Productivity Ratios'!$V83</f>
        <v>1.6697428261553335</v>
      </c>
      <c r="AL83">
        <f>'Implied Productivity Ratios'!AM83/'Implied Productivity Ratios'!$V83</f>
        <v>1.7151934535794524</v>
      </c>
      <c r="AM83">
        <f>'Implied Productivity Ratios'!AN83/'Implied Productivity Ratios'!$V83</f>
        <v>1.760422537604339</v>
      </c>
      <c r="AN83">
        <f>'Implied Productivity Ratios'!AO83/'Implied Productivity Ratios'!$V83</f>
        <v>1.8046532596327722</v>
      </c>
      <c r="AO83">
        <f>'Implied Productivity Ratios'!AP83/'Implied Productivity Ratios'!$V83</f>
        <v>1.8481958789441768</v>
      </c>
      <c r="AP83">
        <f>'Implied Productivity Ratios'!AQ83/'Implied Productivity Ratios'!$V83</f>
        <v>1.8912725111588229</v>
      </c>
      <c r="AQ83">
        <f>'Implied Productivity Ratios'!AR83/'Implied Productivity Ratios'!$V83</f>
        <v>1.9341834717553925</v>
      </c>
      <c r="AR83">
        <f>'Implied Productivity Ratios'!AS83/'Implied Productivity Ratios'!$V83</f>
        <v>1.9766967294427533</v>
      </c>
      <c r="AS83">
        <f>'Implied Productivity Ratios'!AT83/'Implied Productivity Ratios'!$V83</f>
        <v>2.0183880665226912</v>
      </c>
      <c r="AT83">
        <f>'Implied Productivity Ratios'!AU83/'Implied Productivity Ratios'!$V83</f>
        <v>2.060278875545047</v>
      </c>
      <c r="AU83">
        <f>'Implied Productivity Ratios'!AV83/'Implied Productivity Ratios'!$V83</f>
        <v>2.1022576010379366</v>
      </c>
      <c r="AV83">
        <f>'Implied Productivity Ratios'!AW83/'Implied Productivity Ratios'!$V83</f>
        <v>2.1431748729286522</v>
      </c>
      <c r="AW83">
        <f>'Implied Productivity Ratios'!AX83/'Implied Productivity Ratios'!$V83</f>
        <v>2.1828165426536157</v>
      </c>
      <c r="AX83">
        <f>'Implied Productivity Ratios'!AY83/'Implied Productivity Ratios'!$V83</f>
        <v>2.2213637540650977</v>
      </c>
      <c r="AY83">
        <f>'Implied Productivity Ratios'!AZ83/'Implied Productivity Ratios'!$V83</f>
        <v>2.2597912113060512</v>
      </c>
      <c r="AZ83">
        <f>'Implied Productivity Ratios'!BA83/'Implied Productivity Ratios'!$V83</f>
        <v>2.2991731401391484</v>
      </c>
      <c r="BA83">
        <f>'Implied Productivity Ratios'!BB83/'Implied Productivity Ratios'!$V83</f>
        <v>2.3386782396678174</v>
      </c>
      <c r="BB83">
        <f>'Implied Productivity Ratios'!BC83/'Implied Productivity Ratios'!$V83</f>
        <v>2.3777668865114312</v>
      </c>
      <c r="BC83" s="5">
        <f>'Implied Productivity Ratios'!BD83/'Implied Productivity Ratios'!$V83</f>
        <v>2.4167569552829944</v>
      </c>
      <c r="BD83" s="5">
        <f>'Implied Productivity Ratios'!BE83/'Implied Productivity Ratios'!$V83</f>
        <v>2.4557470240545576</v>
      </c>
      <c r="BE83" s="5">
        <f>'Implied Productivity Ratios'!BF83/'Implied Productivity Ratios'!$V83</f>
        <v>2.4947370928261208</v>
      </c>
      <c r="BF83" s="5">
        <f>'Implied Productivity Ratios'!BG83/'Implied Productivity Ratios'!$V83</f>
        <v>2.5337271615976835</v>
      </c>
      <c r="BG83" s="5">
        <f>'Implied Productivity Ratios'!BH83/'Implied Productivity Ratios'!$V83</f>
        <v>2.5727172303692467</v>
      </c>
    </row>
    <row r="84" spans="2:59">
      <c r="B84">
        <v>713</v>
      </c>
      <c r="C84" t="s">
        <v>440</v>
      </c>
      <c r="D84">
        <f>'Implied Productivity Ratios'!E84/'Implied Productivity Ratios'!$V84</f>
        <v>0.90877108389904693</v>
      </c>
      <c r="E84">
        <f>'Implied Productivity Ratios'!F84/'Implied Productivity Ratios'!$V84</f>
        <v>0.90170308282529366</v>
      </c>
      <c r="F84">
        <f>'Implied Productivity Ratios'!G84/'Implied Productivity Ratios'!$V84</f>
        <v>0.93379280832749156</v>
      </c>
      <c r="G84">
        <f>'Implied Productivity Ratios'!H84/'Implied Productivity Ratios'!$V84</f>
        <v>0.90459657455928255</v>
      </c>
      <c r="H84">
        <f>'Implied Productivity Ratios'!I84/'Implied Productivity Ratios'!$V84</f>
        <v>0.88182107895597206</v>
      </c>
      <c r="I84">
        <f>'Implied Productivity Ratios'!J84/'Implied Productivity Ratios'!$V84</f>
        <v>0.96830991038655834</v>
      </c>
      <c r="J84">
        <f>'Implied Productivity Ratios'!K84/'Implied Productivity Ratios'!$V84</f>
        <v>0.95624724051215348</v>
      </c>
      <c r="K84">
        <f>'Implied Productivity Ratios'!L84/'Implied Productivity Ratios'!$V84</f>
        <v>0.95626317519597936</v>
      </c>
      <c r="L84">
        <f>'Implied Productivity Ratios'!M84/'Implied Productivity Ratios'!$V84</f>
        <v>0.95657002854751982</v>
      </c>
      <c r="M84">
        <f>'Implied Productivity Ratios'!N84/'Implied Productivity Ratios'!$V84</f>
        <v>0.95959223772626234</v>
      </c>
      <c r="N84">
        <f>'Implied Productivity Ratios'!O84/'Implied Productivity Ratios'!$V84</f>
        <v>0.93576831388067994</v>
      </c>
      <c r="O84">
        <f>'Implied Productivity Ratios'!P84/'Implied Productivity Ratios'!$V84</f>
        <v>0.92417172189757479</v>
      </c>
      <c r="P84">
        <f>'Implied Productivity Ratios'!Q84/'Implied Productivity Ratios'!$V84</f>
        <v>0.92903807251604931</v>
      </c>
      <c r="Q84">
        <f>'Implied Productivity Ratios'!R84/'Implied Productivity Ratios'!$V84</f>
        <v>0.91905233907586059</v>
      </c>
      <c r="R84">
        <f>'Implied Productivity Ratios'!S84/'Implied Productivity Ratios'!$V84</f>
        <v>0.90612576252516697</v>
      </c>
      <c r="S84">
        <f>'Implied Productivity Ratios'!T84/'Implied Productivity Ratios'!$V84</f>
        <v>0.86794181631094081</v>
      </c>
      <c r="T84">
        <f>'Implied Productivity Ratios'!U84/'Implied Productivity Ratios'!$V84</f>
        <v>1.0097799520169402</v>
      </c>
      <c r="U84">
        <f>'Implied Productivity Ratios'!V84/'Implied Productivity Ratios'!$V84</f>
        <v>1</v>
      </c>
      <c r="V84">
        <f>'Implied Productivity Ratios'!W84/'Implied Productivity Ratios'!$V84</f>
        <v>0.95079505503444817</v>
      </c>
      <c r="W84">
        <f>'Implied Productivity Ratios'!X84/'Implied Productivity Ratios'!$V84</f>
        <v>0.92601248978225725</v>
      </c>
      <c r="X84">
        <f>'Implied Productivity Ratios'!Y84/'Implied Productivity Ratios'!$V84</f>
        <v>0.93524776384089603</v>
      </c>
      <c r="Y84">
        <f>'Implied Productivity Ratios'!Z84/'Implied Productivity Ratios'!$V84</f>
        <v>0.9334860120222026</v>
      </c>
      <c r="Z84">
        <f>'Implied Productivity Ratios'!AA84/'Implied Productivity Ratios'!$V84</f>
        <v>0.92860934708225518</v>
      </c>
      <c r="AA84">
        <f>'Implied Productivity Ratios'!AB84/'Implied Productivity Ratios'!$V84</f>
        <v>0.92475532349244138</v>
      </c>
      <c r="AB84">
        <f>'Implied Productivity Ratios'!AC84/'Implied Productivity Ratios'!$V84</f>
        <v>0.92468634556604845</v>
      </c>
      <c r="AC84">
        <f>'Implied Productivity Ratios'!AD84/'Implied Productivity Ratios'!$V84</f>
        <v>0.92800584715459555</v>
      </c>
      <c r="AD84">
        <f>'Implied Productivity Ratios'!AE84/'Implied Productivity Ratios'!$V84</f>
        <v>0.93170471590791626</v>
      </c>
      <c r="AE84">
        <f>'Implied Productivity Ratios'!AF84/'Implied Productivity Ratios'!$V84</f>
        <v>0.93619475254700701</v>
      </c>
      <c r="AF84">
        <f>'Implied Productivity Ratios'!AG84/'Implied Productivity Ratios'!$V84</f>
        <v>0.94140582174319754</v>
      </c>
      <c r="AG84">
        <f>'Implied Productivity Ratios'!AH84/'Implied Productivity Ratios'!$V84</f>
        <v>0.94505355182776418</v>
      </c>
      <c r="AH84">
        <f>'Implied Productivity Ratios'!AI84/'Implied Productivity Ratios'!$V84</f>
        <v>0.94830008933917664</v>
      </c>
      <c r="AI84">
        <f>'Implied Productivity Ratios'!AJ84/'Implied Productivity Ratios'!$V84</f>
        <v>0.95351770370436828</v>
      </c>
      <c r="AJ84">
        <f>'Implied Productivity Ratios'!AK84/'Implied Productivity Ratios'!$V84</f>
        <v>0.96000070676557792</v>
      </c>
      <c r="AK84">
        <f>'Implied Productivity Ratios'!AL84/'Implied Productivity Ratios'!$V84</f>
        <v>0.96695195581900273</v>
      </c>
      <c r="AL84">
        <f>'Implied Productivity Ratios'!AM84/'Implied Productivity Ratios'!$V84</f>
        <v>0.97440161364036015</v>
      </c>
      <c r="AM84">
        <f>'Implied Productivity Ratios'!AN84/'Implied Productivity Ratios'!$V84</f>
        <v>0.98227408821719708</v>
      </c>
      <c r="AN84">
        <f>'Implied Productivity Ratios'!AO84/'Implied Productivity Ratios'!$V84</f>
        <v>0.99019189008013164</v>
      </c>
      <c r="AO84">
        <f>'Implied Productivity Ratios'!AP84/'Implied Productivity Ratios'!$V84</f>
        <v>0.99839806839450418</v>
      </c>
      <c r="AP84">
        <f>'Implied Productivity Ratios'!AQ84/'Implied Productivity Ratios'!$V84</f>
        <v>1.0070529115781781</v>
      </c>
      <c r="AQ84">
        <f>'Implied Productivity Ratios'!AR84/'Implied Productivity Ratios'!$V84</f>
        <v>1.0163990839801611</v>
      </c>
      <c r="AR84">
        <f>'Implied Productivity Ratios'!AS84/'Implied Productivity Ratios'!$V84</f>
        <v>1.0263744549524874</v>
      </c>
      <c r="AS84">
        <f>'Implied Productivity Ratios'!AT84/'Implied Productivity Ratios'!$V84</f>
        <v>1.0367942623023292</v>
      </c>
      <c r="AT84">
        <f>'Implied Productivity Ratios'!AU84/'Implied Productivity Ratios'!$V84</f>
        <v>1.0482368012178793</v>
      </c>
      <c r="AU84">
        <f>'Implied Productivity Ratios'!AV84/'Implied Productivity Ratios'!$V84</f>
        <v>1.0607222711458077</v>
      </c>
      <c r="AV84">
        <f>'Implied Productivity Ratios'!AW84/'Implied Productivity Ratios'!$V84</f>
        <v>1.0737153366092991</v>
      </c>
      <c r="AW84">
        <f>'Implied Productivity Ratios'!AX84/'Implied Productivity Ratios'!$V84</f>
        <v>1.0871569561887302</v>
      </c>
      <c r="AX84">
        <f>'Implied Productivity Ratios'!AY84/'Implied Productivity Ratios'!$V84</f>
        <v>1.1012129365201484</v>
      </c>
      <c r="AY84">
        <f>'Implied Productivity Ratios'!AZ84/'Implied Productivity Ratios'!$V84</f>
        <v>1.1164319601427179</v>
      </c>
      <c r="AZ84">
        <f>'Implied Productivity Ratios'!BA84/'Implied Productivity Ratios'!$V84</f>
        <v>1.1334624761845646</v>
      </c>
      <c r="BA84">
        <f>'Implied Productivity Ratios'!BB84/'Implied Productivity Ratios'!$V84</f>
        <v>1.151895028031688</v>
      </c>
      <c r="BB84">
        <f>'Implied Productivity Ratios'!BC84/'Implied Productivity Ratios'!$V84</f>
        <v>1.1715122075030453</v>
      </c>
      <c r="BC84" s="5">
        <f>'Implied Productivity Ratios'!BD84/'Implied Productivity Ratios'!$V84</f>
        <v>1.1883832577659081</v>
      </c>
      <c r="BD84" s="5">
        <f>'Implied Productivity Ratios'!BE84/'Implied Productivity Ratios'!$V84</f>
        <v>1.2052543080287712</v>
      </c>
      <c r="BE84" s="5">
        <f>'Implied Productivity Ratios'!BF84/'Implied Productivity Ratios'!$V84</f>
        <v>1.222125358291634</v>
      </c>
      <c r="BF84" s="5">
        <f>'Implied Productivity Ratios'!BG84/'Implied Productivity Ratios'!$V84</f>
        <v>1.2389964085544971</v>
      </c>
      <c r="BG84" s="5">
        <f>'Implied Productivity Ratios'!BH84/'Implied Productivity Ratios'!$V84</f>
        <v>1.2558674588173599</v>
      </c>
    </row>
    <row r="85" spans="2:59">
      <c r="B85">
        <v>721</v>
      </c>
      <c r="C85" t="s">
        <v>444</v>
      </c>
      <c r="D85">
        <f>'Implied Productivity Ratios'!E85/'Implied Productivity Ratios'!$V85</f>
        <v>0.77937851450009288</v>
      </c>
      <c r="E85">
        <f>'Implied Productivity Ratios'!F85/'Implied Productivity Ratios'!$V85</f>
        <v>0.79277674814500765</v>
      </c>
      <c r="F85">
        <f>'Implied Productivity Ratios'!G85/'Implied Productivity Ratios'!$V85</f>
        <v>0.7942573788084234</v>
      </c>
      <c r="G85">
        <f>'Implied Productivity Ratios'!H85/'Implied Productivity Ratios'!$V85</f>
        <v>0.76329081639890084</v>
      </c>
      <c r="H85">
        <f>'Implied Productivity Ratios'!I85/'Implied Productivity Ratios'!$V85</f>
        <v>0.71422689119494409</v>
      </c>
      <c r="I85">
        <f>'Implied Productivity Ratios'!J85/'Implied Productivity Ratios'!$V85</f>
        <v>0.75846641365311918</v>
      </c>
      <c r="J85">
        <f>'Implied Productivity Ratios'!K85/'Implied Productivity Ratios'!$V85</f>
        <v>0.7971412353426881</v>
      </c>
      <c r="K85">
        <f>'Implied Productivity Ratios'!L85/'Implied Productivity Ratios'!$V85</f>
        <v>0.796498979661458</v>
      </c>
      <c r="L85">
        <f>'Implied Productivity Ratios'!M85/'Implied Productivity Ratios'!$V85</f>
        <v>0.82283825802702637</v>
      </c>
      <c r="M85">
        <f>'Implied Productivity Ratios'!N85/'Implied Productivity Ratios'!$V85</f>
        <v>0.82520002385247548</v>
      </c>
      <c r="N85">
        <f>'Implied Productivity Ratios'!O85/'Implied Productivity Ratios'!$V85</f>
        <v>0.87578948011365132</v>
      </c>
      <c r="O85">
        <f>'Implied Productivity Ratios'!P85/'Implied Productivity Ratios'!$V85</f>
        <v>0.85832943682443907</v>
      </c>
      <c r="P85">
        <f>'Implied Productivity Ratios'!Q85/'Implied Productivity Ratios'!$V85</f>
        <v>0.87300187660672812</v>
      </c>
      <c r="Q85">
        <f>'Implied Productivity Ratios'!R85/'Implied Productivity Ratios'!$V85</f>
        <v>0.86686031694960808</v>
      </c>
      <c r="R85">
        <f>'Implied Productivity Ratios'!S85/'Implied Productivity Ratios'!$V85</f>
        <v>0.86608773448247212</v>
      </c>
      <c r="S85">
        <f>'Implied Productivity Ratios'!T85/'Implied Productivity Ratios'!$V85</f>
        <v>0.92728754752433806</v>
      </c>
      <c r="T85">
        <f>'Implied Productivity Ratios'!U85/'Implied Productivity Ratios'!$V85</f>
        <v>1.1162368737923491</v>
      </c>
      <c r="U85">
        <f>'Implied Productivity Ratios'!V85/'Implied Productivity Ratios'!$V85</f>
        <v>1</v>
      </c>
      <c r="V85">
        <f>'Implied Productivity Ratios'!W85/'Implied Productivity Ratios'!$V85</f>
        <v>1.0101562164772995</v>
      </c>
      <c r="W85">
        <f>'Implied Productivity Ratios'!X85/'Implied Productivity Ratios'!$V85</f>
        <v>1.0204839467375939</v>
      </c>
      <c r="X85">
        <f>'Implied Productivity Ratios'!Y85/'Implied Productivity Ratios'!$V85</f>
        <v>1.0384420135558934</v>
      </c>
      <c r="Y85">
        <f>'Implied Productivity Ratios'!Z85/'Implied Productivity Ratios'!$V85</f>
        <v>1.0679512248625052</v>
      </c>
      <c r="Z85">
        <f>'Implied Productivity Ratios'!AA85/'Implied Productivity Ratios'!$V85</f>
        <v>1.0977846901385007</v>
      </c>
      <c r="AA85">
        <f>'Implied Productivity Ratios'!AB85/'Implied Productivity Ratios'!$V85</f>
        <v>1.1282992802526786</v>
      </c>
      <c r="AB85">
        <f>'Implied Productivity Ratios'!AC85/'Implied Productivity Ratios'!$V85</f>
        <v>1.160033283087138</v>
      </c>
      <c r="AC85">
        <f>'Implied Productivity Ratios'!AD85/'Implied Productivity Ratios'!$V85</f>
        <v>1.1924723313985848</v>
      </c>
      <c r="AD85">
        <f>'Implied Productivity Ratios'!AE85/'Implied Productivity Ratios'!$V85</f>
        <v>1.2237370941904746</v>
      </c>
      <c r="AE85">
        <f>'Implied Productivity Ratios'!AF85/'Implied Productivity Ratios'!$V85</f>
        <v>1.2548489640469287</v>
      </c>
      <c r="AF85">
        <f>'Implied Productivity Ratios'!AG85/'Implied Productivity Ratios'!$V85</f>
        <v>1.286118653558481</v>
      </c>
      <c r="AG85">
        <f>'Implied Productivity Ratios'!AH85/'Implied Productivity Ratios'!$V85</f>
        <v>1.3155613772297805</v>
      </c>
      <c r="AH85">
        <f>'Implied Productivity Ratios'!AI85/'Implied Productivity Ratios'!$V85</f>
        <v>1.3445169407784541</v>
      </c>
      <c r="AI85">
        <f>'Implied Productivity Ratios'!AJ85/'Implied Productivity Ratios'!$V85</f>
        <v>1.3754119818247845</v>
      </c>
      <c r="AJ85">
        <f>'Implied Productivity Ratios'!AK85/'Implied Productivity Ratios'!$V85</f>
        <v>1.4076180717353586</v>
      </c>
      <c r="AK85">
        <f>'Implied Productivity Ratios'!AL85/'Implied Productivity Ratios'!$V85</f>
        <v>1.4394423194380019</v>
      </c>
      <c r="AL85">
        <f>'Implied Productivity Ratios'!AM85/'Implied Productivity Ratios'!$V85</f>
        <v>1.4708780759365458</v>
      </c>
      <c r="AM85">
        <f>'Implied Productivity Ratios'!AN85/'Implied Productivity Ratios'!$V85</f>
        <v>1.5015623812645364</v>
      </c>
      <c r="AN85">
        <f>'Implied Productivity Ratios'!AO85/'Implied Productivity Ratios'!$V85</f>
        <v>1.5309636377336495</v>
      </c>
      <c r="AO85">
        <f>'Implied Productivity Ratios'!AP85/'Implied Productivity Ratios'!$V85</f>
        <v>1.5596933747204877</v>
      </c>
      <c r="AP85">
        <f>'Implied Productivity Ratios'!AQ85/'Implied Productivity Ratios'!$V85</f>
        <v>1.5883092106490719</v>
      </c>
      <c r="AQ85">
        <f>'Implied Productivity Ratios'!AR85/'Implied Productivity Ratios'!$V85</f>
        <v>1.6169454848481886</v>
      </c>
      <c r="AR85">
        <f>'Implied Productivity Ratios'!AS85/'Implied Productivity Ratios'!$V85</f>
        <v>1.6452656111714536</v>
      </c>
      <c r="AS85">
        <f>'Implied Productivity Ratios'!AT85/'Implied Productivity Ratios'!$V85</f>
        <v>1.6729311852434263</v>
      </c>
      <c r="AT85">
        <f>'Implied Productivity Ratios'!AU85/'Implied Productivity Ratios'!$V85</f>
        <v>1.7012549500159673</v>
      </c>
      <c r="AU85">
        <f>'Implied Productivity Ratios'!AV85/'Implied Productivity Ratios'!$V85</f>
        <v>1.7299409006721254</v>
      </c>
      <c r="AV85">
        <f>'Implied Productivity Ratios'!AW85/'Implied Productivity Ratios'!$V85</f>
        <v>1.7579215836162749</v>
      </c>
      <c r="AW85">
        <f>'Implied Productivity Ratios'!AX85/'Implied Productivity Ratios'!$V85</f>
        <v>1.7855536668400736</v>
      </c>
      <c r="AX85">
        <f>'Implied Productivity Ratios'!AY85/'Implied Productivity Ratios'!$V85</f>
        <v>1.8129433329459574</v>
      </c>
      <c r="AY85">
        <f>'Implied Productivity Ratios'!AZ85/'Implied Productivity Ratios'!$V85</f>
        <v>1.8407582673323315</v>
      </c>
      <c r="AZ85">
        <f>'Implied Productivity Ratios'!BA85/'Implied Productivity Ratios'!$V85</f>
        <v>1.8702618676480076</v>
      </c>
      <c r="BA85">
        <f>'Implied Productivity Ratios'!BB85/'Implied Productivity Ratios'!$V85</f>
        <v>1.9004453675787436</v>
      </c>
      <c r="BB85">
        <f>'Implied Productivity Ratios'!BC85/'Implied Productivity Ratios'!$V85</f>
        <v>1.9305930347967779</v>
      </c>
      <c r="BC85" s="5">
        <f>'Implied Productivity Ratios'!BD85/'Implied Productivity Ratios'!$V85</f>
        <v>1.9596009083881185</v>
      </c>
      <c r="BD85" s="5">
        <f>'Implied Productivity Ratios'!BE85/'Implied Productivity Ratios'!$V85</f>
        <v>1.9886087819794593</v>
      </c>
      <c r="BE85" s="5">
        <f>'Implied Productivity Ratios'!BF85/'Implied Productivity Ratios'!$V85</f>
        <v>2.0176166555708002</v>
      </c>
      <c r="BF85" s="5">
        <f>'Implied Productivity Ratios'!BG85/'Implied Productivity Ratios'!$V85</f>
        <v>2.0466245291621408</v>
      </c>
      <c r="BG85" s="5">
        <f>'Implied Productivity Ratios'!BH85/'Implied Productivity Ratios'!$V85</f>
        <v>2.0756324027534814</v>
      </c>
    </row>
    <row r="86" spans="2:59">
      <c r="B86">
        <v>722</v>
      </c>
      <c r="C86" t="s">
        <v>448</v>
      </c>
      <c r="D86">
        <f>'Implied Productivity Ratios'!E86/'Implied Productivity Ratios'!$V86</f>
        <v>1.085072277772293</v>
      </c>
      <c r="E86">
        <f>'Implied Productivity Ratios'!F86/'Implied Productivity Ratios'!$V86</f>
        <v>1.0860512801552624</v>
      </c>
      <c r="F86">
        <f>'Implied Productivity Ratios'!G86/'Implied Productivity Ratios'!$V86</f>
        <v>1.0429101132375294</v>
      </c>
      <c r="G86">
        <f>'Implied Productivity Ratios'!H86/'Implied Productivity Ratios'!$V86</f>
        <v>1.0078533108715328</v>
      </c>
      <c r="H86">
        <f>'Implied Productivity Ratios'!I86/'Implied Productivity Ratios'!$V86</f>
        <v>0.97385554663773433</v>
      </c>
      <c r="I86">
        <f>'Implied Productivity Ratios'!J86/'Implied Productivity Ratios'!$V86</f>
        <v>1.0032266495861093</v>
      </c>
      <c r="J86">
        <f>'Implied Productivity Ratios'!K86/'Implied Productivity Ratios'!$V86</f>
        <v>1.0074332904404366</v>
      </c>
      <c r="K86">
        <f>'Implied Productivity Ratios'!L86/'Implied Productivity Ratios'!$V86</f>
        <v>0.99166520098934297</v>
      </c>
      <c r="L86">
        <f>'Implied Productivity Ratios'!M86/'Implied Productivity Ratios'!$V86</f>
        <v>0.97628047921276517</v>
      </c>
      <c r="M86">
        <f>'Implied Productivity Ratios'!N86/'Implied Productivity Ratios'!$V86</f>
        <v>0.98617687736761173</v>
      </c>
      <c r="N86">
        <f>'Implied Productivity Ratios'!O86/'Implied Productivity Ratios'!$V86</f>
        <v>0.99138261272696726</v>
      </c>
      <c r="O86">
        <f>'Implied Productivity Ratios'!P86/'Implied Productivity Ratios'!$V86</f>
        <v>0.97973247280686682</v>
      </c>
      <c r="P86">
        <f>'Implied Productivity Ratios'!Q86/'Implied Productivity Ratios'!$V86</f>
        <v>0.97659578134329939</v>
      </c>
      <c r="Q86">
        <f>'Implied Productivity Ratios'!R86/'Implied Productivity Ratios'!$V86</f>
        <v>0.97456284833639328</v>
      </c>
      <c r="R86">
        <f>'Implied Productivity Ratios'!S86/'Implied Productivity Ratios'!$V86</f>
        <v>0.98549024578176236</v>
      </c>
      <c r="S86">
        <f>'Implied Productivity Ratios'!T86/'Implied Productivity Ratios'!$V86</f>
        <v>0.92290608271537455</v>
      </c>
      <c r="T86">
        <f>'Implied Productivity Ratios'!U86/'Implied Productivity Ratios'!$V86</f>
        <v>1.0403770143454729</v>
      </c>
      <c r="U86">
        <f>'Implied Productivity Ratios'!V86/'Implied Productivity Ratios'!$V86</f>
        <v>1</v>
      </c>
      <c r="V86">
        <f>'Implied Productivity Ratios'!W86/'Implied Productivity Ratios'!$V86</f>
        <v>0.97351251680620621</v>
      </c>
      <c r="W86">
        <f>'Implied Productivity Ratios'!X86/'Implied Productivity Ratios'!$V86</f>
        <v>0.95182639514008127</v>
      </c>
      <c r="X86">
        <f>'Implied Productivity Ratios'!Y86/'Implied Productivity Ratios'!$V86</f>
        <v>0.95927990828967957</v>
      </c>
      <c r="Y86">
        <f>'Implied Productivity Ratios'!Z86/'Implied Productivity Ratios'!$V86</f>
        <v>0.96523342379725519</v>
      </c>
      <c r="Z86">
        <f>'Implied Productivity Ratios'!AA86/'Implied Productivity Ratios'!$V86</f>
        <v>0.97168762699272349</v>
      </c>
      <c r="AA86">
        <f>'Implied Productivity Ratios'!AB86/'Implied Productivity Ratios'!$V86</f>
        <v>0.978731797652451</v>
      </c>
      <c r="AB86">
        <f>'Implied Productivity Ratios'!AC86/'Implied Productivity Ratios'!$V86</f>
        <v>0.98659342358836077</v>
      </c>
      <c r="AC86">
        <f>'Implied Productivity Ratios'!AD86/'Implied Productivity Ratios'!$V86</f>
        <v>0.99480356678047366</v>
      </c>
      <c r="AD86">
        <f>'Implied Productivity Ratios'!AE86/'Implied Productivity Ratios'!$V86</f>
        <v>1.0020533776869347</v>
      </c>
      <c r="AE86">
        <f>'Implied Productivity Ratios'!AF86/'Implied Productivity Ratios'!$V86</f>
        <v>1.0094029698328513</v>
      </c>
      <c r="AF86">
        <f>'Implied Productivity Ratios'!AG86/'Implied Productivity Ratios'!$V86</f>
        <v>1.0171998953380801</v>
      </c>
      <c r="AG86">
        <f>'Implied Productivity Ratios'!AH86/'Implied Productivity Ratios'!$V86</f>
        <v>1.023921126068597</v>
      </c>
      <c r="AH86">
        <f>'Implied Productivity Ratios'!AI86/'Implied Productivity Ratios'!$V86</f>
        <v>1.03056673351877</v>
      </c>
      <c r="AI86">
        <f>'Implied Productivity Ratios'!AJ86/'Implied Productivity Ratios'!$V86</f>
        <v>1.0390124721618994</v>
      </c>
      <c r="AJ86">
        <f>'Implied Productivity Ratios'!AK86/'Implied Productivity Ratios'!$V86</f>
        <v>1.0487509620934357</v>
      </c>
      <c r="AK86">
        <f>'Implied Productivity Ratios'!AL86/'Implied Productivity Ratios'!$V86</f>
        <v>1.0584759451326735</v>
      </c>
      <c r="AL86">
        <f>'Implied Productivity Ratios'!AM86/'Implied Productivity Ratios'!$V86</f>
        <v>1.0682799775570366</v>
      </c>
      <c r="AM86">
        <f>'Implied Productivity Ratios'!AN86/'Implied Productivity Ratios'!$V86</f>
        <v>1.0779523494776833</v>
      </c>
      <c r="AN86">
        <f>'Implied Productivity Ratios'!AO86/'Implied Productivity Ratios'!$V86</f>
        <v>1.0871460239673916</v>
      </c>
      <c r="AO86">
        <f>'Implied Productivity Ratios'!AP86/'Implied Productivity Ratios'!$V86</f>
        <v>1.0963545627365257</v>
      </c>
      <c r="AP86">
        <f>'Implied Productivity Ratios'!AQ86/'Implied Productivity Ratios'!$V86</f>
        <v>1.1059982386157137</v>
      </c>
      <c r="AQ86">
        <f>'Implied Productivity Ratios'!AR86/'Implied Productivity Ratios'!$V86</f>
        <v>1.1161839197047476</v>
      </c>
      <c r="AR86">
        <f>'Implied Productivity Ratios'!AS86/'Implied Productivity Ratios'!$V86</f>
        <v>1.1267187941554309</v>
      </c>
      <c r="AS86">
        <f>'Implied Productivity Ratios'!AT86/'Implied Productivity Ratios'!$V86</f>
        <v>1.1374146519457791</v>
      </c>
      <c r="AT86">
        <f>'Implied Productivity Ratios'!AU86/'Implied Productivity Ratios'!$V86</f>
        <v>1.1491960561400438</v>
      </c>
      <c r="AU86">
        <f>'Implied Productivity Ratios'!AV86/'Implied Productivity Ratios'!$V86</f>
        <v>1.1618679755064185</v>
      </c>
      <c r="AV86">
        <f>'Implied Productivity Ratios'!AW86/'Implied Productivity Ratios'!$V86</f>
        <v>1.1747432314764645</v>
      </c>
      <c r="AW86">
        <f>'Implied Productivity Ratios'!AX86/'Implied Productivity Ratios'!$V86</f>
        <v>1.1880914390918855</v>
      </c>
      <c r="AX86">
        <f>'Implied Productivity Ratios'!AY86/'Implied Productivity Ratios'!$V86</f>
        <v>1.2020091158486039</v>
      </c>
      <c r="AY86">
        <f>'Implied Productivity Ratios'!AZ86/'Implied Productivity Ratios'!$V86</f>
        <v>1.2169533061736639</v>
      </c>
      <c r="AZ86">
        <f>'Implied Productivity Ratios'!BA86/'Implied Productivity Ratios'!$V86</f>
        <v>1.23364653615779</v>
      </c>
      <c r="BA86">
        <f>'Implied Productivity Ratios'!BB86/'Implied Productivity Ratios'!$V86</f>
        <v>1.2515517986045841</v>
      </c>
      <c r="BB86">
        <f>'Implied Productivity Ratios'!BC86/'Implied Productivity Ratios'!$V86</f>
        <v>1.2702884109876582</v>
      </c>
      <c r="BC86" s="5">
        <f>'Implied Productivity Ratios'!BD86/'Implied Productivity Ratios'!$V86</f>
        <v>1.2867278053668127</v>
      </c>
      <c r="BD86" s="5">
        <f>'Implied Productivity Ratios'!BE86/'Implied Productivity Ratios'!$V86</f>
        <v>1.3031671997459671</v>
      </c>
      <c r="BE86" s="5">
        <f>'Implied Productivity Ratios'!BF86/'Implied Productivity Ratios'!$V86</f>
        <v>1.3196065941251216</v>
      </c>
      <c r="BF86" s="5">
        <f>'Implied Productivity Ratios'!BG86/'Implied Productivity Ratios'!$V86</f>
        <v>1.3360459885042761</v>
      </c>
      <c r="BG86" s="5">
        <f>'Implied Productivity Ratios'!BH86/'Implied Productivity Ratios'!$V86</f>
        <v>1.3524853828834307</v>
      </c>
    </row>
    <row r="87" spans="2:59">
      <c r="B87">
        <v>811</v>
      </c>
      <c r="C87" t="s">
        <v>452</v>
      </c>
      <c r="D87">
        <f>'Implied Productivity Ratios'!E87/'Implied Productivity Ratios'!$V87</f>
        <v>1.3004123918880519</v>
      </c>
      <c r="E87">
        <f>'Implied Productivity Ratios'!F87/'Implied Productivity Ratios'!$V87</f>
        <v>1.2868950711638474</v>
      </c>
      <c r="F87">
        <f>'Implied Productivity Ratios'!G87/'Implied Productivity Ratios'!$V87</f>
        <v>1.2124700455885324</v>
      </c>
      <c r="G87">
        <f>'Implied Productivity Ratios'!H87/'Implied Productivity Ratios'!$V87</f>
        <v>1.115840204615355</v>
      </c>
      <c r="H87">
        <f>'Implied Productivity Ratios'!I87/'Implied Productivity Ratios'!$V87</f>
        <v>1.0587778547852715</v>
      </c>
      <c r="I87">
        <f>'Implied Productivity Ratios'!J87/'Implied Productivity Ratios'!$V87</f>
        <v>1.059572420664453</v>
      </c>
      <c r="J87">
        <f>'Implied Productivity Ratios'!K87/'Implied Productivity Ratios'!$V87</f>
        <v>1.0242452647440432</v>
      </c>
      <c r="K87">
        <f>'Implied Productivity Ratios'!L87/'Implied Productivity Ratios'!$V87</f>
        <v>1.0247138102476083</v>
      </c>
      <c r="L87">
        <f>'Implied Productivity Ratios'!M87/'Implied Productivity Ratios'!$V87</f>
        <v>1.0400769548763433</v>
      </c>
      <c r="M87">
        <f>'Implied Productivity Ratios'!N87/'Implied Productivity Ratios'!$V87</f>
        <v>1.0839243057943491</v>
      </c>
      <c r="N87">
        <f>'Implied Productivity Ratios'!O87/'Implied Productivity Ratios'!$V87</f>
        <v>1.0869174701568831</v>
      </c>
      <c r="O87">
        <f>'Implied Productivity Ratios'!P87/'Implied Productivity Ratios'!$V87</f>
        <v>1.0894529804004545</v>
      </c>
      <c r="P87">
        <f>'Implied Productivity Ratios'!Q87/'Implied Productivity Ratios'!$V87</f>
        <v>1.1178317942698244</v>
      </c>
      <c r="Q87">
        <f>'Implied Productivity Ratios'!R87/'Implied Productivity Ratios'!$V87</f>
        <v>1.1271825688755992</v>
      </c>
      <c r="R87">
        <f>'Implied Productivity Ratios'!S87/'Implied Productivity Ratios'!$V87</f>
        <v>1.1092232487461773</v>
      </c>
      <c r="S87">
        <f>'Implied Productivity Ratios'!T87/'Implied Productivity Ratios'!$V87</f>
        <v>1.0944099890872576</v>
      </c>
      <c r="T87">
        <f>'Implied Productivity Ratios'!U87/'Implied Productivity Ratios'!$V87</f>
        <v>1.092210834521594</v>
      </c>
      <c r="U87">
        <f>'Implied Productivity Ratios'!V87/'Implied Productivity Ratios'!$V87</f>
        <v>1</v>
      </c>
      <c r="V87">
        <f>'Implied Productivity Ratios'!W87/'Implied Productivity Ratios'!$V87</f>
        <v>0.86553755153953604</v>
      </c>
      <c r="W87">
        <f>'Implied Productivity Ratios'!X87/'Implied Productivity Ratios'!$V87</f>
        <v>0.81567496055161948</v>
      </c>
      <c r="X87">
        <f>'Implied Productivity Ratios'!Y87/'Implied Productivity Ratios'!$V87</f>
        <v>0.79504444954035169</v>
      </c>
      <c r="Y87">
        <f>'Implied Productivity Ratios'!Z87/'Implied Productivity Ratios'!$V87</f>
        <v>0.77740563046712763</v>
      </c>
      <c r="Z87">
        <f>'Implied Productivity Ratios'!AA87/'Implied Productivity Ratios'!$V87</f>
        <v>0.76218411191347335</v>
      </c>
      <c r="AA87">
        <f>'Implied Productivity Ratios'!AB87/'Implied Productivity Ratios'!$V87</f>
        <v>0.75020130521247275</v>
      </c>
      <c r="AB87">
        <f>'Implied Productivity Ratios'!AC87/'Implied Productivity Ratios'!$V87</f>
        <v>0.73977180540468213</v>
      </c>
      <c r="AC87">
        <f>'Implied Productivity Ratios'!AD87/'Implied Productivity Ratios'!$V87</f>
        <v>0.73091514394008616</v>
      </c>
      <c r="AD87">
        <f>'Implied Productivity Ratios'!AE87/'Implied Productivity Ratios'!$V87</f>
        <v>0.72243336661386182</v>
      </c>
      <c r="AE87">
        <f>'Implied Productivity Ratios'!AF87/'Implied Productivity Ratios'!$V87</f>
        <v>0.71576190205058599</v>
      </c>
      <c r="AF87">
        <f>'Implied Productivity Ratios'!AG87/'Implied Productivity Ratios'!$V87</f>
        <v>0.71069494582561754</v>
      </c>
      <c r="AG87">
        <f>'Implied Productivity Ratios'!AH87/'Implied Productivity Ratios'!$V87</f>
        <v>0.70455869065193821</v>
      </c>
      <c r="AH87">
        <f>'Implied Productivity Ratios'!AI87/'Implied Productivity Ratios'!$V87</f>
        <v>0.69756732515994113</v>
      </c>
      <c r="AI87">
        <f>'Implied Productivity Ratios'!AJ87/'Implied Productivity Ratios'!$V87</f>
        <v>0.69142861458913563</v>
      </c>
      <c r="AJ87">
        <f>'Implied Productivity Ratios'!AK87/'Implied Productivity Ratios'!$V87</f>
        <v>0.68503934968859237</v>
      </c>
      <c r="AK87">
        <f>'Implied Productivity Ratios'!AL87/'Implied Productivity Ratios'!$V87</f>
        <v>0.67821680060018474</v>
      </c>
      <c r="AL87">
        <f>'Implied Productivity Ratios'!AM87/'Implied Productivity Ratios'!$V87</f>
        <v>0.6717038576612987</v>
      </c>
      <c r="AM87">
        <f>'Implied Productivity Ratios'!AN87/'Implied Productivity Ratios'!$V87</f>
        <v>0.66584777536651807</v>
      </c>
      <c r="AN87">
        <f>'Implied Productivity Ratios'!AO87/'Implied Productivity Ratios'!$V87</f>
        <v>0.66035848553465182</v>
      </c>
      <c r="AO87">
        <f>'Implied Productivity Ratios'!AP87/'Implied Productivity Ratios'!$V87</f>
        <v>0.65498498771885061</v>
      </c>
      <c r="AP87">
        <f>'Implied Productivity Ratios'!AQ87/'Implied Productivity Ratios'!$V87</f>
        <v>0.64958050363895348</v>
      </c>
      <c r="AQ87">
        <f>'Implied Productivity Ratios'!AR87/'Implied Productivity Ratios'!$V87</f>
        <v>0.64422354270463666</v>
      </c>
      <c r="AR87">
        <f>'Implied Productivity Ratios'!AS87/'Implied Productivity Ratios'!$V87</f>
        <v>0.63919192200413</v>
      </c>
      <c r="AS87">
        <f>'Implied Productivity Ratios'!AT87/'Implied Productivity Ratios'!$V87</f>
        <v>0.63428264582235294</v>
      </c>
      <c r="AT87">
        <f>'Implied Productivity Ratios'!AU87/'Implied Productivity Ratios'!$V87</f>
        <v>0.63006835155379093</v>
      </c>
      <c r="AU87">
        <f>'Implied Productivity Ratios'!AV87/'Implied Productivity Ratios'!$V87</f>
        <v>0.62643701092204684</v>
      </c>
      <c r="AV87">
        <f>'Implied Productivity Ratios'!AW87/'Implied Productivity Ratios'!$V87</f>
        <v>0.62286219883903293</v>
      </c>
      <c r="AW87">
        <f>'Implied Productivity Ratios'!AX87/'Implied Productivity Ratios'!$V87</f>
        <v>0.61927953036056405</v>
      </c>
      <c r="AX87">
        <f>'Implied Productivity Ratios'!AY87/'Implied Productivity Ratios'!$V87</f>
        <v>0.61604519139095304</v>
      </c>
      <c r="AY87">
        <f>'Implied Productivity Ratios'!AZ87/'Implied Productivity Ratios'!$V87</f>
        <v>0.61350386867115358</v>
      </c>
      <c r="AZ87">
        <f>'Implied Productivity Ratios'!BA87/'Implied Productivity Ratios'!$V87</f>
        <v>0.61149403941066471</v>
      </c>
      <c r="BA87">
        <f>'Implied Productivity Ratios'!BB87/'Implied Productivity Ratios'!$V87</f>
        <v>0.61006982904381013</v>
      </c>
      <c r="BB87">
        <f>'Implied Productivity Ratios'!BC87/'Implied Productivity Ratios'!$V87</f>
        <v>0.60914577871425912</v>
      </c>
      <c r="BC87" s="5">
        <f>'Implied Productivity Ratios'!BD87/'Implied Productivity Ratios'!$V87</f>
        <v>0.60711902838499821</v>
      </c>
      <c r="BD87" s="5">
        <f>'Implied Productivity Ratios'!BE87/'Implied Productivity Ratios'!$V87</f>
        <v>0.60509227805573718</v>
      </c>
      <c r="BE87" s="5">
        <f>'Implied Productivity Ratios'!BF87/'Implied Productivity Ratios'!$V87</f>
        <v>0.60306552772647626</v>
      </c>
      <c r="BF87" s="5">
        <f>'Implied Productivity Ratios'!BG87/'Implied Productivity Ratios'!$V87</f>
        <v>0.60103877739721523</v>
      </c>
      <c r="BG87" s="5">
        <f>'Implied Productivity Ratios'!BH87/'Implied Productivity Ratios'!$V87</f>
        <v>0.59901202706795431</v>
      </c>
    </row>
    <row r="88" spans="2:59">
      <c r="B88">
        <v>812</v>
      </c>
      <c r="C88" t="s">
        <v>456</v>
      </c>
      <c r="D88">
        <f>'Implied Productivity Ratios'!E88/'Implied Productivity Ratios'!$V88</f>
        <v>1.4071370119921403</v>
      </c>
      <c r="E88">
        <f>'Implied Productivity Ratios'!F88/'Implied Productivity Ratios'!$V88</f>
        <v>1.3973217366552699</v>
      </c>
      <c r="F88">
        <f>'Implied Productivity Ratios'!G88/'Implied Productivity Ratios'!$V88</f>
        <v>1.2852172737576482</v>
      </c>
      <c r="G88">
        <f>'Implied Productivity Ratios'!H88/'Implied Productivity Ratios'!$V88</f>
        <v>1.1406582830099945</v>
      </c>
      <c r="H88">
        <f>'Implied Productivity Ratios'!I88/'Implied Productivity Ratios'!$V88</f>
        <v>1.0817440635319018</v>
      </c>
      <c r="I88">
        <f>'Implied Productivity Ratios'!J88/'Implied Productivity Ratios'!$V88</f>
        <v>1.1306522494002131</v>
      </c>
      <c r="J88">
        <f>'Implied Productivity Ratios'!K88/'Implied Productivity Ratios'!$V88</f>
        <v>1.0863630529729482</v>
      </c>
      <c r="K88">
        <f>'Implied Productivity Ratios'!L88/'Implied Productivity Ratios'!$V88</f>
        <v>1.0682861601874096</v>
      </c>
      <c r="L88">
        <f>'Implied Productivity Ratios'!M88/'Implied Productivity Ratios'!$V88</f>
        <v>1.0361884685889262</v>
      </c>
      <c r="M88">
        <f>'Implied Productivity Ratios'!N88/'Implied Productivity Ratios'!$V88</f>
        <v>1.0522305101195064</v>
      </c>
      <c r="N88">
        <f>'Implied Productivity Ratios'!O88/'Implied Productivity Ratios'!$V88</f>
        <v>1.0412677730520707</v>
      </c>
      <c r="O88">
        <f>'Implied Productivity Ratios'!P88/'Implied Productivity Ratios'!$V88</f>
        <v>1.0059052677501845</v>
      </c>
      <c r="P88">
        <f>'Implied Productivity Ratios'!Q88/'Implied Productivity Ratios'!$V88</f>
        <v>1.0158197115642438</v>
      </c>
      <c r="Q88">
        <f>'Implied Productivity Ratios'!R88/'Implied Productivity Ratios'!$V88</f>
        <v>1.0285490940221675</v>
      </c>
      <c r="R88">
        <f>'Implied Productivity Ratios'!S88/'Implied Productivity Ratios'!$V88</f>
        <v>1.0009320491082203</v>
      </c>
      <c r="S88">
        <f>'Implied Productivity Ratios'!T88/'Implied Productivity Ratios'!$V88</f>
        <v>0.85032698910889992</v>
      </c>
      <c r="T88">
        <f>'Implied Productivity Ratios'!U88/'Implied Productivity Ratios'!$V88</f>
        <v>0.91911788628740776</v>
      </c>
      <c r="U88">
        <f>'Implied Productivity Ratios'!V88/'Implied Productivity Ratios'!$V88</f>
        <v>1</v>
      </c>
      <c r="V88">
        <f>'Implied Productivity Ratios'!W88/'Implied Productivity Ratios'!$V88</f>
        <v>0.94924090763497282</v>
      </c>
      <c r="W88">
        <f>'Implied Productivity Ratios'!X88/'Implied Productivity Ratios'!$V88</f>
        <v>0.91998271106892204</v>
      </c>
      <c r="X88">
        <f>'Implied Productivity Ratios'!Y88/'Implied Productivity Ratios'!$V88</f>
        <v>0.89386946399222678</v>
      </c>
      <c r="Y88">
        <f>'Implied Productivity Ratios'!Z88/'Implied Productivity Ratios'!$V88</f>
        <v>0.86645889805111942</v>
      </c>
      <c r="Z88">
        <f>'Implied Productivity Ratios'!AA88/'Implied Productivity Ratios'!$V88</f>
        <v>0.84240290892361791</v>
      </c>
      <c r="AA88">
        <f>'Implied Productivity Ratios'!AB88/'Implied Productivity Ratios'!$V88</f>
        <v>0.82247843298101841</v>
      </c>
      <c r="AB88">
        <f>'Implied Productivity Ratios'!AC88/'Implied Productivity Ratios'!$V88</f>
        <v>0.80478749599083055</v>
      </c>
      <c r="AC88">
        <f>'Implied Productivity Ratios'!AD88/'Implied Productivity Ratios'!$V88</f>
        <v>0.78935102155395076</v>
      </c>
      <c r="AD88">
        <f>'Implied Productivity Ratios'!AE88/'Implied Productivity Ratios'!$V88</f>
        <v>0.77475350920936648</v>
      </c>
      <c r="AE88">
        <f>'Implied Productivity Ratios'!AF88/'Implied Productivity Ratios'!$V88</f>
        <v>0.76245166521475805</v>
      </c>
      <c r="AF88">
        <f>'Implied Productivity Ratios'!AG88/'Implied Productivity Ratios'!$V88</f>
        <v>0.75218221724547163</v>
      </c>
      <c r="AG88">
        <f>'Implied Productivity Ratios'!AH88/'Implied Productivity Ratios'!$V88</f>
        <v>0.74108595611228523</v>
      </c>
      <c r="AH88">
        <f>'Implied Productivity Ratios'!AI88/'Implied Productivity Ratios'!$V88</f>
        <v>0.72940061417160906</v>
      </c>
      <c r="AI88">
        <f>'Implied Productivity Ratios'!AJ88/'Implied Productivity Ratios'!$V88</f>
        <v>0.71890969264871873</v>
      </c>
      <c r="AJ88">
        <f>'Implied Productivity Ratios'!AK88/'Implied Productivity Ratios'!$V88</f>
        <v>0.70843705079606112</v>
      </c>
      <c r="AK88">
        <f>'Implied Productivity Ratios'!AL88/'Implied Productivity Ratios'!$V88</f>
        <v>0.69779623924419765</v>
      </c>
      <c r="AL88">
        <f>'Implied Productivity Ratios'!AM88/'Implied Productivity Ratios'!$V88</f>
        <v>0.68775418070475847</v>
      </c>
      <c r="AM88">
        <f>'Implied Productivity Ratios'!AN88/'Implied Productivity Ratios'!$V88</f>
        <v>0.67865742001415408</v>
      </c>
      <c r="AN88">
        <f>'Implied Productivity Ratios'!AO88/'Implied Productivity Ratios'!$V88</f>
        <v>0.67019356467629621</v>
      </c>
      <c r="AO88">
        <f>'Implied Productivity Ratios'!AP88/'Implied Productivity Ratios'!$V88</f>
        <v>0.66209943111486869</v>
      </c>
      <c r="AP88">
        <f>'Implied Productivity Ratios'!AQ88/'Implied Productivity Ratios'!$V88</f>
        <v>0.65422312867245191</v>
      </c>
      <c r="AQ88">
        <f>'Implied Productivity Ratios'!AR88/'Implied Productivity Ratios'!$V88</f>
        <v>0.64663403406209163</v>
      </c>
      <c r="AR88">
        <f>'Implied Productivity Ratios'!AS88/'Implied Productivity Ratios'!$V88</f>
        <v>0.63960008404098578</v>
      </c>
      <c r="AS88">
        <f>'Implied Productivity Ratios'!AT88/'Implied Productivity Ratios'!$V88</f>
        <v>0.63290483311338352</v>
      </c>
      <c r="AT88">
        <f>'Implied Productivity Ratios'!AU88/'Implied Productivity Ratios'!$V88</f>
        <v>0.62710573498810274</v>
      </c>
      <c r="AU88">
        <f>'Implied Productivity Ratios'!AV88/'Implied Productivity Ratios'!$V88</f>
        <v>0.62209045501371352</v>
      </c>
      <c r="AV88">
        <f>'Implied Productivity Ratios'!AW88/'Implied Productivity Ratios'!$V88</f>
        <v>0.61733006110965583</v>
      </c>
      <c r="AW88">
        <f>'Implied Productivity Ratios'!AX88/'Implied Productivity Ratios'!$V88</f>
        <v>0.6127540462199923</v>
      </c>
      <c r="AX88">
        <f>'Implied Productivity Ratios'!AY88/'Implied Productivity Ratios'!$V88</f>
        <v>0.60870989880845949</v>
      </c>
      <c r="AY88">
        <f>'Implied Productivity Ratios'!AZ88/'Implied Productivity Ratios'!$V88</f>
        <v>0.60553596641629293</v>
      </c>
      <c r="AZ88">
        <f>'Implied Productivity Ratios'!BA88/'Implied Productivity Ratios'!$V88</f>
        <v>0.60308170167270803</v>
      </c>
      <c r="BA88">
        <f>'Implied Productivity Ratios'!BB88/'Implied Productivity Ratios'!$V88</f>
        <v>0.60138983542798408</v>
      </c>
      <c r="BB88">
        <f>'Implied Productivity Ratios'!BC88/'Implied Productivity Ratios'!$V88</f>
        <v>0.60036670244992874</v>
      </c>
      <c r="BC88" s="5">
        <f>'Implied Productivity Ratios'!BD88/'Implied Productivity Ratios'!$V88</f>
        <v>0.59788923369591596</v>
      </c>
      <c r="BD88" s="5">
        <f>'Implied Productivity Ratios'!BE88/'Implied Productivity Ratios'!$V88</f>
        <v>0.59541176494190329</v>
      </c>
      <c r="BE88" s="5">
        <f>'Implied Productivity Ratios'!BF88/'Implied Productivity Ratios'!$V88</f>
        <v>0.59293429618789051</v>
      </c>
      <c r="BF88" s="5">
        <f>'Implied Productivity Ratios'!BG88/'Implied Productivity Ratios'!$V88</f>
        <v>0.59045682743387784</v>
      </c>
      <c r="BG88" s="5">
        <f>'Implied Productivity Ratios'!BH88/'Implied Productivity Ratios'!$V88</f>
        <v>0.58797935867986506</v>
      </c>
    </row>
    <row r="89" spans="2:59">
      <c r="B89">
        <v>813</v>
      </c>
      <c r="C89" t="s">
        <v>460</v>
      </c>
      <c r="D89">
        <f>'Implied Productivity Ratios'!E89/'Implied Productivity Ratios'!$V89</f>
        <v>0.83120833972722952</v>
      </c>
      <c r="E89">
        <f>'Implied Productivity Ratios'!F89/'Implied Productivity Ratios'!$V89</f>
        <v>0.83666095406267871</v>
      </c>
      <c r="F89">
        <f>'Implied Productivity Ratios'!G89/'Implied Productivity Ratios'!$V89</f>
        <v>0.85040512305459481</v>
      </c>
      <c r="G89">
        <f>'Implied Productivity Ratios'!H89/'Implied Productivity Ratios'!$V89</f>
        <v>0.88794818271882014</v>
      </c>
      <c r="H89">
        <f>'Implied Productivity Ratios'!I89/'Implied Productivity Ratios'!$V89</f>
        <v>0.89545008231563683</v>
      </c>
      <c r="I89">
        <f>'Implied Productivity Ratios'!J89/'Implied Productivity Ratios'!$V89</f>
        <v>0.87049940594860997</v>
      </c>
      <c r="J89">
        <f>'Implied Productivity Ratios'!K89/'Implied Productivity Ratios'!$V89</f>
        <v>0.87099843353027107</v>
      </c>
      <c r="K89">
        <f>'Implied Productivity Ratios'!L89/'Implied Productivity Ratios'!$V89</f>
        <v>0.8782342967951825</v>
      </c>
      <c r="L89">
        <f>'Implied Productivity Ratios'!M89/'Implied Productivity Ratios'!$V89</f>
        <v>0.87490748819256881</v>
      </c>
      <c r="M89">
        <f>'Implied Productivity Ratios'!N89/'Implied Productivity Ratios'!$V89</f>
        <v>0.88765825513844865</v>
      </c>
      <c r="N89">
        <f>'Implied Productivity Ratios'!O89/'Implied Productivity Ratios'!$V89</f>
        <v>0.89841250489818403</v>
      </c>
      <c r="O89">
        <f>'Implied Productivity Ratios'!P89/'Implied Productivity Ratios'!$V89</f>
        <v>0.89226236898775813</v>
      </c>
      <c r="P89">
        <f>'Implied Productivity Ratios'!Q89/'Implied Productivity Ratios'!$V89</f>
        <v>0.9069059392943557</v>
      </c>
      <c r="Q89">
        <f>'Implied Productivity Ratios'!R89/'Implied Productivity Ratios'!$V89</f>
        <v>0.92651621611479595</v>
      </c>
      <c r="R89">
        <f>'Implied Productivity Ratios'!S89/'Implied Productivity Ratios'!$V89</f>
        <v>0.93402688245192877</v>
      </c>
      <c r="S89">
        <f>'Implied Productivity Ratios'!T89/'Implied Productivity Ratios'!$V89</f>
        <v>1.0343250623575042</v>
      </c>
      <c r="T89">
        <f>'Implied Productivity Ratios'!U89/'Implied Productivity Ratios'!$V89</f>
        <v>0.99833845746933736</v>
      </c>
      <c r="U89">
        <f>'Implied Productivity Ratios'!V89/'Implied Productivity Ratios'!$V89</f>
        <v>1</v>
      </c>
      <c r="V89">
        <f>'Implied Productivity Ratios'!W89/'Implied Productivity Ratios'!$V89</f>
        <v>0.94745419657661201</v>
      </c>
      <c r="W89">
        <f>'Implied Productivity Ratios'!X89/'Implied Productivity Ratios'!$V89</f>
        <v>0.92925381253940509</v>
      </c>
      <c r="X89">
        <f>'Implied Productivity Ratios'!Y89/'Implied Productivity Ratios'!$V89</f>
        <v>0.93514241775422702</v>
      </c>
      <c r="Y89">
        <f>'Implied Productivity Ratios'!Z89/'Implied Productivity Ratios'!$V89</f>
        <v>0.94333177441295013</v>
      </c>
      <c r="Z89">
        <f>'Implied Productivity Ratios'!AA89/'Implied Productivity Ratios'!$V89</f>
        <v>0.95318841879956806</v>
      </c>
      <c r="AA89">
        <f>'Implied Productivity Ratios'!AB89/'Implied Productivity Ratios'!$V89</f>
        <v>0.96601703279803908</v>
      </c>
      <c r="AB89">
        <f>'Implied Productivity Ratios'!AC89/'Implied Productivity Ratios'!$V89</f>
        <v>0.97985097266369825</v>
      </c>
      <c r="AC89">
        <f>'Implied Productivity Ratios'!AD89/'Implied Productivity Ratios'!$V89</f>
        <v>0.99485373799195431</v>
      </c>
      <c r="AD89">
        <f>'Implied Productivity Ratios'!AE89/'Implied Productivity Ratios'!$V89</f>
        <v>1.0094401582087531</v>
      </c>
      <c r="AE89">
        <f>'Implied Productivity Ratios'!AF89/'Implied Productivity Ratios'!$V89</f>
        <v>1.0256103263064407</v>
      </c>
      <c r="AF89">
        <f>'Implied Productivity Ratios'!AG89/'Implied Productivity Ratios'!$V89</f>
        <v>1.0432201055933423</v>
      </c>
      <c r="AG89">
        <f>'Implied Productivity Ratios'!AH89/'Implied Productivity Ratios'!$V89</f>
        <v>1.0583707242139462</v>
      </c>
      <c r="AH89">
        <f>'Implied Productivity Ratios'!AI89/'Implied Productivity Ratios'!$V89</f>
        <v>1.0712223455511463</v>
      </c>
      <c r="AI89">
        <f>'Implied Productivity Ratios'!AJ89/'Implied Productivity Ratios'!$V89</f>
        <v>1.0843038828885208</v>
      </c>
      <c r="AJ89">
        <f>'Implied Productivity Ratios'!AK89/'Implied Productivity Ratios'!$V89</f>
        <v>1.0958846701427944</v>
      </c>
      <c r="AK89">
        <f>'Implied Productivity Ratios'!AL89/'Implied Productivity Ratios'!$V89</f>
        <v>1.1056163467948219</v>
      </c>
      <c r="AL89">
        <f>'Implied Productivity Ratios'!AM89/'Implied Productivity Ratios'!$V89</f>
        <v>1.114638953045628</v>
      </c>
      <c r="AM89">
        <f>'Implied Productivity Ratios'!AN89/'Implied Productivity Ratios'!$V89</f>
        <v>1.1235350511093738</v>
      </c>
      <c r="AN89">
        <f>'Implied Productivity Ratios'!AO89/'Implied Productivity Ratios'!$V89</f>
        <v>1.1318370054094293</v>
      </c>
      <c r="AO89">
        <f>'Implied Productivity Ratios'!AP89/'Implied Productivity Ratios'!$V89</f>
        <v>1.1391014299751512</v>
      </c>
      <c r="AP89">
        <f>'Implied Productivity Ratios'!AQ89/'Implied Productivity Ratios'!$V89</f>
        <v>1.1450203103680785</v>
      </c>
      <c r="AQ89">
        <f>'Implied Productivity Ratios'!AR89/'Implied Productivity Ratios'!$V89</f>
        <v>1.1497346927352683</v>
      </c>
      <c r="AR89">
        <f>'Implied Productivity Ratios'!AS89/'Implied Productivity Ratios'!$V89</f>
        <v>1.1537413850602074</v>
      </c>
      <c r="AS89">
        <f>'Implied Productivity Ratios'!AT89/'Implied Productivity Ratios'!$V89</f>
        <v>1.1566624255912996</v>
      </c>
      <c r="AT89">
        <f>'Implied Productivity Ratios'!AU89/'Implied Productivity Ratios'!$V89</f>
        <v>1.1595414495393477</v>
      </c>
      <c r="AU89">
        <f>'Implied Productivity Ratios'!AV89/'Implied Productivity Ratios'!$V89</f>
        <v>1.1622148058711887</v>
      </c>
      <c r="AV89">
        <f>'Implied Productivity Ratios'!AW89/'Implied Productivity Ratios'!$V89</f>
        <v>1.1637168079373803</v>
      </c>
      <c r="AW89">
        <f>'Implied Productivity Ratios'!AX89/'Implied Productivity Ratios'!$V89</f>
        <v>1.1639169016108211</v>
      </c>
      <c r="AX89">
        <f>'Implied Productivity Ratios'!AY89/'Implied Productivity Ratios'!$V89</f>
        <v>1.1634818766099451</v>
      </c>
      <c r="AY89">
        <f>'Implied Productivity Ratios'!AZ89/'Implied Productivity Ratios'!$V89</f>
        <v>1.1630892202647682</v>
      </c>
      <c r="AZ89">
        <f>'Implied Productivity Ratios'!BA89/'Implied Productivity Ratios'!$V89</f>
        <v>1.1624926048388828</v>
      </c>
      <c r="BA89">
        <f>'Implied Productivity Ratios'!BB89/'Implied Productivity Ratios'!$V89</f>
        <v>1.1617813038145981</v>
      </c>
      <c r="BB89">
        <f>'Implied Productivity Ratios'!BC89/'Implied Productivity Ratios'!$V89</f>
        <v>1.1607795749679515</v>
      </c>
      <c r="BC89" s="5">
        <f>'Implied Productivity Ratios'!BD89/'Implied Productivity Ratios'!$V89</f>
        <v>1.1601521096393774</v>
      </c>
      <c r="BD89" s="5">
        <f>'Implied Productivity Ratios'!BE89/'Implied Productivity Ratios'!$V89</f>
        <v>1.1595246443108036</v>
      </c>
      <c r="BE89" s="5">
        <f>'Implied Productivity Ratios'!BF89/'Implied Productivity Ratios'!$V89</f>
        <v>1.1588971789822298</v>
      </c>
      <c r="BF89" s="5">
        <f>'Implied Productivity Ratios'!BG89/'Implied Productivity Ratios'!$V89</f>
        <v>1.1582697136536559</v>
      </c>
      <c r="BG89" s="5">
        <f>'Implied Productivity Ratios'!BH89/'Implied Productivity Ratios'!$V89</f>
        <v>1.1576422483250821</v>
      </c>
    </row>
    <row r="90" spans="2:59">
      <c r="B90" t="s">
        <v>293</v>
      </c>
      <c r="C90" t="s">
        <v>29</v>
      </c>
      <c r="D90">
        <f>'Implied Productivity Ratios'!E90/'Implied Productivity Ratios'!$V90</f>
        <v>0.75718265121745087</v>
      </c>
      <c r="E90">
        <f>'Implied Productivity Ratios'!F90/'Implied Productivity Ratios'!$V90</f>
        <v>0.89021176895059495</v>
      </c>
      <c r="F90">
        <f>'Implied Productivity Ratios'!G90/'Implied Productivity Ratios'!$V90</f>
        <v>0.83952287960833161</v>
      </c>
      <c r="G90">
        <f>'Implied Productivity Ratios'!H90/'Implied Productivity Ratios'!$V90</f>
        <v>0.85043685809469294</v>
      </c>
      <c r="H90">
        <f>'Implied Productivity Ratios'!I90/'Implied Productivity Ratios'!$V90</f>
        <v>0.88011543390139846</v>
      </c>
      <c r="I90">
        <f>'Implied Productivity Ratios'!J90/'Implied Productivity Ratios'!$V90</f>
        <v>0.84598365841873913</v>
      </c>
      <c r="J90">
        <f>'Implied Productivity Ratios'!K90/'Implied Productivity Ratios'!$V90</f>
        <v>0.83275752076887477</v>
      </c>
      <c r="K90">
        <f>'Implied Productivity Ratios'!L90/'Implied Productivity Ratios'!$V90</f>
        <v>0.86805563472288549</v>
      </c>
      <c r="L90">
        <f>'Implied Productivity Ratios'!M90/'Implied Productivity Ratios'!$V90</f>
        <v>0.82712132313926612</v>
      </c>
      <c r="M90">
        <f>'Implied Productivity Ratios'!N90/'Implied Productivity Ratios'!$V90</f>
        <v>0.8330896704636569</v>
      </c>
      <c r="N90">
        <f>'Implied Productivity Ratios'!O90/'Implied Productivity Ratios'!$V90</f>
        <v>0.88063689093544806</v>
      </c>
      <c r="O90">
        <f>'Implied Productivity Ratios'!P90/'Implied Productivity Ratios'!$V90</f>
        <v>0.89553550454442654</v>
      </c>
      <c r="P90">
        <f>'Implied Productivity Ratios'!Q90/'Implied Productivity Ratios'!$V90</f>
        <v>0.90936346067001239</v>
      </c>
      <c r="Q90">
        <f>'Implied Productivity Ratios'!R90/'Implied Productivity Ratios'!$V90</f>
        <v>0.94051991108001387</v>
      </c>
      <c r="R90">
        <f>'Implied Productivity Ratios'!S90/'Implied Productivity Ratios'!$V90</f>
        <v>0.95899714105381506</v>
      </c>
      <c r="S90">
        <f>'Implied Productivity Ratios'!T90/'Implied Productivity Ratios'!$V90</f>
        <v>1.0505673453746514</v>
      </c>
      <c r="T90">
        <f>'Implied Productivity Ratios'!U90/'Implied Productivity Ratios'!$V90</f>
        <v>1.0211556957039116</v>
      </c>
      <c r="U90">
        <f>'Implied Productivity Ratios'!V90/'Implied Productivity Ratios'!$V90</f>
        <v>1</v>
      </c>
      <c r="V90">
        <f>'Implied Productivity Ratios'!W90/'Implied Productivity Ratios'!$V90</f>
        <v>1.0169201934324894</v>
      </c>
      <c r="W90">
        <f>'Implied Productivity Ratios'!X90/'Implied Productivity Ratios'!$V90</f>
        <v>0.95062533976077379</v>
      </c>
      <c r="X90">
        <f>'Implied Productivity Ratios'!Y90/'Implied Productivity Ratios'!$V90</f>
        <v>0.89872486377671834</v>
      </c>
      <c r="Y90">
        <f>'Implied Productivity Ratios'!Z90/'Implied Productivity Ratios'!$V90</f>
        <v>0.88107409958085903</v>
      </c>
      <c r="Z90">
        <f>'Implied Productivity Ratios'!AA90/'Implied Productivity Ratios'!$V90</f>
        <v>0.88464016996239225</v>
      </c>
      <c r="AA90">
        <f>'Implied Productivity Ratios'!AB90/'Implied Productivity Ratios'!$V90</f>
        <v>0.90705933894972535</v>
      </c>
      <c r="AB90">
        <f>'Implied Productivity Ratios'!AC90/'Implied Productivity Ratios'!$V90</f>
        <v>0.93959275772568351</v>
      </c>
      <c r="AC90">
        <f>'Implied Productivity Ratios'!AD90/'Implied Productivity Ratios'!$V90</f>
        <v>0.97581647327352927</v>
      </c>
      <c r="AD90">
        <f>'Implied Productivity Ratios'!AE90/'Implied Productivity Ratios'!$V90</f>
        <v>1.0095981540277494</v>
      </c>
      <c r="AE90">
        <f>'Implied Productivity Ratios'!AF90/'Implied Productivity Ratios'!$V90</f>
        <v>1.0399177996635518</v>
      </c>
      <c r="AF90">
        <f>'Implied Productivity Ratios'!AG90/'Implied Productivity Ratios'!$V90</f>
        <v>1.0681880155857555</v>
      </c>
      <c r="AG90">
        <f>'Implied Productivity Ratios'!AH90/'Implied Productivity Ratios'!$V90</f>
        <v>1.096394992738587</v>
      </c>
      <c r="AH90">
        <f>'Implied Productivity Ratios'!AI90/'Implied Productivity Ratios'!$V90</f>
        <v>1.1224500472082453</v>
      </c>
      <c r="AI90">
        <f>'Implied Productivity Ratios'!AJ90/'Implied Productivity Ratios'!$V90</f>
        <v>1.1477780206909183</v>
      </c>
      <c r="AJ90">
        <f>'Implied Productivity Ratios'!AK90/'Implied Productivity Ratios'!$V90</f>
        <v>1.1720949418304953</v>
      </c>
      <c r="AK90">
        <f>'Implied Productivity Ratios'!AL90/'Implied Productivity Ratios'!$V90</f>
        <v>1.194451457766093</v>
      </c>
      <c r="AL90">
        <f>'Implied Productivity Ratios'!AM90/'Implied Productivity Ratios'!$V90</f>
        <v>1.2159965155209493</v>
      </c>
      <c r="AM90">
        <f>'Implied Productivity Ratios'!AN90/'Implied Productivity Ratios'!$V90</f>
        <v>1.2346770090471941</v>
      </c>
      <c r="AN90">
        <f>'Implied Productivity Ratios'!AO90/'Implied Productivity Ratios'!$V90</f>
        <v>1.250122418078131</v>
      </c>
      <c r="AO90">
        <f>'Implied Productivity Ratios'!AP90/'Implied Productivity Ratios'!$V90</f>
        <v>1.2617961824865394</v>
      </c>
      <c r="AP90">
        <f>'Implied Productivity Ratios'!AQ90/'Implied Productivity Ratios'!$V90</f>
        <v>1.2687851987823462</v>
      </c>
      <c r="AQ90">
        <f>'Implied Productivity Ratios'!AR90/'Implied Productivity Ratios'!$V90</f>
        <v>1.2707199284319626</v>
      </c>
      <c r="AR90">
        <f>'Implied Productivity Ratios'!AS90/'Implied Productivity Ratios'!$V90</f>
        <v>1.272084624268329</v>
      </c>
      <c r="AS90">
        <f>'Implied Productivity Ratios'!AT90/'Implied Productivity Ratios'!$V90</f>
        <v>1.2750320301912332</v>
      </c>
      <c r="AT90">
        <f>'Implied Productivity Ratios'!AU90/'Implied Productivity Ratios'!$V90</f>
        <v>1.279896919620642</v>
      </c>
      <c r="AU90">
        <f>'Implied Productivity Ratios'!AV90/'Implied Productivity Ratios'!$V90</f>
        <v>1.2861703583646051</v>
      </c>
      <c r="AV90">
        <f>'Implied Productivity Ratios'!AW90/'Implied Productivity Ratios'!$V90</f>
        <v>1.2930245995146172</v>
      </c>
      <c r="AW90">
        <f>'Implied Productivity Ratios'!AX90/'Implied Productivity Ratios'!$V90</f>
        <v>1.3005360571034372</v>
      </c>
      <c r="AX90">
        <f>'Implied Productivity Ratios'!AY90/'Implied Productivity Ratios'!$V90</f>
        <v>1.3083801735896543</v>
      </c>
      <c r="AY90">
        <f>'Implied Productivity Ratios'!AZ90/'Implied Productivity Ratios'!$V90</f>
        <v>1.317758064785949</v>
      </c>
      <c r="AZ90">
        <f>'Implied Productivity Ratios'!BA90/'Implied Productivity Ratios'!$V90</f>
        <v>1.3290221182817683</v>
      </c>
      <c r="BA90">
        <f>'Implied Productivity Ratios'!BB90/'Implied Productivity Ratios'!$V90</f>
        <v>1.3419115044702505</v>
      </c>
      <c r="BB90">
        <f>'Implied Productivity Ratios'!BC90/'Implied Productivity Ratios'!$V90</f>
        <v>1.3569747964507839</v>
      </c>
      <c r="BC90" s="5">
        <f>'Implied Productivity Ratios'!BD90/'Implied Productivity Ratios'!$V90</f>
        <v>1.3682625443202532</v>
      </c>
      <c r="BD90" s="5">
        <f>'Implied Productivity Ratios'!BE90/'Implied Productivity Ratios'!$V90</f>
        <v>1.3795502921897227</v>
      </c>
      <c r="BE90" s="5">
        <f>'Implied Productivity Ratios'!BF90/'Implied Productivity Ratios'!$V90</f>
        <v>1.390838040059192</v>
      </c>
      <c r="BF90" s="5">
        <f>'Implied Productivity Ratios'!BG90/'Implied Productivity Ratios'!$V90</f>
        <v>1.4021257879286613</v>
      </c>
      <c r="BG90" s="5">
        <f>'Implied Productivity Ratios'!BH90/'Implied Productivity Ratios'!$V90</f>
        <v>1.4134135357981306</v>
      </c>
    </row>
    <row r="91" spans="2:59">
      <c r="B91" t="s">
        <v>294</v>
      </c>
      <c r="C91" t="s">
        <v>30</v>
      </c>
      <c r="D91">
        <f>'Implied Productivity Ratios'!E91/'Implied Productivity Ratios'!$V91</f>
        <v>0.85806958272115208</v>
      </c>
      <c r="E91">
        <f>'Implied Productivity Ratios'!F91/'Implied Productivity Ratios'!$V91</f>
        <v>0.86400701304744676</v>
      </c>
      <c r="F91">
        <f>'Implied Productivity Ratios'!G91/'Implied Productivity Ratios'!$V91</f>
        <v>0.74610803951877569</v>
      </c>
      <c r="G91">
        <f>'Implied Productivity Ratios'!H91/'Implied Productivity Ratios'!$V91</f>
        <v>0.75466609724865874</v>
      </c>
      <c r="H91">
        <f>'Implied Productivity Ratios'!I91/'Implied Productivity Ratios'!$V91</f>
        <v>0.87109261184974784</v>
      </c>
      <c r="I91">
        <f>'Implied Productivity Ratios'!J91/'Implied Productivity Ratios'!$V91</f>
        <v>0.84319832231845593</v>
      </c>
      <c r="J91">
        <f>'Implied Productivity Ratios'!K91/'Implied Productivity Ratios'!$V91</f>
        <v>0.80563932423473616</v>
      </c>
      <c r="K91">
        <f>'Implied Productivity Ratios'!L91/'Implied Productivity Ratios'!$V91</f>
        <v>0.77224040247195069</v>
      </c>
      <c r="L91">
        <f>'Implied Productivity Ratios'!M91/'Implied Productivity Ratios'!$V91</f>
        <v>0.86097074304198473</v>
      </c>
      <c r="M91">
        <f>'Implied Productivity Ratios'!N91/'Implied Productivity Ratios'!$V91</f>
        <v>0.84702395907025063</v>
      </c>
      <c r="N91">
        <f>'Implied Productivity Ratios'!O91/'Implied Productivity Ratios'!$V91</f>
        <v>0.91669586456671348</v>
      </c>
      <c r="O91">
        <f>'Implied Productivity Ratios'!P91/'Implied Productivity Ratios'!$V91</f>
        <v>0.98082576374656028</v>
      </c>
      <c r="P91">
        <f>'Implied Productivity Ratios'!Q91/'Implied Productivity Ratios'!$V91</f>
        <v>0.95366895957681497</v>
      </c>
      <c r="Q91">
        <f>'Implied Productivity Ratios'!R91/'Implied Productivity Ratios'!$V91</f>
        <v>0.99273992607663586</v>
      </c>
      <c r="R91">
        <f>'Implied Productivity Ratios'!S91/'Implied Productivity Ratios'!$V91</f>
        <v>0.91577091692657164</v>
      </c>
      <c r="S91">
        <f>'Implied Productivity Ratios'!T91/'Implied Productivity Ratios'!$V91</f>
        <v>0.9191216775310832</v>
      </c>
      <c r="T91">
        <f>'Implied Productivity Ratios'!U91/'Implied Productivity Ratios'!$V91</f>
        <v>1.0013346397499843</v>
      </c>
      <c r="U91">
        <f>'Implied Productivity Ratios'!V91/'Implied Productivity Ratios'!$V91</f>
        <v>1</v>
      </c>
      <c r="V91">
        <f>'Implied Productivity Ratios'!W91/'Implied Productivity Ratios'!$V91</f>
        <v>1.0300032041753855</v>
      </c>
      <c r="W91">
        <f>'Implied Productivity Ratios'!X91/'Implied Productivity Ratios'!$V91</f>
        <v>1.0717895632330967</v>
      </c>
      <c r="X91">
        <f>'Implied Productivity Ratios'!Y91/'Implied Productivity Ratios'!$V91</f>
        <v>1.0453258148733577</v>
      </c>
      <c r="Y91">
        <f>'Implied Productivity Ratios'!Z91/'Implied Productivity Ratios'!$V91</f>
        <v>1.0356571217468089</v>
      </c>
      <c r="Z91">
        <f>'Implied Productivity Ratios'!AA91/'Implied Productivity Ratios'!$V91</f>
        <v>1.0429523321290579</v>
      </c>
      <c r="AA91">
        <f>'Implied Productivity Ratios'!AB91/'Implied Productivity Ratios'!$V91</f>
        <v>1.0686299889394315</v>
      </c>
      <c r="AB91">
        <f>'Implied Productivity Ratios'!AC91/'Implied Productivity Ratios'!$V91</f>
        <v>1.1017684517170965</v>
      </c>
      <c r="AC91">
        <f>'Implied Productivity Ratios'!AD91/'Implied Productivity Ratios'!$V91</f>
        <v>1.1332858325836932</v>
      </c>
      <c r="AD91">
        <f>'Implied Productivity Ratios'!AE91/'Implied Productivity Ratios'!$V91</f>
        <v>1.162297039127121</v>
      </c>
      <c r="AE91">
        <f>'Implied Productivity Ratios'!AF91/'Implied Productivity Ratios'!$V91</f>
        <v>1.1906740163717089</v>
      </c>
      <c r="AF91">
        <f>'Implied Productivity Ratios'!AG91/'Implied Productivity Ratios'!$V91</f>
        <v>1.2235479880353521</v>
      </c>
      <c r="AG91">
        <f>'Implied Productivity Ratios'!AH91/'Implied Productivity Ratios'!$V91</f>
        <v>1.2601366137074765</v>
      </c>
      <c r="AH91">
        <f>'Implied Productivity Ratios'!AI91/'Implied Productivity Ratios'!$V91</f>
        <v>1.2940390538437736</v>
      </c>
      <c r="AI91">
        <f>'Implied Productivity Ratios'!AJ91/'Implied Productivity Ratios'!$V91</f>
        <v>1.3247292174557885</v>
      </c>
      <c r="AJ91">
        <f>'Implied Productivity Ratios'!AK91/'Implied Productivity Ratios'!$V91</f>
        <v>1.3548146903221099</v>
      </c>
      <c r="AK91">
        <f>'Implied Productivity Ratios'!AL91/'Implied Productivity Ratios'!$V91</f>
        <v>1.384341331878514</v>
      </c>
      <c r="AL91">
        <f>'Implied Productivity Ratios'!AM91/'Implied Productivity Ratios'!$V91</f>
        <v>1.4140672230739535</v>
      </c>
      <c r="AM91">
        <f>'Implied Productivity Ratios'!AN91/'Implied Productivity Ratios'!$V91</f>
        <v>1.4444846022840403</v>
      </c>
      <c r="AN91">
        <f>'Implied Productivity Ratios'!AO91/'Implied Productivity Ratios'!$V91</f>
        <v>1.475570765830156</v>
      </c>
      <c r="AO91">
        <f>'Implied Productivity Ratios'!AP91/'Implied Productivity Ratios'!$V91</f>
        <v>1.5075485977768295</v>
      </c>
      <c r="AP91">
        <f>'Implied Productivity Ratios'!AQ91/'Implied Productivity Ratios'!$V91</f>
        <v>1.5405253695115968</v>
      </c>
      <c r="AQ91">
        <f>'Implied Productivity Ratios'!AR91/'Implied Productivity Ratios'!$V91</f>
        <v>1.5742946522239865</v>
      </c>
      <c r="AR91">
        <f>'Implied Productivity Ratios'!AS91/'Implied Productivity Ratios'!$V91</f>
        <v>1.6086185108197311</v>
      </c>
      <c r="AS91">
        <f>'Implied Productivity Ratios'!AT91/'Implied Productivity Ratios'!$V91</f>
        <v>1.6433537303610402</v>
      </c>
      <c r="AT91">
        <f>'Implied Productivity Ratios'!AU91/'Implied Productivity Ratios'!$V91</f>
        <v>1.6786008481160164</v>
      </c>
      <c r="AU91">
        <f>'Implied Productivity Ratios'!AV91/'Implied Productivity Ratios'!$V91</f>
        <v>1.7154625263501824</v>
      </c>
      <c r="AV91">
        <f>'Implied Productivity Ratios'!AW91/'Implied Productivity Ratios'!$V91</f>
        <v>1.7539616487053751</v>
      </c>
      <c r="AW91">
        <f>'Implied Productivity Ratios'!AX91/'Implied Productivity Ratios'!$V91</f>
        <v>1.7936713965862479</v>
      </c>
      <c r="AX91">
        <f>'Implied Productivity Ratios'!AY91/'Implied Productivity Ratios'!$V91</f>
        <v>1.8340580675990501</v>
      </c>
      <c r="AY91">
        <f>'Implied Productivity Ratios'!AZ91/'Implied Productivity Ratios'!$V91</f>
        <v>1.8747527433741014</v>
      </c>
      <c r="AZ91">
        <f>'Implied Productivity Ratios'!BA91/'Implied Productivity Ratios'!$V91</f>
        <v>1.9153403778948459</v>
      </c>
      <c r="BA91">
        <f>'Implied Productivity Ratios'!BB91/'Implied Productivity Ratios'!$V91</f>
        <v>1.9556060933968549</v>
      </c>
      <c r="BB91">
        <f>'Implied Productivity Ratios'!BC91/'Implied Productivity Ratios'!$V91</f>
        <v>1.9962103923668122</v>
      </c>
      <c r="BC91" s="5">
        <f>'Implied Productivity Ratios'!BD91/'Implied Productivity Ratios'!$V91</f>
        <v>2.0367181915229251</v>
      </c>
      <c r="BD91" s="5">
        <f>'Implied Productivity Ratios'!BE91/'Implied Productivity Ratios'!$V91</f>
        <v>2.0772259906790382</v>
      </c>
      <c r="BE91" s="5">
        <f>'Implied Productivity Ratios'!BF91/'Implied Productivity Ratios'!$V91</f>
        <v>2.1177337898351514</v>
      </c>
      <c r="BF91" s="5">
        <f>'Implied Productivity Ratios'!BG91/'Implied Productivity Ratios'!$V91</f>
        <v>2.1582415889912641</v>
      </c>
      <c r="BG91" s="5">
        <f>'Implied Productivity Ratios'!BH91/'Implied Productivity Ratios'!$V91</f>
        <v>2.1987493881473772</v>
      </c>
    </row>
    <row r="92" spans="2:59">
      <c r="B92">
        <v>92</v>
      </c>
      <c r="C92" t="s">
        <v>31</v>
      </c>
      <c r="D92">
        <f>'Implied Productivity Ratios'!E92/'Implied Productivity Ratios'!$V92</f>
        <v>0.96261127989237949</v>
      </c>
      <c r="E92">
        <f>'Implied Productivity Ratios'!F92/'Implied Productivity Ratios'!$V92</f>
        <v>0.96036156580479137</v>
      </c>
      <c r="F92">
        <f>'Implied Productivity Ratios'!G92/'Implied Productivity Ratios'!$V92</f>
        <v>0.95970690654268564</v>
      </c>
      <c r="G92">
        <f>'Implied Productivity Ratios'!H92/'Implied Productivity Ratios'!$V92</f>
        <v>0.96493527468648943</v>
      </c>
      <c r="H92">
        <f>'Implied Productivity Ratios'!I92/'Implied Productivity Ratios'!$V92</f>
        <v>0.96001431978836715</v>
      </c>
      <c r="I92">
        <f>'Implied Productivity Ratios'!J92/'Implied Productivity Ratios'!$V92</f>
        <v>0.96467633310345013</v>
      </c>
      <c r="J92">
        <f>'Implied Productivity Ratios'!K92/'Implied Productivity Ratios'!$V92</f>
        <v>0.97175881013221332</v>
      </c>
      <c r="K92">
        <f>'Implied Productivity Ratios'!L92/'Implied Productivity Ratios'!$V92</f>
        <v>0.96742912225781164</v>
      </c>
      <c r="L92">
        <f>'Implied Productivity Ratios'!M92/'Implied Productivity Ratios'!$V92</f>
        <v>0.96509971703648312</v>
      </c>
      <c r="M92">
        <f>'Implied Productivity Ratios'!N92/'Implied Productivity Ratios'!$V92</f>
        <v>0.96307136962601425</v>
      </c>
      <c r="N92">
        <f>'Implied Productivity Ratios'!O92/'Implied Productivity Ratios'!$V92</f>
        <v>0.957610654600074</v>
      </c>
      <c r="O92">
        <f>'Implied Productivity Ratios'!P92/'Implied Productivity Ratios'!$V92</f>
        <v>0.96140450130229849</v>
      </c>
      <c r="P92">
        <f>'Implied Productivity Ratios'!Q92/'Implied Productivity Ratios'!$V92</f>
        <v>0.967000826387168</v>
      </c>
      <c r="Q92">
        <f>'Implied Productivity Ratios'!R92/'Implied Productivity Ratios'!$V92</f>
        <v>0.96849141972958663</v>
      </c>
      <c r="R92">
        <f>'Implied Productivity Ratios'!S92/'Implied Productivity Ratios'!$V92</f>
        <v>0.96808630654276906</v>
      </c>
      <c r="S92">
        <f>'Implied Productivity Ratios'!T92/'Implied Productivity Ratios'!$V92</f>
        <v>0.98413758137212681</v>
      </c>
      <c r="T92">
        <f>'Implied Productivity Ratios'!U92/'Implied Productivity Ratios'!$V92</f>
        <v>0.99823589936170543</v>
      </c>
      <c r="U92">
        <f>'Implied Productivity Ratios'!V92/'Implied Productivity Ratios'!$V92</f>
        <v>1</v>
      </c>
      <c r="V92">
        <f>'Implied Productivity Ratios'!W92/'Implied Productivity Ratios'!$V92</f>
        <v>0.99943924172568888</v>
      </c>
      <c r="W92">
        <f>'Implied Productivity Ratios'!X92/'Implied Productivity Ratios'!$V92</f>
        <v>0.99574952161023644</v>
      </c>
      <c r="X92">
        <f>'Implied Productivity Ratios'!Y92/'Implied Productivity Ratios'!$V92</f>
        <v>0.99571158671740534</v>
      </c>
      <c r="Y92">
        <f>'Implied Productivity Ratios'!Z92/'Implied Productivity Ratios'!$V92</f>
        <v>0.99876676843059442</v>
      </c>
      <c r="Z92">
        <f>'Implied Productivity Ratios'!AA92/'Implied Productivity Ratios'!$V92</f>
        <v>0.9993689300430264</v>
      </c>
      <c r="AA92">
        <f>'Implied Productivity Ratios'!AB92/'Implied Productivity Ratios'!$V92</f>
        <v>1.0005444900607583</v>
      </c>
      <c r="AB92">
        <f>'Implied Productivity Ratios'!AC92/'Implied Productivity Ratios'!$V92</f>
        <v>1.0013747673917155</v>
      </c>
      <c r="AC92">
        <f>'Implied Productivity Ratios'!AD92/'Implied Productivity Ratios'!$V92</f>
        <v>1.003944912922951</v>
      </c>
      <c r="AD92">
        <f>'Implied Productivity Ratios'!AE92/'Implied Productivity Ratios'!$V92</f>
        <v>1.0082738321279578</v>
      </c>
      <c r="AE92">
        <f>'Implied Productivity Ratios'!AF92/'Implied Productivity Ratios'!$V92</f>
        <v>1.0131436586983236</v>
      </c>
      <c r="AF92">
        <f>'Implied Productivity Ratios'!AG92/'Implied Productivity Ratios'!$V92</f>
        <v>1.0184062588827272</v>
      </c>
      <c r="AG92">
        <f>'Implied Productivity Ratios'!AH92/'Implied Productivity Ratios'!$V92</f>
        <v>1.0238966590082161</v>
      </c>
      <c r="AH92">
        <f>'Implied Productivity Ratios'!AI92/'Implied Productivity Ratios'!$V92</f>
        <v>1.0295306909616575</v>
      </c>
      <c r="AI92">
        <f>'Implied Productivity Ratios'!AJ92/'Implied Productivity Ratios'!$V92</f>
        <v>1.0351099802408883</v>
      </c>
      <c r="AJ92">
        <f>'Implied Productivity Ratios'!AK92/'Implied Productivity Ratios'!$V92</f>
        <v>1.040308939394387</v>
      </c>
      <c r="AK92">
        <f>'Implied Productivity Ratios'!AL92/'Implied Productivity Ratios'!$V92</f>
        <v>1.0445687998854163</v>
      </c>
      <c r="AL92">
        <f>'Implied Productivity Ratios'!AM92/'Implied Productivity Ratios'!$V92</f>
        <v>1.0481487108206184</v>
      </c>
      <c r="AM92">
        <f>'Implied Productivity Ratios'!AN92/'Implied Productivity Ratios'!$V92</f>
        <v>1.0512000275677182</v>
      </c>
      <c r="AN92">
        <f>'Implied Productivity Ratios'!AO92/'Implied Productivity Ratios'!$V92</f>
        <v>1.0543861364909362</v>
      </c>
      <c r="AO92">
        <f>'Implied Productivity Ratios'!AP92/'Implied Productivity Ratios'!$V92</f>
        <v>1.0581721980606524</v>
      </c>
      <c r="AP92">
        <f>'Implied Productivity Ratios'!AQ92/'Implied Productivity Ratios'!$V92</f>
        <v>1.0625206851378963</v>
      </c>
      <c r="AQ92">
        <f>'Implied Productivity Ratios'!AR92/'Implied Productivity Ratios'!$V92</f>
        <v>1.0674487608088945</v>
      </c>
      <c r="AR92">
        <f>'Implied Productivity Ratios'!AS92/'Implied Productivity Ratios'!$V92</f>
        <v>1.0725856004091412</v>
      </c>
      <c r="AS92">
        <f>'Implied Productivity Ratios'!AT92/'Implied Productivity Ratios'!$V92</f>
        <v>1.0779267623152669</v>
      </c>
      <c r="AT92">
        <f>'Implied Productivity Ratios'!AU92/'Implied Productivity Ratios'!$V92</f>
        <v>1.0835261525567463</v>
      </c>
      <c r="AU92">
        <f>'Implied Productivity Ratios'!AV92/'Implied Productivity Ratios'!$V92</f>
        <v>1.0895089579199195</v>
      </c>
      <c r="AV92">
        <f>'Implied Productivity Ratios'!AW92/'Implied Productivity Ratios'!$V92</f>
        <v>1.0957973598599606</v>
      </c>
      <c r="AW92">
        <f>'Implied Productivity Ratios'!AX92/'Implied Productivity Ratios'!$V92</f>
        <v>1.1021818665863721</v>
      </c>
      <c r="AX92">
        <f>'Implied Productivity Ratios'!AY92/'Implied Productivity Ratios'!$V92</f>
        <v>1.1084908593624725</v>
      </c>
      <c r="AY92">
        <f>'Implied Productivity Ratios'!AZ92/'Implied Productivity Ratios'!$V92</f>
        <v>1.1148259457169554</v>
      </c>
      <c r="AZ92">
        <f>'Implied Productivity Ratios'!BA92/'Implied Productivity Ratios'!$V92</f>
        <v>1.1211313903505327</v>
      </c>
      <c r="BA92">
        <f>'Implied Productivity Ratios'!BB92/'Implied Productivity Ratios'!$V92</f>
        <v>1.1275304666561996</v>
      </c>
      <c r="BB92">
        <f>'Implied Productivity Ratios'!BC92/'Implied Productivity Ratios'!$V92</f>
        <v>1.1341164186363584</v>
      </c>
      <c r="BC92" s="5">
        <f>'Implied Productivity Ratios'!BD92/'Implied Productivity Ratios'!$V92</f>
        <v>1.1405033290463555</v>
      </c>
      <c r="BD92" s="5">
        <f>'Implied Productivity Ratios'!BE92/'Implied Productivity Ratios'!$V92</f>
        <v>1.1468902394563527</v>
      </c>
      <c r="BE92" s="5">
        <f>'Implied Productivity Ratios'!BF92/'Implied Productivity Ratios'!$V92</f>
        <v>1.1532771498663501</v>
      </c>
      <c r="BF92" s="5">
        <f>'Implied Productivity Ratios'!BG92/'Implied Productivity Ratios'!$V92</f>
        <v>1.1596640602763473</v>
      </c>
      <c r="BG92" s="5">
        <f>'Implied Productivity Ratios'!BH92/'Implied Productivity Ratios'!$V92</f>
        <v>1.1660509706863444</v>
      </c>
    </row>
    <row r="93" spans="2:59">
      <c r="B93">
        <v>814</v>
      </c>
      <c r="C93" t="s">
        <v>32</v>
      </c>
      <c r="D93">
        <f>'Implied Productivity Ratios'!E93/'Implied Productivity Ratios'!$V93</f>
        <v>1.1025846774437411</v>
      </c>
      <c r="E93">
        <f>'Implied Productivity Ratios'!F93/'Implied Productivity Ratios'!$V93</f>
        <v>1.1592425896707594</v>
      </c>
      <c r="F93">
        <f>'Implied Productivity Ratios'!G93/'Implied Productivity Ratios'!$V93</f>
        <v>1.192562878617516</v>
      </c>
      <c r="G93">
        <f>'Implied Productivity Ratios'!H93/'Implied Productivity Ratios'!$V93</f>
        <v>1.1743877898229094</v>
      </c>
      <c r="H93">
        <f>'Implied Productivity Ratios'!I93/'Implied Productivity Ratios'!$V93</f>
        <v>1.0336638162285774</v>
      </c>
      <c r="I93">
        <f>'Implied Productivity Ratios'!J93/'Implied Productivity Ratios'!$V93</f>
        <v>0.86917982367269331</v>
      </c>
      <c r="J93">
        <f>'Implied Productivity Ratios'!K93/'Implied Productivity Ratios'!$V93</f>
        <v>0.89449727348879216</v>
      </c>
      <c r="K93">
        <f>'Implied Productivity Ratios'!L93/'Implied Productivity Ratios'!$V93</f>
        <v>0.88959476628144207</v>
      </c>
      <c r="L93">
        <f>'Implied Productivity Ratios'!M93/'Implied Productivity Ratios'!$V93</f>
        <v>0.91527540058482171</v>
      </c>
      <c r="M93">
        <f>'Implied Productivity Ratios'!N93/'Implied Productivity Ratios'!$V93</f>
        <v>0.99355966228804116</v>
      </c>
      <c r="N93">
        <f>'Implied Productivity Ratios'!O93/'Implied Productivity Ratios'!$V93</f>
        <v>1.0049293231865533</v>
      </c>
      <c r="O93">
        <f>'Implied Productivity Ratios'!P93/'Implied Productivity Ratios'!$V93</f>
        <v>0.93561116280308854</v>
      </c>
      <c r="P93">
        <f>'Implied Productivity Ratios'!Q93/'Implied Productivity Ratios'!$V93</f>
        <v>0.84940068844301209</v>
      </c>
      <c r="Q93">
        <f>'Implied Productivity Ratios'!R93/'Implied Productivity Ratios'!$V93</f>
        <v>0.95588046872070709</v>
      </c>
      <c r="R93">
        <f>'Implied Productivity Ratios'!S93/'Implied Productivity Ratios'!$V93</f>
        <v>0.96060421100629545</v>
      </c>
      <c r="S93">
        <f>'Implied Productivity Ratios'!T93/'Implied Productivity Ratios'!$V93</f>
        <v>1.0001143402688375</v>
      </c>
      <c r="T93">
        <f>'Implied Productivity Ratios'!U93/'Implied Productivity Ratios'!$V93</f>
        <v>0.90386382605179116</v>
      </c>
      <c r="U93">
        <f>'Implied Productivity Ratios'!V93/'Implied Productivity Ratios'!$V93</f>
        <v>1</v>
      </c>
      <c r="V93">
        <f>'Implied Productivity Ratios'!W93/'Implied Productivity Ratios'!$V93</f>
        <v>0.9840577726245836</v>
      </c>
      <c r="W93">
        <f>'Implied Productivity Ratios'!X93/'Implied Productivity Ratios'!$V93</f>
        <v>0.96730078120148255</v>
      </c>
      <c r="X93">
        <f>'Implied Productivity Ratios'!Y93/'Implied Productivity Ratios'!$V93</f>
        <v>0.94846075038751598</v>
      </c>
      <c r="Y93">
        <f>'Implied Productivity Ratios'!Z93/'Implied Productivity Ratios'!$V93</f>
        <v>0.93743747258380705</v>
      </c>
      <c r="Z93">
        <f>'Implied Productivity Ratios'!AA93/'Implied Productivity Ratios'!$V93</f>
        <v>0.92740410630123649</v>
      </c>
      <c r="AA93">
        <f>'Implied Productivity Ratios'!AB93/'Implied Productivity Ratios'!$V93</f>
        <v>0.91859356658675795</v>
      </c>
      <c r="AB93">
        <f>'Implied Productivity Ratios'!AC93/'Implied Productivity Ratios'!$V93</f>
        <v>0.91164478083316025</v>
      </c>
      <c r="AC93">
        <f>'Implied Productivity Ratios'!AD93/'Implied Productivity Ratios'!$V93</f>
        <v>0.90568464725002673</v>
      </c>
      <c r="AD93">
        <f>'Implied Productivity Ratios'!AE93/'Implied Productivity Ratios'!$V93</f>
        <v>0.89692294646935222</v>
      </c>
      <c r="AE93">
        <f>'Implied Productivity Ratios'!AF93/'Implied Productivity Ratios'!$V93</f>
        <v>0.88794664611947483</v>
      </c>
      <c r="AF93">
        <f>'Implied Productivity Ratios'!AG93/'Implied Productivity Ratios'!$V93</f>
        <v>0.87836253203729031</v>
      </c>
      <c r="AG93">
        <f>'Implied Productivity Ratios'!AH93/'Implied Productivity Ratios'!$V93</f>
        <v>0.86487546780191882</v>
      </c>
      <c r="AH93">
        <f>'Implied Productivity Ratios'!AI93/'Implied Productivity Ratios'!$V93</f>
        <v>0.84974588777192417</v>
      </c>
      <c r="AI93">
        <f>'Implied Productivity Ratios'!AJ93/'Implied Productivity Ratios'!$V93</f>
        <v>0.8374401290440312</v>
      </c>
      <c r="AJ93">
        <f>'Implied Productivity Ratios'!AK93/'Implied Productivity Ratios'!$V93</f>
        <v>0.82551609739686704</v>
      </c>
      <c r="AK93">
        <f>'Implied Productivity Ratios'!AL93/'Implied Productivity Ratios'!$V93</f>
        <v>0.81307551875292394</v>
      </c>
      <c r="AL93">
        <f>'Implied Productivity Ratios'!AM93/'Implied Productivity Ratios'!$V93</f>
        <v>0.80144950476618393</v>
      </c>
      <c r="AM93">
        <f>'Implied Productivity Ratios'!AN93/'Implied Productivity Ratios'!$V93</f>
        <v>0.79077061815721772</v>
      </c>
      <c r="AN93">
        <f>'Implied Productivity Ratios'!AO93/'Implied Productivity Ratios'!$V93</f>
        <v>0.78068080633781656</v>
      </c>
      <c r="AO93">
        <f>'Implied Productivity Ratios'!AP93/'Implied Productivity Ratios'!$V93</f>
        <v>0.77059206864863605</v>
      </c>
      <c r="AP93">
        <f>'Implied Productivity Ratios'!AQ93/'Implied Productivity Ratios'!$V93</f>
        <v>0.76063854788921847</v>
      </c>
      <c r="AQ93">
        <f>'Implied Productivity Ratios'!AR93/'Implied Productivity Ratios'!$V93</f>
        <v>0.75077743541513875</v>
      </c>
      <c r="AR93">
        <f>'Implied Productivity Ratios'!AS93/'Implied Productivity Ratios'!$V93</f>
        <v>0.74101443244594145</v>
      </c>
      <c r="AS93">
        <f>'Implied Productivity Ratios'!AT93/'Implied Productivity Ratios'!$V93</f>
        <v>0.73109518054718203</v>
      </c>
      <c r="AT93">
        <f>'Implied Productivity Ratios'!AU93/'Implied Productivity Ratios'!$V93</f>
        <v>0.72169225921211477</v>
      </c>
      <c r="AU93">
        <f>'Implied Productivity Ratios'!AV93/'Implied Productivity Ratios'!$V93</f>
        <v>0.7124583898235789</v>
      </c>
      <c r="AV93">
        <f>'Implied Productivity Ratios'!AW93/'Implied Productivity Ratios'!$V93</f>
        <v>0.70336949479786093</v>
      </c>
      <c r="AW93">
        <f>'Implied Productivity Ratios'!AX93/'Implied Productivity Ratios'!$V93</f>
        <v>0.69426179455936343</v>
      </c>
      <c r="AX93">
        <f>'Implied Productivity Ratios'!AY93/'Implied Productivity Ratios'!$V93</f>
        <v>0.68526274879936111</v>
      </c>
      <c r="AY93">
        <f>'Implied Productivity Ratios'!AZ93/'Implied Productivity Ratios'!$V93</f>
        <v>0.67690112764514143</v>
      </c>
      <c r="AZ93">
        <f>'Implied Productivity Ratios'!BA93/'Implied Productivity Ratios'!$V93</f>
        <v>0.66897868788691117</v>
      </c>
      <c r="BA93">
        <f>'Implied Productivity Ratios'!BB93/'Implied Productivity Ratios'!$V93</f>
        <v>0.6615500830642802</v>
      </c>
      <c r="BB93">
        <f>'Implied Productivity Ratios'!BC93/'Implied Productivity Ratios'!$V93</f>
        <v>0.65482299611037154</v>
      </c>
      <c r="BC93" s="5">
        <f>'Implied Productivity Ratios'!BD93/'Implied Productivity Ratios'!$V93</f>
        <v>0.64693523642057316</v>
      </c>
      <c r="BD93" s="5">
        <f>'Implied Productivity Ratios'!BE93/'Implied Productivity Ratios'!$V93</f>
        <v>0.63904747673077478</v>
      </c>
      <c r="BE93" s="5">
        <f>'Implied Productivity Ratios'!BF93/'Implied Productivity Ratios'!$V93</f>
        <v>0.6311597170409764</v>
      </c>
      <c r="BF93" s="5">
        <f>'Implied Productivity Ratios'!BG93/'Implied Productivity Ratios'!$V93</f>
        <v>0.62327195735117802</v>
      </c>
      <c r="BG93" s="5">
        <f>'Implied Productivity Ratios'!BH93/'Implied Productivity Ratios'!$V93</f>
        <v>0.61538419766137975</v>
      </c>
    </row>
  </sheetData>
  <mergeCells count="2">
    <mergeCell ref="E1:L3"/>
    <mergeCell ref="BC4:B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MoodysData(Raw)</vt:lpstr>
      <vt:lpstr>Implied Productivity Ratios</vt:lpstr>
      <vt:lpstr>Implied Productivity Scalar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Cutler</dc:creator>
  <cp:lastModifiedBy>Colin Smith</cp:lastModifiedBy>
  <dcterms:created xsi:type="dcterms:W3CDTF">2025-01-21T02:43:34Z</dcterms:created>
  <dcterms:modified xsi:type="dcterms:W3CDTF">2025-01-23T17:31:33Z</dcterms:modified>
</cp:coreProperties>
</file>